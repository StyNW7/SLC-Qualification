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Predictive Analytics\Qualification\Answer\"/>
    </mc:Choice>
  </mc:AlternateContent>
  <xr:revisionPtr revIDLastSave="0" documentId="13_ncr:1_{D086015A-9B3F-4949-87D8-42D2FDAC6A50}" xr6:coauthVersionLast="47" xr6:coauthVersionMax="47" xr10:uidLastSave="{00000000-0000-0000-0000-000000000000}"/>
  <bookViews>
    <workbookView xWindow="-108" yWindow="-108" windowWidth="23256" windowHeight="12456" activeTab="3" xr2:uid="{491A9A57-AD5F-49C0-8FF3-BA754AFFA4E0}"/>
  </bookViews>
  <sheets>
    <sheet name="Dataset (Randomize)" sheetId="1" r:id="rId1"/>
    <sheet name="Password Strength" sheetId="2" r:id="rId2"/>
    <sheet name="Password Weak" sheetId="3" r:id="rId3"/>
    <sheet name="Predi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R13" i="4" l="1"/>
  <c r="M5" i="4" s="1"/>
  <c r="R24" i="4"/>
  <c r="M7" i="4" s="1"/>
  <c r="R21" i="4"/>
  <c r="M4" i="4"/>
  <c r="R22" i="4"/>
  <c r="R12" i="4"/>
  <c r="L22" i="4"/>
  <c r="M22" i="4"/>
  <c r="N22" i="4"/>
  <c r="O22" i="4"/>
  <c r="P22" i="4"/>
  <c r="Q22" i="4"/>
  <c r="L23" i="4"/>
  <c r="M23" i="4"/>
  <c r="N23" i="4"/>
  <c r="O23" i="4"/>
  <c r="P23" i="4"/>
  <c r="Q23" i="4"/>
  <c r="L24" i="4"/>
  <c r="M24" i="4"/>
  <c r="N24" i="4"/>
  <c r="O24" i="4"/>
  <c r="P24" i="4"/>
  <c r="Q24" i="4"/>
  <c r="L25" i="4"/>
  <c r="M25" i="4"/>
  <c r="N25" i="4"/>
  <c r="O25" i="4"/>
  <c r="P25" i="4"/>
  <c r="Q25" i="4"/>
  <c r="Q21" i="4"/>
  <c r="P21" i="4"/>
  <c r="O21" i="4"/>
  <c r="N21" i="4"/>
  <c r="M21" i="4"/>
  <c r="L21" i="4"/>
  <c r="K22" i="4"/>
  <c r="K23" i="4"/>
  <c r="K24" i="4"/>
  <c r="K25" i="4"/>
  <c r="J21" i="4"/>
  <c r="K21" i="4"/>
  <c r="J22" i="4"/>
  <c r="J23" i="4"/>
  <c r="J24" i="4"/>
  <c r="J25" i="4"/>
  <c r="I22" i="4"/>
  <c r="I23" i="4"/>
  <c r="I24" i="4"/>
  <c r="I25" i="4"/>
  <c r="H22" i="4"/>
  <c r="H23" i="4"/>
  <c r="R23" i="4" s="1"/>
  <c r="M6" i="4" s="1"/>
  <c r="H24" i="4"/>
  <c r="H25" i="4"/>
  <c r="I21" i="4"/>
  <c r="I12" i="4"/>
  <c r="H21" i="4"/>
  <c r="H12" i="4"/>
  <c r="R15" i="4"/>
  <c r="Q13" i="4"/>
  <c r="Q14" i="4"/>
  <c r="Q15" i="4"/>
  <c r="Q16" i="4"/>
  <c r="Q12" i="4"/>
  <c r="P13" i="4"/>
  <c r="P14" i="4"/>
  <c r="P15" i="4"/>
  <c r="P16" i="4"/>
  <c r="P12" i="4"/>
  <c r="O12" i="4"/>
  <c r="O13" i="4"/>
  <c r="O14" i="4"/>
  <c r="O15" i="4"/>
  <c r="O16" i="4"/>
  <c r="N12" i="4"/>
  <c r="M13" i="4"/>
  <c r="M14" i="4"/>
  <c r="M15" i="4"/>
  <c r="M16" i="4"/>
  <c r="M12" i="4"/>
  <c r="L13" i="4"/>
  <c r="L14" i="4"/>
  <c r="L15" i="4"/>
  <c r="L16" i="4"/>
  <c r="L12" i="4"/>
  <c r="K13" i="4"/>
  <c r="K14" i="4"/>
  <c r="K15" i="4"/>
  <c r="K16" i="4"/>
  <c r="K12" i="4"/>
  <c r="J13" i="4"/>
  <c r="J14" i="4"/>
  <c r="J15" i="4"/>
  <c r="J16" i="4"/>
  <c r="J12" i="4"/>
  <c r="I13" i="4"/>
  <c r="I14" i="4"/>
  <c r="I15" i="4"/>
  <c r="I16" i="4"/>
  <c r="N13" i="4"/>
  <c r="N14" i="4"/>
  <c r="N15" i="4"/>
  <c r="N16" i="4"/>
  <c r="H13" i="4"/>
  <c r="H14" i="4"/>
  <c r="R14" i="4" s="1"/>
  <c r="H15" i="4"/>
  <c r="H16" i="4"/>
  <c r="D8" i="4"/>
  <c r="D7" i="4"/>
  <c r="C7" i="4"/>
  <c r="D6" i="4"/>
  <c r="D5" i="4"/>
  <c r="C5" i="4"/>
  <c r="D4" i="4"/>
  <c r="C4" i="4"/>
  <c r="N4" i="2" a="1"/>
  <c r="N4" i="2" s="1"/>
  <c r="N4" i="3" a="1"/>
  <c r="N4" i="3" s="1"/>
  <c r="P6" i="1"/>
  <c r="Q6" i="1"/>
  <c r="Q5" i="1"/>
  <c r="Q4" i="1"/>
  <c r="P5" i="1"/>
  <c r="P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3" i="1"/>
  <c r="O5" i="3"/>
  <c r="O4" i="3"/>
  <c r="O13" i="2"/>
  <c r="O9" i="3"/>
  <c r="O11" i="3"/>
  <c r="O7" i="3"/>
  <c r="O9" i="2"/>
  <c r="O12" i="3"/>
  <c r="O14" i="3"/>
  <c r="O11" i="2"/>
  <c r="O12" i="2"/>
  <c r="O10" i="2"/>
  <c r="O8" i="2"/>
  <c r="O13" i="3"/>
  <c r="O7" i="2"/>
  <c r="O14" i="2"/>
  <c r="O5" i="2"/>
  <c r="O6" i="3"/>
  <c r="O10" i="3"/>
  <c r="O6" i="2"/>
  <c r="O8" i="3"/>
  <c r="R25" i="4" l="1"/>
  <c r="R16" i="4"/>
  <c r="M8" i="4" s="1"/>
  <c r="O15" i="3"/>
  <c r="O4" i="2"/>
  <c r="O15" i="2" l="1"/>
  <c r="P4" i="2" s="1"/>
  <c r="P7" i="2" l="1"/>
  <c r="P12" i="2"/>
  <c r="P11" i="2"/>
  <c r="P9" i="2"/>
  <c r="P8" i="2"/>
  <c r="P10" i="2"/>
  <c r="P13" i="2"/>
  <c r="P6" i="2"/>
  <c r="P5" i="2"/>
  <c r="P14" i="2"/>
  <c r="P11" i="3"/>
  <c r="P5" i="3"/>
  <c r="P10" i="3"/>
  <c r="P9" i="3"/>
  <c r="P8" i="3"/>
  <c r="P7" i="3"/>
  <c r="P14" i="3"/>
  <c r="P12" i="3"/>
  <c r="P13" i="3"/>
  <c r="P6" i="3"/>
  <c r="P4" i="3"/>
  <c r="P15" i="2" l="1"/>
  <c r="P1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<sst xmlns="http://schemas.openxmlformats.org/spreadsheetml/2006/main" count="102" uniqueCount="30">
  <si>
    <t>Probability</t>
  </si>
  <si>
    <t>Class</t>
  </si>
  <si>
    <t>probability</t>
  </si>
  <si>
    <t>Count</t>
  </si>
  <si>
    <t>Prediction Result</t>
  </si>
  <si>
    <t>Prior probability</t>
  </si>
  <si>
    <t>Prior</t>
  </si>
  <si>
    <t>Score</t>
  </si>
  <si>
    <t>Strength</t>
  </si>
  <si>
    <t>Password Strengthness</t>
  </si>
  <si>
    <t>Lowercase</t>
  </si>
  <si>
    <t>Uppercase</t>
  </si>
  <si>
    <t>Length</t>
  </si>
  <si>
    <t>Alphabets</t>
  </si>
  <si>
    <t>Numbers</t>
  </si>
  <si>
    <t>Special Character</t>
  </si>
  <si>
    <t>Pattern</t>
  </si>
  <si>
    <t>Unique</t>
  </si>
  <si>
    <t>Randomize</t>
  </si>
  <si>
    <t>In Language</t>
  </si>
  <si>
    <t>Password Strength</t>
  </si>
  <si>
    <t>Password Weak</t>
  </si>
  <si>
    <t>Value</t>
  </si>
  <si>
    <t>Total</t>
  </si>
  <si>
    <t>Feature</t>
  </si>
  <si>
    <t>Weak</t>
  </si>
  <si>
    <t>Strength  Password</t>
  </si>
  <si>
    <t>Weak Password</t>
  </si>
  <si>
    <t>I'm making my own datasets
(Randomized + Logic Formula to determine the Password Srengthness)</t>
  </si>
  <si>
    <t>5 Prediction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</si>
</sst>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0" borderId="2" xfId="0" applyFont="1" applyBorder="1"/>
    <xf numFmtId="11" fontId="0" fillId="2" borderId="2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2" xfId="0" applyFill="1" applyBorder="1"/>
    <xf numFmtId="0" fontId="0" fillId="6" borderId="2" xfId="0" applyFill="1" applyBorder="1"/>
    <xf numFmtId="0" fontId="1" fillId="5" borderId="2" xfId="0" applyFont="1" applyFill="1" applyBorder="1"/>
    <xf numFmtId="0" fontId="2" fillId="4" borderId="2" xfId="0" applyFon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2" fillId="9" borderId="2" xfId="0" applyFont="1" applyFill="1" applyBorder="1"/>
    <xf numFmtId="0" fontId="1" fillId="0" borderId="1" xfId="0" applyFont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5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190500</xdr:colOff>
      <xdr:row>3</xdr:row>
      <xdr:rowOff>121920</xdr:rowOff>
    </xdr:from>
    <xdr:to>
      <xdr:col>22</xdr:col>
      <xdr:colOff>315039</xdr:colOff>
      <xdr:row>6</xdr:row>
      <xdr:rowOff>64842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A806E-8B85-41A3-AA5E-9AE41611B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900" y="670560"/>
          <a:ext cx="5603319" cy="491562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81C784-64E8-431D-A4EC-CA66C32AAE84}" name="Table3" displayName="Table3" ref="B2:L428" totalsRowShown="0">
  <autoFilter ref="B2:L428" xr:uid="{1681C784-64E8-431D-A4EC-CA66C32AAE84}"/>
  <tableColumns count="11">
    <tableColumn id="1" xr3:uid="{9352E0FB-FBD5-48BA-80FA-439E564CB34A}" name="Length">
      <calculatedColumnFormula>Table3[[#This Row],[Alphabets]]+Table3[[#This Row],[Numbers]]+Table3[[#This Row],[Special Character]]</calculatedColumnFormula>
    </tableColumn>
    <tableColumn id="2" xr3:uid="{3C385CD1-A645-4647-8610-2B48EFB0353B}" name="Alphabets">
      <calculatedColumnFormula>Table3[[#This Row],[Lowercase]]+Table3[[#This Row],[Uppercase]]</calculatedColumnFormula>
    </tableColumn>
    <tableColumn id="3" xr3:uid="{12AE2E58-CE23-4558-A6D6-D614D9BC9C78}" name="Numbers"/>
    <tableColumn id="4" xr3:uid="{E25BA9A6-E24C-4567-855A-34F0EFB2BBDC}" name="Lowercase"/>
    <tableColumn id="5" xr3:uid="{060A651C-C13A-415F-B34C-E9CC62F1F2D8}" name="Uppercase"/>
    <tableColumn id="6" xr3:uid="{9DA7B82A-DEE5-4A6F-A468-4A2C6481D42C}" name="Special Character"/>
    <tableColumn id="7" xr3:uid="{C223576C-6951-405B-B735-0FB6F6C2DECB}" name="Unique"/>
    <tableColumn id="8" xr3:uid="{F0C6BEC2-65B9-4CBC-BD4B-F6337410AE4F}" name="Randomize"/>
    <tableColumn id="11" xr3:uid="{2F638ECF-CCE3-4DC0-A9F8-980F891D8DF4}" name="In Language" dataDxfId="19"/>
    <tableColumn id="9" xr3:uid="{44A1BB84-4C46-480B-B851-CCBC84BDC0E0}" name="Pattern"/>
    <tableColumn id="10" xr3:uid="{3EF5663C-6E39-4304-AF2F-A620A5A22F3F}" name="Password Strengthness" dataDxfId="18">
      <calculatedColumnFormula>IF(AND(Table3[[#This Row],[Length]]&gt;=15, Table3[[#This Row],[Unique]]+Table3[[#This Row],[Randomize]]+J3+K3&gt;=2), 1,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C5C3D-A25B-4827-BC23-04FCB983918C}" name="Table32" displayName="Table32" ref="B2:L232" totalsRowShown="0">
  <autoFilter ref="B2:L232" xr:uid="{EC2C5C3D-A25B-4827-BC23-04FCB983918C}"/>
  <tableColumns count="11">
    <tableColumn id="1" xr3:uid="{92A1D38C-BECD-4DB3-A6E4-E1123088007D}" name="Length"/>
    <tableColumn id="2" xr3:uid="{E9203005-26D8-4494-8221-021694448CC9}" name="Alphabets"/>
    <tableColumn id="3" xr3:uid="{7620E615-014A-45B5-AC78-EFC3AB095DFC}" name="Numbers"/>
    <tableColumn id="4" xr3:uid="{BA08CD70-B39B-40A1-A595-D3E201215E0B}" name="Lowercase"/>
    <tableColumn id="5" xr3:uid="{04D6AAF6-0BE1-4817-9724-13108FB0C56F}" name="Uppercase"/>
    <tableColumn id="6" xr3:uid="{1555BC0F-855E-4896-A928-6FBBABA2C25C}" name="Special Character"/>
    <tableColumn id="7" xr3:uid="{C88734A8-484E-47D4-A58A-BA6DC8AA8E1B}" name="Unique"/>
    <tableColumn id="8" xr3:uid="{4EA3BBDA-2AAB-45CC-BE45-0413523EB510}" name="Randomize"/>
    <tableColumn id="11" xr3:uid="{583BAA3B-07C3-4F26-8F7F-1704B7D44BDF}" name="In Language" dataDxfId="17"/>
    <tableColumn id="9" xr3:uid="{01AD3C34-CD3F-4424-9F6B-29150EAB0588}" name="Pattern"/>
    <tableColumn id="10" xr3:uid="{73342E86-6765-41C7-8F7F-32F10A6C12B3}" name="Password Strengthness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B02505-F6DE-4793-9252-37B708719C18}" name="Table5" displayName="Table5" ref="B2:L198" totalsRowShown="0" dataDxfId="15">
  <autoFilter ref="B2:L198" xr:uid="{F3B02505-F6DE-4793-9252-37B708719C18}"/>
  <tableColumns count="11">
    <tableColumn id="1" xr3:uid="{2DAE3FBC-D786-4162-B247-EEE125236B4A}" name="Length" dataDxfId="14"/>
    <tableColumn id="2" xr3:uid="{A9305C77-EECC-4EF3-B56F-55B424A9A56C}" name="Alphabets" dataDxfId="13"/>
    <tableColumn id="3" xr3:uid="{EA0976D4-82DF-4908-B9B2-BF7FD9B19856}" name="Numbers" dataDxfId="12"/>
    <tableColumn id="4" xr3:uid="{68817B11-A1E0-4991-A2D6-DFBFD64A5EE6}" name="Lowercase" dataDxfId="11"/>
    <tableColumn id="5" xr3:uid="{F6608F57-38BB-4E80-AEF9-986CA5FE53C6}" name="Uppercase" dataDxfId="10"/>
    <tableColumn id="6" xr3:uid="{3C89B3A0-8964-4913-85DF-BF06EBEA0DAD}" name="Special Character" dataDxfId="9"/>
    <tableColumn id="7" xr3:uid="{16BA3E95-055E-41C7-B11B-FE18C6B112CD}" name="Unique" dataDxfId="8"/>
    <tableColumn id="8" xr3:uid="{FB8844AC-3030-41AA-887A-63D2A1C15010}" name="Randomize" dataDxfId="7"/>
    <tableColumn id="9" xr3:uid="{F515C693-D2DF-4D04-BAC4-FC10747B6B77}" name="In Language" dataDxfId="6"/>
    <tableColumn id="10" xr3:uid="{7347A634-5C2A-4D16-9B90-F6B3F0FFFA67}" name="Pattern" dataDxfId="5"/>
    <tableColumn id="11" xr3:uid="{6E0324B0-13D4-4A65-B79A-407251190C72}" name="Password Strengthn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3A23A6-D33B-48F6-86ED-00455D7D33FF}" name="Table6" displayName="Table6" ref="C3:M8" totalsRowShown="0" headerRowDxfId="3" headerRowBorderDxfId="2">
  <autoFilter ref="C3:M8" xr:uid="{F53A23A6-D33B-48F6-86ED-00455D7D33FF}"/>
  <tableColumns count="11">
    <tableColumn id="1" xr3:uid="{6B183D56-7CF7-468D-9D4F-7FEB581CE4D9}" name="Length">
      <calculatedColumnFormula>Table3[[#This Row],[Alphabets]]+Table3[[#This Row],[Numbers]]+Table3[[#This Row],[Special Character]]</calculatedColumnFormula>
    </tableColumn>
    <tableColumn id="2" xr3:uid="{410D6FAB-CA38-434F-851F-88A7987EF816}" name="Alphabets">
      <calculatedColumnFormula>Table3[[#This Row],[Lowercase]]+Table3[[#This Row],[Uppercase]]</calculatedColumnFormula>
    </tableColumn>
    <tableColumn id="3" xr3:uid="{4BE3D773-61C1-4D15-83EE-9D9AC0D56068}" name="Numbers"/>
    <tableColumn id="4" xr3:uid="{C46CA7B8-67D1-4477-B3CA-30CEE50F263C}" name="Lowercase"/>
    <tableColumn id="5" xr3:uid="{3325CD1C-C675-4261-857C-06CD8F012506}" name="Uppercase"/>
    <tableColumn id="6" xr3:uid="{3A8B8AFC-4F9A-4326-92D6-19CBA8FEC482}" name="Special Character"/>
    <tableColumn id="7" xr3:uid="{FD2C7C24-1D9E-4EDE-870F-EEB0A806273E}" name="Unique"/>
    <tableColumn id="8" xr3:uid="{4FC7681E-24F1-4DC6-8161-DFA0F38C9ACB}" name="Randomize"/>
    <tableColumn id="9" xr3:uid="{9E708868-CD5A-4987-A421-795BEB656EA5}" name="In Language"/>
    <tableColumn id="10" xr3:uid="{5E2D1058-BDCB-4528-8126-4A07F08251E3}" name="Pattern" dataDxfId="1"/>
    <tableColumn id="11" xr3:uid="{0A4AB919-E53C-4090-B218-6B3E3B57E042}" name="Prediction Result" dataDxfId="0">
      <calculatedColumnFormula>IF(R12&gt;R21,"Password Srentgh","Password Weak")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E3C7-6A52-4419-8984-3F119ED39441}">
  <sheetPr codeName="Sheet1"/>
  <dimension ref="B2:Q428"/>
  <sheetViews>
    <sheetView workbookViewId="0">
      <selection activeCell="N16" sqref="N16"/>
    </sheetView>
  </sheetViews>
  <sheetFormatPr defaultRowHeight="14.4" x14ac:dyDescent="0.3"/>
  <cols>
    <col min="2" max="2" width="14.77734375" customWidth="1"/>
    <col min="3" max="3" width="14.33203125" customWidth="1"/>
    <col min="4" max="4" width="15.44140625" customWidth="1"/>
    <col min="5" max="5" width="13.33203125" customWidth="1"/>
    <col min="6" max="6" width="13.77734375" customWidth="1"/>
    <col min="7" max="7" width="18.88671875" customWidth="1"/>
    <col min="8" max="8" width="12.44140625" customWidth="1"/>
    <col min="9" max="9" width="14.109375" customWidth="1"/>
    <col min="10" max="10" width="13.44140625" customWidth="1"/>
    <col min="11" max="11" width="10.77734375" customWidth="1"/>
    <col min="12" max="12" width="25.33203125" customWidth="1"/>
    <col min="13" max="13" width="10.5546875" bestFit="1" customWidth="1"/>
    <col min="14" max="14" width="18.6640625" customWidth="1"/>
    <col min="16" max="16" width="10.5546875" bestFit="1" customWidth="1"/>
    <col min="17" max="17" width="11.88671875" customWidth="1"/>
  </cols>
  <sheetData>
    <row r="2" spans="2:17" x14ac:dyDescent="0.3">
      <c r="B2" t="s">
        <v>12</v>
      </c>
      <c r="C2" t="s">
        <v>13</v>
      </c>
      <c r="D2" t="s">
        <v>14</v>
      </c>
      <c r="E2" t="s">
        <v>10</v>
      </c>
      <c r="F2" t="s">
        <v>11</v>
      </c>
      <c r="G2" t="s">
        <v>15</v>
      </c>
      <c r="H2" t="s">
        <v>17</v>
      </c>
      <c r="I2" t="s">
        <v>18</v>
      </c>
      <c r="J2" t="s">
        <v>19</v>
      </c>
      <c r="K2" t="s">
        <v>16</v>
      </c>
      <c r="L2" t="s">
        <v>9</v>
      </c>
    </row>
    <row r="3" spans="2:17" x14ac:dyDescent="0.3">
      <c r="B3">
        <f>Table3[[#This Row],[Alphabets]]+Table3[[#This Row],[Numbers]]+Table3[[#This Row],[Special Character]]</f>
        <v>17</v>
      </c>
      <c r="C3">
        <f>Table3[[#This Row],[Lowercase]]+Table3[[#This Row],[Uppercase]]</f>
        <v>8</v>
      </c>
      <c r="D3">
        <v>5</v>
      </c>
      <c r="E3">
        <v>8</v>
      </c>
      <c r="F3">
        <v>0</v>
      </c>
      <c r="G3">
        <v>4</v>
      </c>
      <c r="H3">
        <v>0</v>
      </c>
      <c r="I3">
        <v>1</v>
      </c>
      <c r="J3">
        <v>0</v>
      </c>
      <c r="K3">
        <v>1</v>
      </c>
      <c r="L3">
        <f>IF(AND(Table3[[#This Row],[Length]]&gt;=15, Table3[[#This Row],[Unique]]+Table3[[#This Row],[Randomize]]+J3+K3&gt;=2), 1, 0)</f>
        <v>1</v>
      </c>
      <c r="N3" s="13" t="s">
        <v>1</v>
      </c>
      <c r="O3" s="13" t="s">
        <v>22</v>
      </c>
      <c r="P3" s="13" t="s">
        <v>3</v>
      </c>
      <c r="Q3" s="13" t="s">
        <v>0</v>
      </c>
    </row>
    <row r="4" spans="2:17" x14ac:dyDescent="0.3">
      <c r="B4">
        <f>Table3[[#This Row],[Alphabets]]+Table3[[#This Row],[Numbers]]+Table3[[#This Row],[Special Character]]</f>
        <v>25</v>
      </c>
      <c r="C4">
        <f>Table3[[#This Row],[Lowercase]]+Table3[[#This Row],[Uppercase]]</f>
        <v>13</v>
      </c>
      <c r="D4">
        <v>6</v>
      </c>
      <c r="E4">
        <v>5</v>
      </c>
      <c r="F4">
        <v>8</v>
      </c>
      <c r="G4">
        <v>6</v>
      </c>
      <c r="H4">
        <v>0</v>
      </c>
      <c r="I4">
        <v>1</v>
      </c>
      <c r="J4">
        <v>1</v>
      </c>
      <c r="K4">
        <v>1</v>
      </c>
      <c r="L4">
        <f>IF(AND(Table3[[#This Row],[Length]]&gt;=15, Table3[[#This Row],[Unique]]+Table3[[#This Row],[Randomize]]+J4+K4&gt;=2), 1, 0)</f>
        <v>1</v>
      </c>
      <c r="N4" s="12" t="s">
        <v>20</v>
      </c>
      <c r="O4" s="1">
        <v>1</v>
      </c>
      <c r="P4" s="11">
        <f>COUNTIF(Table3[Password Strengthness],O4)</f>
        <v>230</v>
      </c>
      <c r="Q4" s="11">
        <f>P4/P6</f>
        <v>0.539906103286385</v>
      </c>
    </row>
    <row r="5" spans="2:17" x14ac:dyDescent="0.3">
      <c r="B5">
        <f>Table3[[#This Row],[Alphabets]]+Table3[[#This Row],[Numbers]]+Table3[[#This Row],[Special Character]]</f>
        <v>22</v>
      </c>
      <c r="C5">
        <f>Table3[[#This Row],[Lowercase]]+Table3[[#This Row],[Uppercase]]</f>
        <v>13</v>
      </c>
      <c r="D5">
        <v>9</v>
      </c>
      <c r="E5">
        <v>4</v>
      </c>
      <c r="F5">
        <v>9</v>
      </c>
      <c r="G5">
        <v>0</v>
      </c>
      <c r="H5">
        <v>1</v>
      </c>
      <c r="I5">
        <v>1</v>
      </c>
      <c r="J5">
        <v>1</v>
      </c>
      <c r="K5">
        <v>0</v>
      </c>
      <c r="L5">
        <f>IF(AND(Table3[[#This Row],[Length]]&gt;=15, Table3[[#This Row],[Unique]]+Table3[[#This Row],[Randomize]]+J5+K5&gt;=2), 1, 0)</f>
        <v>1</v>
      </c>
      <c r="N5" s="12" t="s">
        <v>21</v>
      </c>
      <c r="O5" s="1">
        <v>0</v>
      </c>
      <c r="P5" s="11">
        <f>COUNTIF(Table3[Password Strengthness],O5)</f>
        <v>196</v>
      </c>
      <c r="Q5" s="11">
        <f>P5/P6</f>
        <v>0.460093896713615</v>
      </c>
    </row>
    <row r="6" spans="2:17" x14ac:dyDescent="0.3">
      <c r="B6">
        <f>Table3[[#This Row],[Alphabets]]+Table3[[#This Row],[Numbers]]+Table3[[#This Row],[Special Character]]</f>
        <v>13</v>
      </c>
      <c r="C6">
        <f>Table3[[#This Row],[Lowercase]]+Table3[[#This Row],[Uppercase]]</f>
        <v>4</v>
      </c>
      <c r="D6">
        <v>3</v>
      </c>
      <c r="E6">
        <v>1</v>
      </c>
      <c r="F6">
        <v>3</v>
      </c>
      <c r="G6">
        <v>6</v>
      </c>
      <c r="H6">
        <v>1</v>
      </c>
      <c r="I6">
        <v>1</v>
      </c>
      <c r="J6">
        <v>1</v>
      </c>
      <c r="K6">
        <v>0</v>
      </c>
      <c r="L6">
        <f>IF(AND(Table3[[#This Row],[Length]]&gt;=15, Table3[[#This Row],[Unique]]+Table3[[#This Row],[Randomize]]+J6+K6&gt;=2), 1, 0)</f>
        <v>0</v>
      </c>
      <c r="N6" s="20" t="s">
        <v>23</v>
      </c>
      <c r="O6" s="21"/>
      <c r="P6" s="11">
        <f>P4+P5</f>
        <v>426</v>
      </c>
      <c r="Q6" s="11">
        <f>Q4+Q5</f>
        <v>1</v>
      </c>
    </row>
    <row r="7" spans="2:17" x14ac:dyDescent="0.3">
      <c r="B7">
        <f>Table3[[#This Row],[Alphabets]]+Table3[[#This Row],[Numbers]]+Table3[[#This Row],[Special Character]]</f>
        <v>14</v>
      </c>
      <c r="C7">
        <f>Table3[[#This Row],[Lowercase]]+Table3[[#This Row],[Uppercase]]</f>
        <v>10</v>
      </c>
      <c r="D7">
        <v>0</v>
      </c>
      <c r="E7">
        <v>10</v>
      </c>
      <c r="F7">
        <v>0</v>
      </c>
      <c r="G7">
        <v>4</v>
      </c>
      <c r="H7">
        <v>0</v>
      </c>
      <c r="I7">
        <v>1</v>
      </c>
      <c r="J7">
        <v>1</v>
      </c>
      <c r="K7">
        <v>1</v>
      </c>
      <c r="L7">
        <f>IF(AND(Table3[[#This Row],[Length]]&gt;=15, Table3[[#This Row],[Unique]]+Table3[[#This Row],[Randomize]]+J7+K7&gt;=2), 1, 0)</f>
        <v>0</v>
      </c>
    </row>
    <row r="8" spans="2:17" ht="14.4" customHeight="1" x14ac:dyDescent="0.3">
      <c r="B8">
        <f>Table3[[#This Row],[Alphabets]]+Table3[[#This Row],[Numbers]]+Table3[[#This Row],[Special Character]]</f>
        <v>28</v>
      </c>
      <c r="C8">
        <f>Table3[[#This Row],[Lowercase]]+Table3[[#This Row],[Uppercase]]</f>
        <v>19</v>
      </c>
      <c r="D8">
        <v>8</v>
      </c>
      <c r="E8">
        <v>9</v>
      </c>
      <c r="F8">
        <v>10</v>
      </c>
      <c r="G8">
        <v>1</v>
      </c>
      <c r="H8">
        <v>0</v>
      </c>
      <c r="I8">
        <v>1</v>
      </c>
      <c r="J8">
        <v>0</v>
      </c>
      <c r="K8">
        <v>1</v>
      </c>
      <c r="L8">
        <f>IF(AND(Table3[[#This Row],[Length]]&gt;=15, Table3[[#This Row],[Unique]]+Table3[[#This Row],[Randomize]]+J8+K8&gt;=2), 1, 0)</f>
        <v>1</v>
      </c>
      <c r="N8" s="22" t="s">
        <v>28</v>
      </c>
      <c r="O8" s="22"/>
      <c r="P8" s="22"/>
    </row>
    <row r="9" spans="2:17" x14ac:dyDescent="0.3">
      <c r="B9">
        <f>Table3[[#This Row],[Alphabets]]+Table3[[#This Row],[Numbers]]+Table3[[#This Row],[Special Character]]</f>
        <v>6</v>
      </c>
      <c r="C9">
        <f>Table3[[#This Row],[Lowercase]]+Table3[[#This Row],[Uppercase]]</f>
        <v>2</v>
      </c>
      <c r="D9">
        <v>0</v>
      </c>
      <c r="E9">
        <v>0</v>
      </c>
      <c r="F9">
        <v>2</v>
      </c>
      <c r="G9">
        <v>4</v>
      </c>
      <c r="H9">
        <v>0</v>
      </c>
      <c r="I9">
        <v>1</v>
      </c>
      <c r="J9">
        <v>1</v>
      </c>
      <c r="K9">
        <v>1</v>
      </c>
      <c r="L9">
        <f>IF(AND(Table3[[#This Row],[Length]]&gt;=15, Table3[[#This Row],[Unique]]+Table3[[#This Row],[Randomize]]+J9+K9&gt;=2), 1, 0)</f>
        <v>0</v>
      </c>
      <c r="N9" s="22"/>
      <c r="O9" s="22"/>
      <c r="P9" s="22"/>
    </row>
    <row r="10" spans="2:17" x14ac:dyDescent="0.3">
      <c r="B10">
        <f>Table3[[#This Row],[Alphabets]]+Table3[[#This Row],[Numbers]]+Table3[[#This Row],[Special Character]]</f>
        <v>14</v>
      </c>
      <c r="C10">
        <f>Table3[[#This Row],[Lowercase]]+Table3[[#This Row],[Uppercase]]</f>
        <v>10</v>
      </c>
      <c r="D10">
        <v>0</v>
      </c>
      <c r="E10">
        <v>6</v>
      </c>
      <c r="F10">
        <v>4</v>
      </c>
      <c r="G10">
        <v>4</v>
      </c>
      <c r="H10">
        <v>0</v>
      </c>
      <c r="I10">
        <v>1</v>
      </c>
      <c r="J10">
        <v>0</v>
      </c>
      <c r="K10">
        <v>1</v>
      </c>
      <c r="L10">
        <f>IF(AND(Table3[[#This Row],[Length]]&gt;=15, Table3[[#This Row],[Unique]]+Table3[[#This Row],[Randomize]]+J10+K10&gt;=2), 1, 0)</f>
        <v>0</v>
      </c>
      <c r="N10" s="22"/>
      <c r="O10" s="22"/>
      <c r="P10" s="22"/>
    </row>
    <row r="11" spans="2:17" x14ac:dyDescent="0.3">
      <c r="B11">
        <f>Table3[[#This Row],[Alphabets]]+Table3[[#This Row],[Numbers]]+Table3[[#This Row],[Special Character]]</f>
        <v>18</v>
      </c>
      <c r="C11">
        <f>Table3[[#This Row],[Lowercase]]+Table3[[#This Row],[Uppercase]]</f>
        <v>10</v>
      </c>
      <c r="D11">
        <v>7</v>
      </c>
      <c r="E11">
        <v>2</v>
      </c>
      <c r="F11">
        <v>8</v>
      </c>
      <c r="G11">
        <v>1</v>
      </c>
      <c r="H11">
        <v>1</v>
      </c>
      <c r="I11">
        <v>1</v>
      </c>
      <c r="J11">
        <v>0</v>
      </c>
      <c r="K11">
        <v>1</v>
      </c>
      <c r="L11">
        <f>IF(AND(Table3[[#This Row],[Length]]&gt;=15, Table3[[#This Row],[Unique]]+Table3[[#This Row],[Randomize]]+J11+K11&gt;=2), 1, 0)</f>
        <v>1</v>
      </c>
    </row>
    <row r="12" spans="2:17" x14ac:dyDescent="0.3">
      <c r="B12">
        <f>Table3[[#This Row],[Alphabets]]+Table3[[#This Row],[Numbers]]+Table3[[#This Row],[Special Character]]</f>
        <v>10</v>
      </c>
      <c r="C12">
        <f>Table3[[#This Row],[Lowercase]]+Table3[[#This Row],[Uppercase]]</f>
        <v>5</v>
      </c>
      <c r="D12">
        <v>4</v>
      </c>
      <c r="E12">
        <v>0</v>
      </c>
      <c r="F12">
        <v>5</v>
      </c>
      <c r="G12">
        <v>1</v>
      </c>
      <c r="H12">
        <v>0</v>
      </c>
      <c r="I12">
        <v>1</v>
      </c>
      <c r="J12">
        <v>0</v>
      </c>
      <c r="K12">
        <v>0</v>
      </c>
      <c r="L12">
        <f>IF(AND(Table3[[#This Row],[Length]]&gt;=15, Table3[[#This Row],[Unique]]+Table3[[#This Row],[Randomize]]+J12+K12&gt;=2), 1, 0)</f>
        <v>0</v>
      </c>
    </row>
    <row r="13" spans="2:17" x14ac:dyDescent="0.3">
      <c r="B13">
        <f>Table3[[#This Row],[Alphabets]]+Table3[[#This Row],[Numbers]]+Table3[[#This Row],[Special Character]]</f>
        <v>17</v>
      </c>
      <c r="C13">
        <f>Table3[[#This Row],[Lowercase]]+Table3[[#This Row],[Uppercase]]</f>
        <v>7</v>
      </c>
      <c r="D13">
        <v>5</v>
      </c>
      <c r="E13">
        <v>4</v>
      </c>
      <c r="F13">
        <v>3</v>
      </c>
      <c r="G13">
        <v>5</v>
      </c>
      <c r="H13">
        <v>1</v>
      </c>
      <c r="I13">
        <v>1</v>
      </c>
      <c r="J13">
        <v>0</v>
      </c>
      <c r="K13">
        <v>1</v>
      </c>
      <c r="L13">
        <f>IF(AND(Table3[[#This Row],[Length]]&gt;=15, Table3[[#This Row],[Unique]]+Table3[[#This Row],[Randomize]]+J13+K13&gt;=2), 1, 0)</f>
        <v>1</v>
      </c>
    </row>
    <row r="14" spans="2:17" x14ac:dyDescent="0.3">
      <c r="B14">
        <f>Table3[[#This Row],[Alphabets]]+Table3[[#This Row],[Numbers]]+Table3[[#This Row],[Special Character]]</f>
        <v>25</v>
      </c>
      <c r="C14">
        <f>Table3[[#This Row],[Lowercase]]+Table3[[#This Row],[Uppercase]]</f>
        <v>13</v>
      </c>
      <c r="D14">
        <v>7</v>
      </c>
      <c r="E14">
        <v>4</v>
      </c>
      <c r="F14">
        <v>9</v>
      </c>
      <c r="G14">
        <v>5</v>
      </c>
      <c r="H14">
        <v>1</v>
      </c>
      <c r="I14">
        <v>1</v>
      </c>
      <c r="J14">
        <v>0</v>
      </c>
      <c r="K14">
        <v>1</v>
      </c>
      <c r="L14">
        <f>IF(AND(Table3[[#This Row],[Length]]&gt;=15, Table3[[#This Row],[Unique]]+Table3[[#This Row],[Randomize]]+J14+K14&gt;=2), 1, 0)</f>
        <v>1</v>
      </c>
    </row>
    <row r="15" spans="2:17" x14ac:dyDescent="0.3">
      <c r="B15">
        <f>Table3[[#This Row],[Alphabets]]+Table3[[#This Row],[Numbers]]+Table3[[#This Row],[Special Character]]</f>
        <v>15</v>
      </c>
      <c r="C15">
        <f>Table3[[#This Row],[Lowercase]]+Table3[[#This Row],[Uppercase]]</f>
        <v>9</v>
      </c>
      <c r="D15">
        <v>2</v>
      </c>
      <c r="E15">
        <v>1</v>
      </c>
      <c r="F15">
        <v>8</v>
      </c>
      <c r="G15">
        <v>4</v>
      </c>
      <c r="H15">
        <v>0</v>
      </c>
      <c r="I15">
        <v>1</v>
      </c>
      <c r="J15">
        <v>0</v>
      </c>
      <c r="K15">
        <v>1</v>
      </c>
      <c r="L15">
        <f>IF(AND(Table3[[#This Row],[Length]]&gt;=15, Table3[[#This Row],[Unique]]+Table3[[#This Row],[Randomize]]+J15+K15&gt;=2), 1, 0)</f>
        <v>1</v>
      </c>
    </row>
    <row r="16" spans="2:17" x14ac:dyDescent="0.3">
      <c r="B16">
        <f>Table3[[#This Row],[Alphabets]]+Table3[[#This Row],[Numbers]]+Table3[[#This Row],[Special Character]]</f>
        <v>26</v>
      </c>
      <c r="C16">
        <f>Table3[[#This Row],[Lowercase]]+Table3[[#This Row],[Uppercase]]</f>
        <v>17</v>
      </c>
      <c r="D16">
        <v>7</v>
      </c>
      <c r="E16">
        <v>7</v>
      </c>
      <c r="F16">
        <v>10</v>
      </c>
      <c r="G16">
        <v>2</v>
      </c>
      <c r="H16">
        <v>1</v>
      </c>
      <c r="I16">
        <v>1</v>
      </c>
      <c r="J16">
        <v>1</v>
      </c>
      <c r="K16">
        <v>0</v>
      </c>
      <c r="L16">
        <f>IF(AND(Table3[[#This Row],[Length]]&gt;=15, Table3[[#This Row],[Unique]]+Table3[[#This Row],[Randomize]]+J16+K16&gt;=2), 1, 0)</f>
        <v>1</v>
      </c>
    </row>
    <row r="17" spans="2:12" x14ac:dyDescent="0.3">
      <c r="B17">
        <f>Table3[[#This Row],[Alphabets]]+Table3[[#This Row],[Numbers]]+Table3[[#This Row],[Special Character]]</f>
        <v>15</v>
      </c>
      <c r="C17">
        <f>Table3[[#This Row],[Lowercase]]+Table3[[#This Row],[Uppercase]]</f>
        <v>9</v>
      </c>
      <c r="D17">
        <v>4</v>
      </c>
      <c r="E17">
        <v>6</v>
      </c>
      <c r="F17">
        <v>3</v>
      </c>
      <c r="G17">
        <v>2</v>
      </c>
      <c r="H17">
        <v>0</v>
      </c>
      <c r="I17">
        <v>1</v>
      </c>
      <c r="J17">
        <v>1</v>
      </c>
      <c r="K17">
        <v>1</v>
      </c>
      <c r="L17">
        <f>IF(AND(Table3[[#This Row],[Length]]&gt;=15, Table3[[#This Row],[Unique]]+Table3[[#This Row],[Randomize]]+J17+K17&gt;=2), 1, 0)</f>
        <v>1</v>
      </c>
    </row>
    <row r="18" spans="2:12" x14ac:dyDescent="0.3">
      <c r="B18">
        <f>Table3[[#This Row],[Alphabets]]+Table3[[#This Row],[Numbers]]+Table3[[#This Row],[Special Character]]</f>
        <v>19</v>
      </c>
      <c r="C18">
        <f>Table3[[#This Row],[Lowercase]]+Table3[[#This Row],[Uppercase]]</f>
        <v>18</v>
      </c>
      <c r="D18">
        <v>0</v>
      </c>
      <c r="E18">
        <v>10</v>
      </c>
      <c r="F18">
        <v>8</v>
      </c>
      <c r="G18">
        <v>1</v>
      </c>
      <c r="H18">
        <v>0</v>
      </c>
      <c r="I18">
        <v>1</v>
      </c>
      <c r="J18">
        <v>0</v>
      </c>
      <c r="K18">
        <v>1</v>
      </c>
      <c r="L18">
        <f>IF(AND(Table3[[#This Row],[Length]]&gt;=15, Table3[[#This Row],[Unique]]+Table3[[#This Row],[Randomize]]+J18+K18&gt;=2), 1, 0)</f>
        <v>1</v>
      </c>
    </row>
    <row r="19" spans="2:12" x14ac:dyDescent="0.3">
      <c r="B19">
        <f>Table3[[#This Row],[Alphabets]]+Table3[[#This Row],[Numbers]]+Table3[[#This Row],[Special Character]]</f>
        <v>13</v>
      </c>
      <c r="C19">
        <f>Table3[[#This Row],[Lowercase]]+Table3[[#This Row],[Uppercase]]</f>
        <v>0</v>
      </c>
      <c r="D19">
        <v>8</v>
      </c>
      <c r="E19">
        <v>0</v>
      </c>
      <c r="F19">
        <v>0</v>
      </c>
      <c r="G19">
        <v>5</v>
      </c>
      <c r="H19">
        <v>0</v>
      </c>
      <c r="I19">
        <v>1</v>
      </c>
      <c r="J19">
        <v>1</v>
      </c>
      <c r="K19">
        <v>0</v>
      </c>
      <c r="L19">
        <f>IF(AND(Table3[[#This Row],[Length]]&gt;=15, Table3[[#This Row],[Unique]]+Table3[[#This Row],[Randomize]]+J19+K19&gt;=2), 1, 0)</f>
        <v>0</v>
      </c>
    </row>
    <row r="20" spans="2:12" x14ac:dyDescent="0.3">
      <c r="B20">
        <f>Table3[[#This Row],[Alphabets]]+Table3[[#This Row],[Numbers]]+Table3[[#This Row],[Special Character]]</f>
        <v>14</v>
      </c>
      <c r="C20">
        <f>Table3[[#This Row],[Lowercase]]+Table3[[#This Row],[Uppercase]]</f>
        <v>6</v>
      </c>
      <c r="D20">
        <v>5</v>
      </c>
      <c r="E20">
        <v>5</v>
      </c>
      <c r="F20">
        <v>1</v>
      </c>
      <c r="G20">
        <v>3</v>
      </c>
      <c r="H20">
        <v>1</v>
      </c>
      <c r="I20">
        <v>1</v>
      </c>
      <c r="J20">
        <v>1</v>
      </c>
      <c r="K20">
        <v>0</v>
      </c>
      <c r="L20">
        <f>IF(AND(Table3[[#This Row],[Length]]&gt;=15, Table3[[#This Row],[Unique]]+Table3[[#This Row],[Randomize]]+J20+K20&gt;=2), 1, 0)</f>
        <v>0</v>
      </c>
    </row>
    <row r="21" spans="2:12" x14ac:dyDescent="0.3">
      <c r="B21">
        <f>Table3[[#This Row],[Alphabets]]+Table3[[#This Row],[Numbers]]+Table3[[#This Row],[Special Character]]</f>
        <v>20</v>
      </c>
      <c r="C21">
        <f>Table3[[#This Row],[Lowercase]]+Table3[[#This Row],[Uppercase]]</f>
        <v>15</v>
      </c>
      <c r="D21">
        <v>2</v>
      </c>
      <c r="E21">
        <v>6</v>
      </c>
      <c r="F21">
        <v>9</v>
      </c>
      <c r="G21">
        <v>3</v>
      </c>
      <c r="H21">
        <v>1</v>
      </c>
      <c r="I21">
        <v>1</v>
      </c>
      <c r="J21">
        <v>0</v>
      </c>
      <c r="K21">
        <v>0</v>
      </c>
      <c r="L21">
        <f>IF(AND(Table3[[#This Row],[Length]]&gt;=15, Table3[[#This Row],[Unique]]+Table3[[#This Row],[Randomize]]+J21+K21&gt;=2), 1, 0)</f>
        <v>1</v>
      </c>
    </row>
    <row r="22" spans="2:12" x14ac:dyDescent="0.3">
      <c r="B22">
        <f>Table3[[#This Row],[Alphabets]]+Table3[[#This Row],[Numbers]]+Table3[[#This Row],[Special Character]]</f>
        <v>27</v>
      </c>
      <c r="C22">
        <f>Table3[[#This Row],[Lowercase]]+Table3[[#This Row],[Uppercase]]</f>
        <v>18</v>
      </c>
      <c r="D22">
        <v>8</v>
      </c>
      <c r="E22">
        <v>10</v>
      </c>
      <c r="F22">
        <v>8</v>
      </c>
      <c r="G22">
        <v>1</v>
      </c>
      <c r="H22">
        <v>0</v>
      </c>
      <c r="I22">
        <v>1</v>
      </c>
      <c r="J22">
        <v>0</v>
      </c>
      <c r="K22">
        <v>1</v>
      </c>
      <c r="L22">
        <f>IF(AND(Table3[[#This Row],[Length]]&gt;=15, Table3[[#This Row],[Unique]]+Table3[[#This Row],[Randomize]]+J22+K22&gt;=2), 1, 0)</f>
        <v>1</v>
      </c>
    </row>
    <row r="23" spans="2:12" x14ac:dyDescent="0.3">
      <c r="B23">
        <f>Table3[[#This Row],[Alphabets]]+Table3[[#This Row],[Numbers]]+Table3[[#This Row],[Special Character]]</f>
        <v>18</v>
      </c>
      <c r="C23">
        <f>Table3[[#This Row],[Lowercase]]+Table3[[#This Row],[Uppercase]]</f>
        <v>10</v>
      </c>
      <c r="D23">
        <v>5</v>
      </c>
      <c r="E23">
        <v>10</v>
      </c>
      <c r="F23">
        <v>0</v>
      </c>
      <c r="G23">
        <v>3</v>
      </c>
      <c r="H23">
        <v>1</v>
      </c>
      <c r="I23">
        <v>1</v>
      </c>
      <c r="J23">
        <v>0</v>
      </c>
      <c r="K23">
        <v>0</v>
      </c>
      <c r="L23">
        <f>IF(AND(Table3[[#This Row],[Length]]&gt;=15, Table3[[#This Row],[Unique]]+Table3[[#This Row],[Randomize]]+J23+K23&gt;=2), 1, 0)</f>
        <v>1</v>
      </c>
    </row>
    <row r="24" spans="2:12" x14ac:dyDescent="0.3">
      <c r="B24">
        <f>Table3[[#This Row],[Alphabets]]+Table3[[#This Row],[Numbers]]+Table3[[#This Row],[Special Character]]</f>
        <v>18</v>
      </c>
      <c r="C24">
        <f>Table3[[#This Row],[Lowercase]]+Table3[[#This Row],[Uppercase]]</f>
        <v>13</v>
      </c>
      <c r="D24">
        <v>4</v>
      </c>
      <c r="E24">
        <v>7</v>
      </c>
      <c r="F24">
        <v>6</v>
      </c>
      <c r="G24">
        <v>1</v>
      </c>
      <c r="H24">
        <v>1</v>
      </c>
      <c r="I24">
        <v>1</v>
      </c>
      <c r="J24">
        <v>0</v>
      </c>
      <c r="K24">
        <v>0</v>
      </c>
      <c r="L24">
        <f>IF(AND(Table3[[#This Row],[Length]]&gt;=15, Table3[[#This Row],[Unique]]+Table3[[#This Row],[Randomize]]+J24+K24&gt;=2), 1, 0)</f>
        <v>1</v>
      </c>
    </row>
    <row r="25" spans="2:12" x14ac:dyDescent="0.3">
      <c r="B25">
        <f>Table3[[#This Row],[Alphabets]]+Table3[[#This Row],[Numbers]]+Table3[[#This Row],[Special Character]]</f>
        <v>26</v>
      </c>
      <c r="C25">
        <f>Table3[[#This Row],[Lowercase]]+Table3[[#This Row],[Uppercase]]</f>
        <v>11</v>
      </c>
      <c r="D25">
        <v>9</v>
      </c>
      <c r="E25">
        <v>6</v>
      </c>
      <c r="F25">
        <v>5</v>
      </c>
      <c r="G25">
        <v>6</v>
      </c>
      <c r="H25">
        <v>0</v>
      </c>
      <c r="I25">
        <v>1</v>
      </c>
      <c r="J25">
        <v>1</v>
      </c>
      <c r="K25">
        <v>1</v>
      </c>
      <c r="L25">
        <f>IF(AND(Table3[[#This Row],[Length]]&gt;=15, Table3[[#This Row],[Unique]]+Table3[[#This Row],[Randomize]]+J25+K25&gt;=2), 1, 0)</f>
        <v>1</v>
      </c>
    </row>
    <row r="26" spans="2:12" x14ac:dyDescent="0.3">
      <c r="B26">
        <f>Table3[[#This Row],[Alphabets]]+Table3[[#This Row],[Numbers]]+Table3[[#This Row],[Special Character]]</f>
        <v>17</v>
      </c>
      <c r="C26">
        <f>Table3[[#This Row],[Lowercase]]+Table3[[#This Row],[Uppercase]]</f>
        <v>10</v>
      </c>
      <c r="D26">
        <v>4</v>
      </c>
      <c r="E26">
        <v>3</v>
      </c>
      <c r="F26">
        <v>7</v>
      </c>
      <c r="G26">
        <v>3</v>
      </c>
      <c r="H26">
        <v>1</v>
      </c>
      <c r="I26">
        <v>1</v>
      </c>
      <c r="J26">
        <v>0</v>
      </c>
      <c r="K26">
        <v>0</v>
      </c>
      <c r="L26">
        <f>IF(AND(Table3[[#This Row],[Length]]&gt;=15, Table3[[#This Row],[Unique]]+Table3[[#This Row],[Randomize]]+J26+K26&gt;=2), 1, 0)</f>
        <v>1</v>
      </c>
    </row>
    <row r="27" spans="2:12" x14ac:dyDescent="0.3">
      <c r="B27">
        <f>Table3[[#This Row],[Alphabets]]+Table3[[#This Row],[Numbers]]+Table3[[#This Row],[Special Character]]</f>
        <v>11</v>
      </c>
      <c r="C27">
        <f>Table3[[#This Row],[Lowercase]]+Table3[[#This Row],[Uppercase]]</f>
        <v>5</v>
      </c>
      <c r="D27">
        <v>0</v>
      </c>
      <c r="E27">
        <v>5</v>
      </c>
      <c r="F27">
        <v>0</v>
      </c>
      <c r="G27">
        <v>6</v>
      </c>
      <c r="H27">
        <v>0</v>
      </c>
      <c r="I27">
        <v>1</v>
      </c>
      <c r="J27">
        <v>1</v>
      </c>
      <c r="K27">
        <v>1</v>
      </c>
      <c r="L27">
        <f>IF(AND(Table3[[#This Row],[Length]]&gt;=15, Table3[[#This Row],[Unique]]+Table3[[#This Row],[Randomize]]+J27+K27&gt;=2), 1, 0)</f>
        <v>0</v>
      </c>
    </row>
    <row r="28" spans="2:12" x14ac:dyDescent="0.3">
      <c r="B28">
        <f>Table3[[#This Row],[Alphabets]]+Table3[[#This Row],[Numbers]]+Table3[[#This Row],[Special Character]]</f>
        <v>12</v>
      </c>
      <c r="C28">
        <f>Table3[[#This Row],[Lowercase]]+Table3[[#This Row],[Uppercase]]</f>
        <v>6</v>
      </c>
      <c r="D28">
        <v>5</v>
      </c>
      <c r="E28">
        <v>1</v>
      </c>
      <c r="F28">
        <v>5</v>
      </c>
      <c r="G28">
        <v>1</v>
      </c>
      <c r="H28">
        <v>0</v>
      </c>
      <c r="I28">
        <v>1</v>
      </c>
      <c r="J28">
        <v>0</v>
      </c>
      <c r="K28">
        <v>1</v>
      </c>
      <c r="L28">
        <f>IF(AND(Table3[[#This Row],[Length]]&gt;=15, Table3[[#This Row],[Unique]]+Table3[[#This Row],[Randomize]]+J28+K28&gt;=2), 1, 0)</f>
        <v>0</v>
      </c>
    </row>
    <row r="29" spans="2:12" x14ac:dyDescent="0.3">
      <c r="B29">
        <f>Table3[[#This Row],[Alphabets]]+Table3[[#This Row],[Numbers]]+Table3[[#This Row],[Special Character]]</f>
        <v>25</v>
      </c>
      <c r="C29">
        <f>Table3[[#This Row],[Lowercase]]+Table3[[#This Row],[Uppercase]]</f>
        <v>15</v>
      </c>
      <c r="D29">
        <v>6</v>
      </c>
      <c r="E29">
        <v>7</v>
      </c>
      <c r="F29">
        <v>8</v>
      </c>
      <c r="G29">
        <v>4</v>
      </c>
      <c r="H29">
        <v>0</v>
      </c>
      <c r="I29">
        <v>1</v>
      </c>
      <c r="J29">
        <v>1</v>
      </c>
      <c r="K29">
        <v>0</v>
      </c>
      <c r="L29">
        <f>IF(AND(Table3[[#This Row],[Length]]&gt;=15, Table3[[#This Row],[Unique]]+Table3[[#This Row],[Randomize]]+J29+K29&gt;=2), 1, 0)</f>
        <v>1</v>
      </c>
    </row>
    <row r="30" spans="2:12" x14ac:dyDescent="0.3">
      <c r="B30">
        <f>Table3[[#This Row],[Alphabets]]+Table3[[#This Row],[Numbers]]+Table3[[#This Row],[Special Character]]</f>
        <v>13</v>
      </c>
      <c r="C30">
        <f>Table3[[#This Row],[Lowercase]]+Table3[[#This Row],[Uppercase]]</f>
        <v>4</v>
      </c>
      <c r="D30">
        <v>8</v>
      </c>
      <c r="E30">
        <v>4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f>IF(AND(Table3[[#This Row],[Length]]&gt;=15, Table3[[#This Row],[Unique]]+Table3[[#This Row],[Randomize]]+J30+K30&gt;=2), 1, 0)</f>
        <v>0</v>
      </c>
    </row>
    <row r="31" spans="2:12" x14ac:dyDescent="0.3">
      <c r="B31">
        <f>Table3[[#This Row],[Alphabets]]+Table3[[#This Row],[Numbers]]+Table3[[#This Row],[Special Character]]</f>
        <v>24</v>
      </c>
      <c r="C31">
        <f>Table3[[#This Row],[Lowercase]]+Table3[[#This Row],[Uppercase]]</f>
        <v>15</v>
      </c>
      <c r="D31">
        <v>4</v>
      </c>
      <c r="E31">
        <v>9</v>
      </c>
      <c r="F31">
        <v>6</v>
      </c>
      <c r="G31">
        <v>5</v>
      </c>
      <c r="H31">
        <v>0</v>
      </c>
      <c r="I31">
        <v>1</v>
      </c>
      <c r="J31">
        <v>0</v>
      </c>
      <c r="K31">
        <v>0</v>
      </c>
      <c r="L31">
        <f>IF(AND(Table3[[#This Row],[Length]]&gt;=15, Table3[[#This Row],[Unique]]+Table3[[#This Row],[Randomize]]+J31+K31&gt;=2), 1, 0)</f>
        <v>0</v>
      </c>
    </row>
    <row r="32" spans="2:12" x14ac:dyDescent="0.3">
      <c r="B32">
        <f>Table3[[#This Row],[Alphabets]]+Table3[[#This Row],[Numbers]]+Table3[[#This Row],[Special Character]]</f>
        <v>17</v>
      </c>
      <c r="C32">
        <f>Table3[[#This Row],[Lowercase]]+Table3[[#This Row],[Uppercase]]</f>
        <v>10</v>
      </c>
      <c r="D32">
        <v>5</v>
      </c>
      <c r="E32">
        <v>5</v>
      </c>
      <c r="F32">
        <v>5</v>
      </c>
      <c r="G32">
        <v>2</v>
      </c>
      <c r="H32">
        <v>1</v>
      </c>
      <c r="I32">
        <v>1</v>
      </c>
      <c r="J32">
        <v>1</v>
      </c>
      <c r="K32">
        <v>1</v>
      </c>
      <c r="L32">
        <f>IF(AND(Table3[[#This Row],[Length]]&gt;=15, Table3[[#This Row],[Unique]]+Table3[[#This Row],[Randomize]]+J32+K32&gt;=2), 1, 0)</f>
        <v>1</v>
      </c>
    </row>
    <row r="33" spans="2:12" x14ac:dyDescent="0.3">
      <c r="B33">
        <f>Table3[[#This Row],[Alphabets]]+Table3[[#This Row],[Numbers]]+Table3[[#This Row],[Special Character]]</f>
        <v>9</v>
      </c>
      <c r="C33">
        <f>Table3[[#This Row],[Lowercase]]+Table3[[#This Row],[Uppercase]]</f>
        <v>1</v>
      </c>
      <c r="D33">
        <v>2</v>
      </c>
      <c r="E33">
        <v>0</v>
      </c>
      <c r="F33">
        <v>1</v>
      </c>
      <c r="G33">
        <v>6</v>
      </c>
      <c r="H33">
        <v>0</v>
      </c>
      <c r="I33">
        <v>1</v>
      </c>
      <c r="J33">
        <v>1</v>
      </c>
      <c r="K33">
        <v>0</v>
      </c>
      <c r="L33">
        <f>IF(AND(Table3[[#This Row],[Length]]&gt;=15, Table3[[#This Row],[Unique]]+Table3[[#This Row],[Randomize]]+J33+K33&gt;=2), 1, 0)</f>
        <v>0</v>
      </c>
    </row>
    <row r="34" spans="2:12" x14ac:dyDescent="0.3">
      <c r="B34">
        <f>Table3[[#This Row],[Alphabets]]+Table3[[#This Row],[Numbers]]+Table3[[#This Row],[Special Character]]</f>
        <v>27</v>
      </c>
      <c r="C34">
        <f>Table3[[#This Row],[Lowercase]]+Table3[[#This Row],[Uppercase]]</f>
        <v>15</v>
      </c>
      <c r="D34">
        <v>9</v>
      </c>
      <c r="E34">
        <v>6</v>
      </c>
      <c r="F34">
        <v>9</v>
      </c>
      <c r="G34">
        <v>3</v>
      </c>
      <c r="H34">
        <v>1</v>
      </c>
      <c r="I34">
        <v>1</v>
      </c>
      <c r="J34">
        <v>1</v>
      </c>
      <c r="K34">
        <v>1</v>
      </c>
      <c r="L34">
        <f>IF(AND(Table3[[#This Row],[Length]]&gt;=15, Table3[[#This Row],[Unique]]+Table3[[#This Row],[Randomize]]+J34+K34&gt;=2), 1, 0)</f>
        <v>1</v>
      </c>
    </row>
    <row r="35" spans="2:12" x14ac:dyDescent="0.3">
      <c r="B35">
        <f>Table3[[#This Row],[Alphabets]]+Table3[[#This Row],[Numbers]]+Table3[[#This Row],[Special Character]]</f>
        <v>18</v>
      </c>
      <c r="C35">
        <f>Table3[[#This Row],[Lowercase]]+Table3[[#This Row],[Uppercase]]</f>
        <v>8</v>
      </c>
      <c r="D35">
        <v>9</v>
      </c>
      <c r="E35">
        <v>3</v>
      </c>
      <c r="F35">
        <v>5</v>
      </c>
      <c r="G35">
        <v>1</v>
      </c>
      <c r="H35">
        <v>0</v>
      </c>
      <c r="I35">
        <v>1</v>
      </c>
      <c r="J35">
        <v>0</v>
      </c>
      <c r="K35">
        <v>1</v>
      </c>
      <c r="L35">
        <f>IF(AND(Table3[[#This Row],[Length]]&gt;=15, Table3[[#This Row],[Unique]]+Table3[[#This Row],[Randomize]]+J35+K35&gt;=2), 1, 0)</f>
        <v>1</v>
      </c>
    </row>
    <row r="36" spans="2:12" x14ac:dyDescent="0.3">
      <c r="B36">
        <f>Table3[[#This Row],[Alphabets]]+Table3[[#This Row],[Numbers]]+Table3[[#This Row],[Special Character]]</f>
        <v>26</v>
      </c>
      <c r="C36">
        <f>Table3[[#This Row],[Lowercase]]+Table3[[#This Row],[Uppercase]]</f>
        <v>18</v>
      </c>
      <c r="D36">
        <v>7</v>
      </c>
      <c r="E36">
        <v>8</v>
      </c>
      <c r="F36">
        <v>10</v>
      </c>
      <c r="G36">
        <v>1</v>
      </c>
      <c r="H36">
        <v>0</v>
      </c>
      <c r="I36">
        <v>1</v>
      </c>
      <c r="J36">
        <v>0</v>
      </c>
      <c r="K36">
        <v>1</v>
      </c>
      <c r="L36">
        <f>IF(AND(Table3[[#This Row],[Length]]&gt;=15, Table3[[#This Row],[Unique]]+Table3[[#This Row],[Randomize]]+J36+K36&gt;=2), 1, 0)</f>
        <v>1</v>
      </c>
    </row>
    <row r="37" spans="2:12" x14ac:dyDescent="0.3">
      <c r="B37">
        <f>Table3[[#This Row],[Alphabets]]+Table3[[#This Row],[Numbers]]+Table3[[#This Row],[Special Character]]</f>
        <v>9</v>
      </c>
      <c r="C37">
        <f>Table3[[#This Row],[Lowercase]]+Table3[[#This Row],[Uppercase]]</f>
        <v>8</v>
      </c>
      <c r="D37">
        <v>0</v>
      </c>
      <c r="E37">
        <v>0</v>
      </c>
      <c r="F37">
        <v>8</v>
      </c>
      <c r="G37">
        <v>1</v>
      </c>
      <c r="H37">
        <v>0</v>
      </c>
      <c r="I37">
        <v>1</v>
      </c>
      <c r="J37">
        <v>1</v>
      </c>
      <c r="K37">
        <v>1</v>
      </c>
      <c r="L37">
        <f>IF(AND(Table3[[#This Row],[Length]]&gt;=15, Table3[[#This Row],[Unique]]+Table3[[#This Row],[Randomize]]+J37+K37&gt;=2), 1, 0)</f>
        <v>0</v>
      </c>
    </row>
    <row r="38" spans="2:12" x14ac:dyDescent="0.3">
      <c r="B38">
        <f>Table3[[#This Row],[Alphabets]]+Table3[[#This Row],[Numbers]]+Table3[[#This Row],[Special Character]]</f>
        <v>16</v>
      </c>
      <c r="C38">
        <f>Table3[[#This Row],[Lowercase]]+Table3[[#This Row],[Uppercase]]</f>
        <v>6</v>
      </c>
      <c r="D38">
        <v>6</v>
      </c>
      <c r="E38">
        <v>2</v>
      </c>
      <c r="F38">
        <v>4</v>
      </c>
      <c r="G38">
        <v>4</v>
      </c>
      <c r="H38">
        <v>0</v>
      </c>
      <c r="I38">
        <v>1</v>
      </c>
      <c r="J38">
        <v>0</v>
      </c>
      <c r="K38">
        <v>1</v>
      </c>
      <c r="L38">
        <f>IF(AND(Table3[[#This Row],[Length]]&gt;=15, Table3[[#This Row],[Unique]]+Table3[[#This Row],[Randomize]]+J38+K38&gt;=2), 1, 0)</f>
        <v>1</v>
      </c>
    </row>
    <row r="39" spans="2:12" x14ac:dyDescent="0.3">
      <c r="B39">
        <f>Table3[[#This Row],[Alphabets]]+Table3[[#This Row],[Numbers]]+Table3[[#This Row],[Special Character]]</f>
        <v>7</v>
      </c>
      <c r="C39">
        <f>Table3[[#This Row],[Lowercase]]+Table3[[#This Row],[Uppercase]]</f>
        <v>2</v>
      </c>
      <c r="D39">
        <v>0</v>
      </c>
      <c r="E39">
        <v>1</v>
      </c>
      <c r="F39">
        <v>1</v>
      </c>
      <c r="G39">
        <v>5</v>
      </c>
      <c r="H39">
        <v>1</v>
      </c>
      <c r="I39">
        <v>1</v>
      </c>
      <c r="J39">
        <v>0</v>
      </c>
      <c r="K39">
        <v>1</v>
      </c>
      <c r="L39">
        <f>IF(AND(Table3[[#This Row],[Length]]&gt;=15, Table3[[#This Row],[Unique]]+Table3[[#This Row],[Randomize]]+J39+K39&gt;=2), 1, 0)</f>
        <v>0</v>
      </c>
    </row>
    <row r="40" spans="2:12" x14ac:dyDescent="0.3">
      <c r="B40">
        <f>Table3[[#This Row],[Alphabets]]+Table3[[#This Row],[Numbers]]+Table3[[#This Row],[Special Character]]</f>
        <v>17</v>
      </c>
      <c r="C40">
        <f>Table3[[#This Row],[Lowercase]]+Table3[[#This Row],[Uppercase]]</f>
        <v>11</v>
      </c>
      <c r="D40">
        <v>4</v>
      </c>
      <c r="E40">
        <v>9</v>
      </c>
      <c r="F40">
        <v>2</v>
      </c>
      <c r="G40">
        <v>2</v>
      </c>
      <c r="H40">
        <v>0</v>
      </c>
      <c r="I40">
        <v>1</v>
      </c>
      <c r="J40">
        <v>0</v>
      </c>
      <c r="K40">
        <v>0</v>
      </c>
      <c r="L40">
        <f>IF(AND(Table3[[#This Row],[Length]]&gt;=15, Table3[[#This Row],[Unique]]+Table3[[#This Row],[Randomize]]+J40+K40&gt;=2), 1, 0)</f>
        <v>0</v>
      </c>
    </row>
    <row r="41" spans="2:12" x14ac:dyDescent="0.3">
      <c r="B41">
        <f>Table3[[#This Row],[Alphabets]]+Table3[[#This Row],[Numbers]]+Table3[[#This Row],[Special Character]]</f>
        <v>24</v>
      </c>
      <c r="C41">
        <f>Table3[[#This Row],[Lowercase]]+Table3[[#This Row],[Uppercase]]</f>
        <v>11</v>
      </c>
      <c r="D41">
        <v>8</v>
      </c>
      <c r="E41">
        <v>6</v>
      </c>
      <c r="F41">
        <v>5</v>
      </c>
      <c r="G41">
        <v>5</v>
      </c>
      <c r="H41">
        <v>1</v>
      </c>
      <c r="I41">
        <v>1</v>
      </c>
      <c r="J41">
        <v>0</v>
      </c>
      <c r="K41">
        <v>1</v>
      </c>
      <c r="L41">
        <f>IF(AND(Table3[[#This Row],[Length]]&gt;=15, Table3[[#This Row],[Unique]]+Table3[[#This Row],[Randomize]]+J41+K41&gt;=2), 1, 0)</f>
        <v>1</v>
      </c>
    </row>
    <row r="42" spans="2:12" x14ac:dyDescent="0.3">
      <c r="B42">
        <f>Table3[[#This Row],[Alphabets]]+Table3[[#This Row],[Numbers]]+Table3[[#This Row],[Special Character]]</f>
        <v>17</v>
      </c>
      <c r="C42">
        <f>Table3[[#This Row],[Lowercase]]+Table3[[#This Row],[Uppercase]]</f>
        <v>12</v>
      </c>
      <c r="D42">
        <v>2</v>
      </c>
      <c r="E42">
        <v>3</v>
      </c>
      <c r="F42">
        <v>9</v>
      </c>
      <c r="G42">
        <v>3</v>
      </c>
      <c r="H42">
        <v>1</v>
      </c>
      <c r="I42">
        <v>1</v>
      </c>
      <c r="J42">
        <v>0</v>
      </c>
      <c r="K42">
        <v>1</v>
      </c>
      <c r="L42">
        <f>IF(AND(Table3[[#This Row],[Length]]&gt;=15, Table3[[#This Row],[Unique]]+Table3[[#This Row],[Randomize]]+J42+K42&gt;=2), 1, 0)</f>
        <v>1</v>
      </c>
    </row>
    <row r="43" spans="2:12" x14ac:dyDescent="0.3">
      <c r="B43">
        <f>Table3[[#This Row],[Alphabets]]+Table3[[#This Row],[Numbers]]+Table3[[#This Row],[Special Character]]</f>
        <v>26</v>
      </c>
      <c r="C43">
        <f>Table3[[#This Row],[Lowercase]]+Table3[[#This Row],[Uppercase]]</f>
        <v>17</v>
      </c>
      <c r="D43">
        <v>8</v>
      </c>
      <c r="E43">
        <v>8</v>
      </c>
      <c r="F43">
        <v>9</v>
      </c>
      <c r="G43">
        <v>1</v>
      </c>
      <c r="H43">
        <v>1</v>
      </c>
      <c r="I43">
        <v>1</v>
      </c>
      <c r="J43">
        <v>1</v>
      </c>
      <c r="K43">
        <v>0</v>
      </c>
      <c r="L43">
        <f>IF(AND(Table3[[#This Row],[Length]]&gt;=15, Table3[[#This Row],[Unique]]+Table3[[#This Row],[Randomize]]+J43+K43&gt;=2), 1, 0)</f>
        <v>1</v>
      </c>
    </row>
    <row r="44" spans="2:12" x14ac:dyDescent="0.3">
      <c r="B44">
        <f>Table3[[#This Row],[Alphabets]]+Table3[[#This Row],[Numbers]]+Table3[[#This Row],[Special Character]]</f>
        <v>27</v>
      </c>
      <c r="C44">
        <f>Table3[[#This Row],[Lowercase]]+Table3[[#This Row],[Uppercase]]</f>
        <v>17</v>
      </c>
      <c r="D44">
        <v>4</v>
      </c>
      <c r="E44">
        <v>7</v>
      </c>
      <c r="F44">
        <v>10</v>
      </c>
      <c r="G44">
        <v>6</v>
      </c>
      <c r="H44">
        <v>0</v>
      </c>
      <c r="I44">
        <v>1</v>
      </c>
      <c r="J44">
        <v>1</v>
      </c>
      <c r="K44">
        <v>0</v>
      </c>
      <c r="L44">
        <f>IF(AND(Table3[[#This Row],[Length]]&gt;=15, Table3[[#This Row],[Unique]]+Table3[[#This Row],[Randomize]]+J44+K44&gt;=2), 1, 0)</f>
        <v>1</v>
      </c>
    </row>
    <row r="45" spans="2:12" x14ac:dyDescent="0.3">
      <c r="B45">
        <f>Table3[[#This Row],[Alphabets]]+Table3[[#This Row],[Numbers]]+Table3[[#This Row],[Special Character]]</f>
        <v>4</v>
      </c>
      <c r="C45">
        <f>Table3[[#This Row],[Lowercase]]+Table3[[#This Row],[Uppercase]]</f>
        <v>1</v>
      </c>
      <c r="D45">
        <v>0</v>
      </c>
      <c r="E45">
        <v>0</v>
      </c>
      <c r="F45">
        <v>1</v>
      </c>
      <c r="G45">
        <v>3</v>
      </c>
      <c r="H45">
        <v>0</v>
      </c>
      <c r="I45">
        <v>1</v>
      </c>
      <c r="J45">
        <v>1</v>
      </c>
      <c r="K45">
        <v>0</v>
      </c>
      <c r="L45">
        <f>IF(AND(Table3[[#This Row],[Length]]&gt;=15, Table3[[#This Row],[Unique]]+Table3[[#This Row],[Randomize]]+J45+K45&gt;=2), 1, 0)</f>
        <v>0</v>
      </c>
    </row>
    <row r="46" spans="2:12" x14ac:dyDescent="0.3">
      <c r="B46">
        <f>Table3[[#This Row],[Alphabets]]+Table3[[#This Row],[Numbers]]+Table3[[#This Row],[Special Character]]</f>
        <v>12</v>
      </c>
      <c r="C46">
        <f>Table3[[#This Row],[Lowercase]]+Table3[[#This Row],[Uppercase]]</f>
        <v>6</v>
      </c>
      <c r="D46">
        <v>0</v>
      </c>
      <c r="E46">
        <v>5</v>
      </c>
      <c r="F46">
        <v>1</v>
      </c>
      <c r="G46">
        <v>6</v>
      </c>
      <c r="H46">
        <v>1</v>
      </c>
      <c r="I46">
        <v>1</v>
      </c>
      <c r="J46">
        <v>0</v>
      </c>
      <c r="K46">
        <v>0</v>
      </c>
      <c r="L46">
        <f>IF(AND(Table3[[#This Row],[Length]]&gt;=15, Table3[[#This Row],[Unique]]+Table3[[#This Row],[Randomize]]+J46+K46&gt;=2), 1, 0)</f>
        <v>0</v>
      </c>
    </row>
    <row r="47" spans="2:12" x14ac:dyDescent="0.3">
      <c r="B47">
        <f>Table3[[#This Row],[Alphabets]]+Table3[[#This Row],[Numbers]]+Table3[[#This Row],[Special Character]]</f>
        <v>21</v>
      </c>
      <c r="C47">
        <f>Table3[[#This Row],[Lowercase]]+Table3[[#This Row],[Uppercase]]</f>
        <v>17</v>
      </c>
      <c r="D47">
        <v>2</v>
      </c>
      <c r="E47">
        <v>8</v>
      </c>
      <c r="F47">
        <v>9</v>
      </c>
      <c r="G47">
        <v>2</v>
      </c>
      <c r="H47">
        <v>0</v>
      </c>
      <c r="I47">
        <v>1</v>
      </c>
      <c r="J47">
        <v>0</v>
      </c>
      <c r="K47">
        <v>0</v>
      </c>
      <c r="L47">
        <f>IF(AND(Table3[[#This Row],[Length]]&gt;=15, Table3[[#This Row],[Unique]]+Table3[[#This Row],[Randomize]]+J47+K47&gt;=2), 1, 0)</f>
        <v>0</v>
      </c>
    </row>
    <row r="48" spans="2:12" x14ac:dyDescent="0.3">
      <c r="B48">
        <f>Table3[[#This Row],[Alphabets]]+Table3[[#This Row],[Numbers]]+Table3[[#This Row],[Special Character]]</f>
        <v>14</v>
      </c>
      <c r="C48">
        <f>Table3[[#This Row],[Lowercase]]+Table3[[#This Row],[Uppercase]]</f>
        <v>5</v>
      </c>
      <c r="D48">
        <v>4</v>
      </c>
      <c r="E48">
        <v>3</v>
      </c>
      <c r="F48">
        <v>2</v>
      </c>
      <c r="G48">
        <v>5</v>
      </c>
      <c r="H48">
        <v>1</v>
      </c>
      <c r="I48">
        <v>1</v>
      </c>
      <c r="J48">
        <v>0</v>
      </c>
      <c r="K48">
        <v>1</v>
      </c>
      <c r="L48">
        <f>IF(AND(Table3[[#This Row],[Length]]&gt;=15, Table3[[#This Row],[Unique]]+Table3[[#This Row],[Randomize]]+J48+K48&gt;=2), 1, 0)</f>
        <v>0</v>
      </c>
    </row>
    <row r="49" spans="2:12" x14ac:dyDescent="0.3">
      <c r="B49">
        <f>Table3[[#This Row],[Alphabets]]+Table3[[#This Row],[Numbers]]+Table3[[#This Row],[Special Character]]</f>
        <v>21</v>
      </c>
      <c r="C49">
        <f>Table3[[#This Row],[Lowercase]]+Table3[[#This Row],[Uppercase]]</f>
        <v>8</v>
      </c>
      <c r="D49">
        <v>7</v>
      </c>
      <c r="E49">
        <v>6</v>
      </c>
      <c r="F49">
        <v>2</v>
      </c>
      <c r="G49">
        <v>6</v>
      </c>
      <c r="H49">
        <v>0</v>
      </c>
      <c r="I49">
        <v>1</v>
      </c>
      <c r="J49">
        <v>1</v>
      </c>
      <c r="K49">
        <v>1</v>
      </c>
      <c r="L49">
        <f>IF(AND(Table3[[#This Row],[Length]]&gt;=15, Table3[[#This Row],[Unique]]+Table3[[#This Row],[Randomize]]+J49+K49&gt;=2), 1, 0)</f>
        <v>1</v>
      </c>
    </row>
    <row r="50" spans="2:12" x14ac:dyDescent="0.3">
      <c r="B50">
        <f>Table3[[#This Row],[Alphabets]]+Table3[[#This Row],[Numbers]]+Table3[[#This Row],[Special Character]]</f>
        <v>20</v>
      </c>
      <c r="C50">
        <f>Table3[[#This Row],[Lowercase]]+Table3[[#This Row],[Uppercase]]</f>
        <v>13</v>
      </c>
      <c r="D50">
        <v>7</v>
      </c>
      <c r="E50">
        <v>6</v>
      </c>
      <c r="F50">
        <v>7</v>
      </c>
      <c r="G50">
        <v>0</v>
      </c>
      <c r="H50">
        <v>1</v>
      </c>
      <c r="I50">
        <v>1</v>
      </c>
      <c r="J50">
        <v>0</v>
      </c>
      <c r="K50">
        <v>1</v>
      </c>
      <c r="L50">
        <f>IF(AND(Table3[[#This Row],[Length]]&gt;=15, Table3[[#This Row],[Unique]]+Table3[[#This Row],[Randomize]]+J50+K50&gt;=2), 1, 0)</f>
        <v>1</v>
      </c>
    </row>
    <row r="51" spans="2:12" x14ac:dyDescent="0.3">
      <c r="B51">
        <f>Table3[[#This Row],[Alphabets]]+Table3[[#This Row],[Numbers]]+Table3[[#This Row],[Special Character]]</f>
        <v>17</v>
      </c>
      <c r="C51">
        <f>Table3[[#This Row],[Lowercase]]+Table3[[#This Row],[Uppercase]]</f>
        <v>6</v>
      </c>
      <c r="D51">
        <v>6</v>
      </c>
      <c r="E51">
        <v>4</v>
      </c>
      <c r="F51">
        <v>2</v>
      </c>
      <c r="G51">
        <v>5</v>
      </c>
      <c r="H51">
        <v>1</v>
      </c>
      <c r="I51">
        <v>1</v>
      </c>
      <c r="J51">
        <v>0</v>
      </c>
      <c r="K51">
        <v>0</v>
      </c>
      <c r="L51">
        <f>IF(AND(Table3[[#This Row],[Length]]&gt;=15, Table3[[#This Row],[Unique]]+Table3[[#This Row],[Randomize]]+J51+K51&gt;=2), 1, 0)</f>
        <v>1</v>
      </c>
    </row>
    <row r="52" spans="2:12" x14ac:dyDescent="0.3">
      <c r="B52">
        <f>Table3[[#This Row],[Alphabets]]+Table3[[#This Row],[Numbers]]+Table3[[#This Row],[Special Character]]</f>
        <v>19</v>
      </c>
      <c r="C52">
        <f>Table3[[#This Row],[Lowercase]]+Table3[[#This Row],[Uppercase]]</f>
        <v>8</v>
      </c>
      <c r="D52">
        <v>7</v>
      </c>
      <c r="E52">
        <v>4</v>
      </c>
      <c r="F52">
        <v>4</v>
      </c>
      <c r="G52">
        <v>4</v>
      </c>
      <c r="H52">
        <v>1</v>
      </c>
      <c r="I52">
        <v>1</v>
      </c>
      <c r="J52">
        <v>1</v>
      </c>
      <c r="K52">
        <v>1</v>
      </c>
      <c r="L52">
        <f>IF(AND(Table3[[#This Row],[Length]]&gt;=15, Table3[[#This Row],[Unique]]+Table3[[#This Row],[Randomize]]+J52+K52&gt;=2), 1, 0)</f>
        <v>1</v>
      </c>
    </row>
    <row r="53" spans="2:12" x14ac:dyDescent="0.3">
      <c r="B53">
        <f>Table3[[#This Row],[Alphabets]]+Table3[[#This Row],[Numbers]]+Table3[[#This Row],[Special Character]]</f>
        <v>23</v>
      </c>
      <c r="C53">
        <f>Table3[[#This Row],[Lowercase]]+Table3[[#This Row],[Uppercase]]</f>
        <v>14</v>
      </c>
      <c r="D53">
        <v>3</v>
      </c>
      <c r="E53">
        <v>7</v>
      </c>
      <c r="F53">
        <v>7</v>
      </c>
      <c r="G53">
        <v>6</v>
      </c>
      <c r="H53">
        <v>1</v>
      </c>
      <c r="I53">
        <v>1</v>
      </c>
      <c r="J53">
        <v>1</v>
      </c>
      <c r="K53">
        <v>1</v>
      </c>
      <c r="L53">
        <f>IF(AND(Table3[[#This Row],[Length]]&gt;=15, Table3[[#This Row],[Unique]]+Table3[[#This Row],[Randomize]]+J53+K53&gt;=2), 1, 0)</f>
        <v>1</v>
      </c>
    </row>
    <row r="54" spans="2:12" x14ac:dyDescent="0.3">
      <c r="B54">
        <f>Table3[[#This Row],[Alphabets]]+Table3[[#This Row],[Numbers]]+Table3[[#This Row],[Special Character]]</f>
        <v>8</v>
      </c>
      <c r="C54">
        <f>Table3[[#This Row],[Lowercase]]+Table3[[#This Row],[Uppercase]]</f>
        <v>5</v>
      </c>
      <c r="D54">
        <v>2</v>
      </c>
      <c r="E54">
        <v>5</v>
      </c>
      <c r="F54">
        <v>0</v>
      </c>
      <c r="G54">
        <v>1</v>
      </c>
      <c r="H54">
        <v>0</v>
      </c>
      <c r="I54">
        <v>1</v>
      </c>
      <c r="J54">
        <v>1</v>
      </c>
      <c r="K54">
        <v>1</v>
      </c>
      <c r="L54">
        <f>IF(AND(Table3[[#This Row],[Length]]&gt;=15, Table3[[#This Row],[Unique]]+Table3[[#This Row],[Randomize]]+J54+K54&gt;=2), 1, 0)</f>
        <v>0</v>
      </c>
    </row>
    <row r="55" spans="2:12" x14ac:dyDescent="0.3">
      <c r="B55">
        <f>Table3[[#This Row],[Alphabets]]+Table3[[#This Row],[Numbers]]+Table3[[#This Row],[Special Character]]</f>
        <v>14</v>
      </c>
      <c r="C55">
        <f>Table3[[#This Row],[Lowercase]]+Table3[[#This Row],[Uppercase]]</f>
        <v>9</v>
      </c>
      <c r="D55">
        <v>2</v>
      </c>
      <c r="E55">
        <v>1</v>
      </c>
      <c r="F55">
        <v>8</v>
      </c>
      <c r="G55">
        <v>3</v>
      </c>
      <c r="H55">
        <v>0</v>
      </c>
      <c r="I55">
        <v>1</v>
      </c>
      <c r="J55">
        <v>1</v>
      </c>
      <c r="K55">
        <v>1</v>
      </c>
      <c r="L55">
        <f>IF(AND(Table3[[#This Row],[Length]]&gt;=15, Table3[[#This Row],[Unique]]+Table3[[#This Row],[Randomize]]+J55+K55&gt;=2), 1, 0)</f>
        <v>0</v>
      </c>
    </row>
    <row r="56" spans="2:12" x14ac:dyDescent="0.3">
      <c r="B56">
        <f>Table3[[#This Row],[Alphabets]]+Table3[[#This Row],[Numbers]]+Table3[[#This Row],[Special Character]]</f>
        <v>23</v>
      </c>
      <c r="C56">
        <f>Table3[[#This Row],[Lowercase]]+Table3[[#This Row],[Uppercase]]</f>
        <v>20</v>
      </c>
      <c r="D56">
        <v>1</v>
      </c>
      <c r="E56">
        <v>10</v>
      </c>
      <c r="F56">
        <v>10</v>
      </c>
      <c r="G56">
        <v>2</v>
      </c>
      <c r="H56">
        <v>1</v>
      </c>
      <c r="I56">
        <v>1</v>
      </c>
      <c r="J56">
        <v>1</v>
      </c>
      <c r="K56">
        <v>0</v>
      </c>
      <c r="L56">
        <f>IF(AND(Table3[[#This Row],[Length]]&gt;=15, Table3[[#This Row],[Unique]]+Table3[[#This Row],[Randomize]]+J56+K56&gt;=2), 1, 0)</f>
        <v>1</v>
      </c>
    </row>
    <row r="57" spans="2:12" x14ac:dyDescent="0.3">
      <c r="B57">
        <f>Table3[[#This Row],[Alphabets]]+Table3[[#This Row],[Numbers]]+Table3[[#This Row],[Special Character]]</f>
        <v>18</v>
      </c>
      <c r="C57">
        <f>Table3[[#This Row],[Lowercase]]+Table3[[#This Row],[Uppercase]]</f>
        <v>18</v>
      </c>
      <c r="D57">
        <v>0</v>
      </c>
      <c r="E57">
        <v>10</v>
      </c>
      <c r="F57">
        <v>8</v>
      </c>
      <c r="G57">
        <v>0</v>
      </c>
      <c r="H57">
        <v>1</v>
      </c>
      <c r="I57">
        <v>1</v>
      </c>
      <c r="J57">
        <v>1</v>
      </c>
      <c r="K57">
        <v>0</v>
      </c>
      <c r="L57">
        <f>IF(AND(Table3[[#This Row],[Length]]&gt;=15, Table3[[#This Row],[Unique]]+Table3[[#This Row],[Randomize]]+J57+K57&gt;=2), 1, 0)</f>
        <v>1</v>
      </c>
    </row>
    <row r="58" spans="2:12" x14ac:dyDescent="0.3">
      <c r="B58">
        <f>Table3[[#This Row],[Alphabets]]+Table3[[#This Row],[Numbers]]+Table3[[#This Row],[Special Character]]</f>
        <v>14</v>
      </c>
      <c r="C58">
        <f>Table3[[#This Row],[Lowercase]]+Table3[[#This Row],[Uppercase]]</f>
        <v>13</v>
      </c>
      <c r="D58">
        <v>1</v>
      </c>
      <c r="E58">
        <v>10</v>
      </c>
      <c r="F58">
        <v>3</v>
      </c>
      <c r="G58">
        <v>0</v>
      </c>
      <c r="H58">
        <v>0</v>
      </c>
      <c r="I58">
        <v>1</v>
      </c>
      <c r="J58">
        <v>1</v>
      </c>
      <c r="K58">
        <v>0</v>
      </c>
      <c r="L58">
        <f>IF(AND(Table3[[#This Row],[Length]]&gt;=15, Table3[[#This Row],[Unique]]+Table3[[#This Row],[Randomize]]+J58+K58&gt;=2), 1, 0)</f>
        <v>0</v>
      </c>
    </row>
    <row r="59" spans="2:12" x14ac:dyDescent="0.3">
      <c r="B59">
        <f>Table3[[#This Row],[Alphabets]]+Table3[[#This Row],[Numbers]]+Table3[[#This Row],[Special Character]]</f>
        <v>29</v>
      </c>
      <c r="C59">
        <f>Table3[[#This Row],[Lowercase]]+Table3[[#This Row],[Uppercase]]</f>
        <v>16</v>
      </c>
      <c r="D59">
        <v>9</v>
      </c>
      <c r="E59">
        <v>10</v>
      </c>
      <c r="F59">
        <v>6</v>
      </c>
      <c r="G59">
        <v>4</v>
      </c>
      <c r="H59">
        <v>1</v>
      </c>
      <c r="I59">
        <v>1</v>
      </c>
      <c r="J59">
        <v>0</v>
      </c>
      <c r="K59">
        <v>1</v>
      </c>
      <c r="L59">
        <f>IF(AND(Table3[[#This Row],[Length]]&gt;=15, Table3[[#This Row],[Unique]]+Table3[[#This Row],[Randomize]]+J59+K59&gt;=2), 1, 0)</f>
        <v>1</v>
      </c>
    </row>
    <row r="60" spans="2:12" x14ac:dyDescent="0.3">
      <c r="B60">
        <f>Table3[[#This Row],[Alphabets]]+Table3[[#This Row],[Numbers]]+Table3[[#This Row],[Special Character]]</f>
        <v>13</v>
      </c>
      <c r="C60">
        <f>Table3[[#This Row],[Lowercase]]+Table3[[#This Row],[Uppercase]]</f>
        <v>13</v>
      </c>
      <c r="D60">
        <v>0</v>
      </c>
      <c r="E60">
        <v>8</v>
      </c>
      <c r="F60">
        <v>5</v>
      </c>
      <c r="G60">
        <v>0</v>
      </c>
      <c r="H60">
        <v>1</v>
      </c>
      <c r="I60">
        <v>1</v>
      </c>
      <c r="J60">
        <v>1</v>
      </c>
      <c r="K60">
        <v>0</v>
      </c>
      <c r="L60">
        <f>IF(AND(Table3[[#This Row],[Length]]&gt;=15, Table3[[#This Row],[Unique]]+Table3[[#This Row],[Randomize]]+J60+K60&gt;=2), 1, 0)</f>
        <v>0</v>
      </c>
    </row>
    <row r="61" spans="2:12" x14ac:dyDescent="0.3">
      <c r="B61">
        <f>Table3[[#This Row],[Alphabets]]+Table3[[#This Row],[Numbers]]+Table3[[#This Row],[Special Character]]</f>
        <v>12</v>
      </c>
      <c r="C61">
        <f>Table3[[#This Row],[Lowercase]]+Table3[[#This Row],[Uppercase]]</f>
        <v>12</v>
      </c>
      <c r="D61">
        <v>0</v>
      </c>
      <c r="E61">
        <v>6</v>
      </c>
      <c r="F61">
        <v>6</v>
      </c>
      <c r="G61">
        <v>0</v>
      </c>
      <c r="H61">
        <v>1</v>
      </c>
      <c r="I61">
        <v>1</v>
      </c>
      <c r="J61">
        <v>1</v>
      </c>
      <c r="K61">
        <v>1</v>
      </c>
      <c r="L61">
        <f>IF(AND(Table3[[#This Row],[Length]]&gt;=15, Table3[[#This Row],[Unique]]+Table3[[#This Row],[Randomize]]+J61+K61&gt;=2), 1, 0)</f>
        <v>0</v>
      </c>
    </row>
    <row r="62" spans="2:12" x14ac:dyDescent="0.3">
      <c r="B62">
        <f>Table3[[#This Row],[Alphabets]]+Table3[[#This Row],[Numbers]]+Table3[[#This Row],[Special Character]]</f>
        <v>13</v>
      </c>
      <c r="C62">
        <f>Table3[[#This Row],[Lowercase]]+Table3[[#This Row],[Uppercase]]</f>
        <v>7</v>
      </c>
      <c r="D62">
        <v>2</v>
      </c>
      <c r="E62">
        <v>4</v>
      </c>
      <c r="F62">
        <v>3</v>
      </c>
      <c r="G62">
        <v>4</v>
      </c>
      <c r="H62">
        <v>1</v>
      </c>
      <c r="I62">
        <v>1</v>
      </c>
      <c r="J62">
        <v>1</v>
      </c>
      <c r="K62">
        <v>0</v>
      </c>
      <c r="L62">
        <f>IF(AND(Table3[[#This Row],[Length]]&gt;=15, Table3[[#This Row],[Unique]]+Table3[[#This Row],[Randomize]]+J62+K62&gt;=2), 1, 0)</f>
        <v>0</v>
      </c>
    </row>
    <row r="63" spans="2:12" x14ac:dyDescent="0.3">
      <c r="B63">
        <f>Table3[[#This Row],[Alphabets]]+Table3[[#This Row],[Numbers]]+Table3[[#This Row],[Special Character]]</f>
        <v>23</v>
      </c>
      <c r="C63">
        <f>Table3[[#This Row],[Lowercase]]+Table3[[#This Row],[Uppercase]]</f>
        <v>14</v>
      </c>
      <c r="D63">
        <v>8</v>
      </c>
      <c r="E63">
        <v>6</v>
      </c>
      <c r="F63">
        <v>8</v>
      </c>
      <c r="G63">
        <v>1</v>
      </c>
      <c r="H63">
        <v>1</v>
      </c>
      <c r="I63">
        <v>1</v>
      </c>
      <c r="J63">
        <v>1</v>
      </c>
      <c r="K63">
        <v>0</v>
      </c>
      <c r="L63">
        <f>IF(AND(Table3[[#This Row],[Length]]&gt;=15, Table3[[#This Row],[Unique]]+Table3[[#This Row],[Randomize]]+J63+K63&gt;=2), 1, 0)</f>
        <v>1</v>
      </c>
    </row>
    <row r="64" spans="2:12" x14ac:dyDescent="0.3">
      <c r="B64">
        <f>Table3[[#This Row],[Alphabets]]+Table3[[#This Row],[Numbers]]+Table3[[#This Row],[Special Character]]</f>
        <v>19</v>
      </c>
      <c r="C64">
        <f>Table3[[#This Row],[Lowercase]]+Table3[[#This Row],[Uppercase]]</f>
        <v>5</v>
      </c>
      <c r="D64">
        <v>8</v>
      </c>
      <c r="E64">
        <v>0</v>
      </c>
      <c r="F64">
        <v>5</v>
      </c>
      <c r="G64">
        <v>6</v>
      </c>
      <c r="H64">
        <v>0</v>
      </c>
      <c r="I64">
        <v>1</v>
      </c>
      <c r="J64">
        <v>1</v>
      </c>
      <c r="K64">
        <v>0</v>
      </c>
      <c r="L64">
        <f>IF(AND(Table3[[#This Row],[Length]]&gt;=15, Table3[[#This Row],[Unique]]+Table3[[#This Row],[Randomize]]+J64+K64&gt;=2), 1, 0)</f>
        <v>1</v>
      </c>
    </row>
    <row r="65" spans="2:12" x14ac:dyDescent="0.3">
      <c r="B65">
        <f>Table3[[#This Row],[Alphabets]]+Table3[[#This Row],[Numbers]]+Table3[[#This Row],[Special Character]]</f>
        <v>26</v>
      </c>
      <c r="C65">
        <f>Table3[[#This Row],[Lowercase]]+Table3[[#This Row],[Uppercase]]</f>
        <v>11</v>
      </c>
      <c r="D65">
        <v>9</v>
      </c>
      <c r="E65">
        <v>10</v>
      </c>
      <c r="F65">
        <v>1</v>
      </c>
      <c r="G65">
        <v>6</v>
      </c>
      <c r="H65">
        <v>1</v>
      </c>
      <c r="I65">
        <v>1</v>
      </c>
      <c r="J65">
        <v>0</v>
      </c>
      <c r="K65">
        <v>0</v>
      </c>
      <c r="L65">
        <f>IF(AND(Table3[[#This Row],[Length]]&gt;=15, Table3[[#This Row],[Unique]]+Table3[[#This Row],[Randomize]]+J65+K65&gt;=2), 1, 0)</f>
        <v>1</v>
      </c>
    </row>
    <row r="66" spans="2:12" x14ac:dyDescent="0.3">
      <c r="B66">
        <f>Table3[[#This Row],[Alphabets]]+Table3[[#This Row],[Numbers]]+Table3[[#This Row],[Special Character]]</f>
        <v>10</v>
      </c>
      <c r="C66">
        <f>Table3[[#This Row],[Lowercase]]+Table3[[#This Row],[Uppercase]]</f>
        <v>4</v>
      </c>
      <c r="D66">
        <v>6</v>
      </c>
      <c r="E66">
        <v>0</v>
      </c>
      <c r="F66">
        <v>4</v>
      </c>
      <c r="G66">
        <v>0</v>
      </c>
      <c r="H66">
        <v>0</v>
      </c>
      <c r="I66">
        <v>1</v>
      </c>
      <c r="J66">
        <v>1</v>
      </c>
      <c r="K66">
        <v>0</v>
      </c>
      <c r="L66">
        <f>IF(AND(Table3[[#This Row],[Length]]&gt;=15, Table3[[#This Row],[Unique]]+Table3[[#This Row],[Randomize]]+J66+K66&gt;=2), 1, 0)</f>
        <v>0</v>
      </c>
    </row>
    <row r="67" spans="2:12" x14ac:dyDescent="0.3">
      <c r="B67">
        <f>Table3[[#This Row],[Alphabets]]+Table3[[#This Row],[Numbers]]+Table3[[#This Row],[Special Character]]</f>
        <v>18</v>
      </c>
      <c r="C67">
        <f>Table3[[#This Row],[Lowercase]]+Table3[[#This Row],[Uppercase]]</f>
        <v>9</v>
      </c>
      <c r="D67">
        <v>3</v>
      </c>
      <c r="E67">
        <v>3</v>
      </c>
      <c r="F67">
        <v>6</v>
      </c>
      <c r="G67">
        <v>6</v>
      </c>
      <c r="H67">
        <v>1</v>
      </c>
      <c r="I67">
        <v>1</v>
      </c>
      <c r="J67">
        <v>1</v>
      </c>
      <c r="K67">
        <v>1</v>
      </c>
      <c r="L67">
        <f>IF(AND(Table3[[#This Row],[Length]]&gt;=15, Table3[[#This Row],[Unique]]+Table3[[#This Row],[Randomize]]+J67+K67&gt;=2), 1, 0)</f>
        <v>1</v>
      </c>
    </row>
    <row r="68" spans="2:12" x14ac:dyDescent="0.3">
      <c r="B68">
        <f>Table3[[#This Row],[Alphabets]]+Table3[[#This Row],[Numbers]]+Table3[[#This Row],[Special Character]]</f>
        <v>5</v>
      </c>
      <c r="C68">
        <f>Table3[[#This Row],[Lowercase]]+Table3[[#This Row],[Uppercase]]</f>
        <v>5</v>
      </c>
      <c r="D68">
        <v>0</v>
      </c>
      <c r="E68">
        <v>4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f>IF(AND(Table3[[#This Row],[Length]]&gt;=15, Table3[[#This Row],[Unique]]+Table3[[#This Row],[Randomize]]+J68+K68&gt;=2), 1, 0)</f>
        <v>0</v>
      </c>
    </row>
    <row r="69" spans="2:12" x14ac:dyDescent="0.3">
      <c r="B69">
        <f>Table3[[#This Row],[Alphabets]]+Table3[[#This Row],[Numbers]]+Table3[[#This Row],[Special Character]]</f>
        <v>28</v>
      </c>
      <c r="C69">
        <f>Table3[[#This Row],[Lowercase]]+Table3[[#This Row],[Uppercase]]</f>
        <v>17</v>
      </c>
      <c r="D69">
        <v>5</v>
      </c>
      <c r="E69">
        <v>9</v>
      </c>
      <c r="F69">
        <v>8</v>
      </c>
      <c r="G69">
        <v>6</v>
      </c>
      <c r="H69">
        <v>0</v>
      </c>
      <c r="I69">
        <v>1</v>
      </c>
      <c r="J69">
        <v>0</v>
      </c>
      <c r="K69">
        <v>1</v>
      </c>
      <c r="L69">
        <f>IF(AND(Table3[[#This Row],[Length]]&gt;=15, Table3[[#This Row],[Unique]]+Table3[[#This Row],[Randomize]]+J69+K69&gt;=2), 1, 0)</f>
        <v>1</v>
      </c>
    </row>
    <row r="70" spans="2:12" x14ac:dyDescent="0.3">
      <c r="B70">
        <f>Table3[[#This Row],[Alphabets]]+Table3[[#This Row],[Numbers]]+Table3[[#This Row],[Special Character]]</f>
        <v>14</v>
      </c>
      <c r="C70">
        <f>Table3[[#This Row],[Lowercase]]+Table3[[#This Row],[Uppercase]]</f>
        <v>8</v>
      </c>
      <c r="D70">
        <v>5</v>
      </c>
      <c r="E70">
        <v>8</v>
      </c>
      <c r="F70">
        <v>0</v>
      </c>
      <c r="G70">
        <v>1</v>
      </c>
      <c r="H70">
        <v>0</v>
      </c>
      <c r="I70">
        <v>1</v>
      </c>
      <c r="J70">
        <v>1</v>
      </c>
      <c r="K70">
        <v>1</v>
      </c>
      <c r="L70">
        <f>IF(AND(Table3[[#This Row],[Length]]&gt;=15, Table3[[#This Row],[Unique]]+Table3[[#This Row],[Randomize]]+J70+K70&gt;=2), 1, 0)</f>
        <v>0</v>
      </c>
    </row>
    <row r="71" spans="2:12" x14ac:dyDescent="0.3">
      <c r="B71">
        <f>Table3[[#This Row],[Alphabets]]+Table3[[#This Row],[Numbers]]+Table3[[#This Row],[Special Character]]</f>
        <v>19</v>
      </c>
      <c r="C71">
        <f>Table3[[#This Row],[Lowercase]]+Table3[[#This Row],[Uppercase]]</f>
        <v>9</v>
      </c>
      <c r="D71">
        <v>9</v>
      </c>
      <c r="E71">
        <v>3</v>
      </c>
      <c r="F71">
        <v>6</v>
      </c>
      <c r="G71">
        <v>1</v>
      </c>
      <c r="H71">
        <v>0</v>
      </c>
      <c r="I71">
        <v>1</v>
      </c>
      <c r="J71">
        <v>0</v>
      </c>
      <c r="K71">
        <v>0</v>
      </c>
      <c r="L71">
        <f>IF(AND(Table3[[#This Row],[Length]]&gt;=15, Table3[[#This Row],[Unique]]+Table3[[#This Row],[Randomize]]+J71+K71&gt;=2), 1, 0)</f>
        <v>0</v>
      </c>
    </row>
    <row r="72" spans="2:12" x14ac:dyDescent="0.3">
      <c r="B72">
        <f>Table3[[#This Row],[Alphabets]]+Table3[[#This Row],[Numbers]]+Table3[[#This Row],[Special Character]]</f>
        <v>14</v>
      </c>
      <c r="C72">
        <f>Table3[[#This Row],[Lowercase]]+Table3[[#This Row],[Uppercase]]</f>
        <v>12</v>
      </c>
      <c r="D72">
        <v>2</v>
      </c>
      <c r="E72">
        <v>4</v>
      </c>
      <c r="F72">
        <v>8</v>
      </c>
      <c r="G72">
        <v>0</v>
      </c>
      <c r="H72">
        <v>1</v>
      </c>
      <c r="I72">
        <v>1</v>
      </c>
      <c r="J72">
        <v>1</v>
      </c>
      <c r="K72">
        <v>0</v>
      </c>
      <c r="L72">
        <f>IF(AND(Table3[[#This Row],[Length]]&gt;=15, Table3[[#This Row],[Unique]]+Table3[[#This Row],[Randomize]]+J72+K72&gt;=2), 1, 0)</f>
        <v>0</v>
      </c>
    </row>
    <row r="73" spans="2:12" x14ac:dyDescent="0.3">
      <c r="B73">
        <f>Table3[[#This Row],[Alphabets]]+Table3[[#This Row],[Numbers]]+Table3[[#This Row],[Special Character]]</f>
        <v>11</v>
      </c>
      <c r="C73">
        <f>Table3[[#This Row],[Lowercase]]+Table3[[#This Row],[Uppercase]]</f>
        <v>2</v>
      </c>
      <c r="D73">
        <v>6</v>
      </c>
      <c r="E73">
        <v>2</v>
      </c>
      <c r="F73">
        <v>0</v>
      </c>
      <c r="G73">
        <v>3</v>
      </c>
      <c r="H73">
        <v>0</v>
      </c>
      <c r="I73">
        <v>1</v>
      </c>
      <c r="J73">
        <v>0</v>
      </c>
      <c r="K73">
        <v>0</v>
      </c>
      <c r="L73">
        <f>IF(AND(Table3[[#This Row],[Length]]&gt;=15, Table3[[#This Row],[Unique]]+Table3[[#This Row],[Randomize]]+J73+K73&gt;=2), 1, 0)</f>
        <v>0</v>
      </c>
    </row>
    <row r="74" spans="2:12" x14ac:dyDescent="0.3">
      <c r="B74">
        <f>Table3[[#This Row],[Alphabets]]+Table3[[#This Row],[Numbers]]+Table3[[#This Row],[Special Character]]</f>
        <v>16</v>
      </c>
      <c r="C74">
        <f>Table3[[#This Row],[Lowercase]]+Table3[[#This Row],[Uppercase]]</f>
        <v>10</v>
      </c>
      <c r="D74">
        <v>0</v>
      </c>
      <c r="E74">
        <v>9</v>
      </c>
      <c r="F74">
        <v>1</v>
      </c>
      <c r="G74">
        <v>6</v>
      </c>
      <c r="H74">
        <v>0</v>
      </c>
      <c r="I74">
        <v>1</v>
      </c>
      <c r="J74">
        <v>0</v>
      </c>
      <c r="K74">
        <v>1</v>
      </c>
      <c r="L74">
        <f>IF(AND(Table3[[#This Row],[Length]]&gt;=15, Table3[[#This Row],[Unique]]+Table3[[#This Row],[Randomize]]+J74+K74&gt;=2), 1, 0)</f>
        <v>1</v>
      </c>
    </row>
    <row r="75" spans="2:12" x14ac:dyDescent="0.3">
      <c r="B75">
        <f>Table3[[#This Row],[Alphabets]]+Table3[[#This Row],[Numbers]]+Table3[[#This Row],[Special Character]]</f>
        <v>13</v>
      </c>
      <c r="C75">
        <f>Table3[[#This Row],[Lowercase]]+Table3[[#This Row],[Uppercase]]</f>
        <v>9</v>
      </c>
      <c r="D75">
        <v>4</v>
      </c>
      <c r="E75">
        <v>6</v>
      </c>
      <c r="F75">
        <v>3</v>
      </c>
      <c r="G75">
        <v>0</v>
      </c>
      <c r="H75">
        <v>0</v>
      </c>
      <c r="I75">
        <v>1</v>
      </c>
      <c r="J75">
        <v>0</v>
      </c>
      <c r="K75">
        <v>1</v>
      </c>
      <c r="L75">
        <f>IF(AND(Table3[[#This Row],[Length]]&gt;=15, Table3[[#This Row],[Unique]]+Table3[[#This Row],[Randomize]]+J75+K75&gt;=2), 1, 0)</f>
        <v>0</v>
      </c>
    </row>
    <row r="76" spans="2:12" x14ac:dyDescent="0.3">
      <c r="B76">
        <f>Table3[[#This Row],[Alphabets]]+Table3[[#This Row],[Numbers]]+Table3[[#This Row],[Special Character]]</f>
        <v>17</v>
      </c>
      <c r="C76">
        <f>Table3[[#This Row],[Lowercase]]+Table3[[#This Row],[Uppercase]]</f>
        <v>8</v>
      </c>
      <c r="D76">
        <v>8</v>
      </c>
      <c r="E76">
        <v>6</v>
      </c>
      <c r="F76">
        <v>2</v>
      </c>
      <c r="G76">
        <v>1</v>
      </c>
      <c r="H76">
        <v>0</v>
      </c>
      <c r="I76">
        <v>1</v>
      </c>
      <c r="J76">
        <v>1</v>
      </c>
      <c r="K76">
        <v>1</v>
      </c>
      <c r="L76">
        <f>IF(AND(Table3[[#This Row],[Length]]&gt;=15, Table3[[#This Row],[Unique]]+Table3[[#This Row],[Randomize]]+J76+K76&gt;=2), 1, 0)</f>
        <v>1</v>
      </c>
    </row>
    <row r="77" spans="2:12" x14ac:dyDescent="0.3">
      <c r="B77">
        <f>Table3[[#This Row],[Alphabets]]+Table3[[#This Row],[Numbers]]+Table3[[#This Row],[Special Character]]</f>
        <v>14</v>
      </c>
      <c r="C77">
        <f>Table3[[#This Row],[Lowercase]]+Table3[[#This Row],[Uppercase]]</f>
        <v>12</v>
      </c>
      <c r="D77">
        <v>0</v>
      </c>
      <c r="E77">
        <v>2</v>
      </c>
      <c r="F77">
        <v>10</v>
      </c>
      <c r="G77">
        <v>2</v>
      </c>
      <c r="H77">
        <v>1</v>
      </c>
      <c r="I77">
        <v>1</v>
      </c>
      <c r="J77">
        <v>0</v>
      </c>
      <c r="K77">
        <v>0</v>
      </c>
      <c r="L77">
        <f>IF(AND(Table3[[#This Row],[Length]]&gt;=15, Table3[[#This Row],[Unique]]+Table3[[#This Row],[Randomize]]+J77+K77&gt;=2), 1, 0)</f>
        <v>0</v>
      </c>
    </row>
    <row r="78" spans="2:12" x14ac:dyDescent="0.3">
      <c r="B78">
        <f>Table3[[#This Row],[Alphabets]]+Table3[[#This Row],[Numbers]]+Table3[[#This Row],[Special Character]]</f>
        <v>22</v>
      </c>
      <c r="C78">
        <f>Table3[[#This Row],[Lowercase]]+Table3[[#This Row],[Uppercase]]</f>
        <v>14</v>
      </c>
      <c r="D78">
        <v>3</v>
      </c>
      <c r="E78">
        <v>7</v>
      </c>
      <c r="F78">
        <v>7</v>
      </c>
      <c r="G78">
        <v>5</v>
      </c>
      <c r="H78">
        <v>1</v>
      </c>
      <c r="I78">
        <v>1</v>
      </c>
      <c r="J78">
        <v>1</v>
      </c>
      <c r="K78">
        <v>0</v>
      </c>
      <c r="L78">
        <f>IF(AND(Table3[[#This Row],[Length]]&gt;=15, Table3[[#This Row],[Unique]]+Table3[[#This Row],[Randomize]]+J78+K78&gt;=2), 1, 0)</f>
        <v>1</v>
      </c>
    </row>
    <row r="79" spans="2:12" x14ac:dyDescent="0.3">
      <c r="B79">
        <f>Table3[[#This Row],[Alphabets]]+Table3[[#This Row],[Numbers]]+Table3[[#This Row],[Special Character]]</f>
        <v>27</v>
      </c>
      <c r="C79">
        <f>Table3[[#This Row],[Lowercase]]+Table3[[#This Row],[Uppercase]]</f>
        <v>14</v>
      </c>
      <c r="D79">
        <v>7</v>
      </c>
      <c r="E79">
        <v>7</v>
      </c>
      <c r="F79">
        <v>7</v>
      </c>
      <c r="G79">
        <v>6</v>
      </c>
      <c r="H79">
        <v>1</v>
      </c>
      <c r="I79">
        <v>1</v>
      </c>
      <c r="J79">
        <v>0</v>
      </c>
      <c r="K79">
        <v>1</v>
      </c>
      <c r="L79">
        <f>IF(AND(Table3[[#This Row],[Length]]&gt;=15, Table3[[#This Row],[Unique]]+Table3[[#This Row],[Randomize]]+J79+K79&gt;=2), 1, 0)</f>
        <v>1</v>
      </c>
    </row>
    <row r="80" spans="2:12" x14ac:dyDescent="0.3">
      <c r="B80">
        <f>Table3[[#This Row],[Alphabets]]+Table3[[#This Row],[Numbers]]+Table3[[#This Row],[Special Character]]</f>
        <v>23</v>
      </c>
      <c r="C80">
        <f>Table3[[#This Row],[Lowercase]]+Table3[[#This Row],[Uppercase]]</f>
        <v>13</v>
      </c>
      <c r="D80">
        <v>5</v>
      </c>
      <c r="E80">
        <v>4</v>
      </c>
      <c r="F80">
        <v>9</v>
      </c>
      <c r="G80">
        <v>5</v>
      </c>
      <c r="H80">
        <v>1</v>
      </c>
      <c r="I80">
        <v>1</v>
      </c>
      <c r="J80">
        <v>0</v>
      </c>
      <c r="K80">
        <v>1</v>
      </c>
      <c r="L80">
        <f>IF(AND(Table3[[#This Row],[Length]]&gt;=15, Table3[[#This Row],[Unique]]+Table3[[#This Row],[Randomize]]+J80+K80&gt;=2), 1, 0)</f>
        <v>1</v>
      </c>
    </row>
    <row r="81" spans="2:12" x14ac:dyDescent="0.3">
      <c r="B81">
        <f>Table3[[#This Row],[Alphabets]]+Table3[[#This Row],[Numbers]]+Table3[[#This Row],[Special Character]]</f>
        <v>19</v>
      </c>
      <c r="C81">
        <f>Table3[[#This Row],[Lowercase]]+Table3[[#This Row],[Uppercase]]</f>
        <v>9</v>
      </c>
      <c r="D81">
        <v>5</v>
      </c>
      <c r="E81">
        <v>6</v>
      </c>
      <c r="F81">
        <v>3</v>
      </c>
      <c r="G81">
        <v>5</v>
      </c>
      <c r="H81">
        <v>1</v>
      </c>
      <c r="I81">
        <v>1</v>
      </c>
      <c r="J81">
        <v>1</v>
      </c>
      <c r="K81">
        <v>0</v>
      </c>
      <c r="L81">
        <f>IF(AND(Table3[[#This Row],[Length]]&gt;=15, Table3[[#This Row],[Unique]]+Table3[[#This Row],[Randomize]]+J81+K81&gt;=2), 1, 0)</f>
        <v>1</v>
      </c>
    </row>
    <row r="82" spans="2:12" x14ac:dyDescent="0.3">
      <c r="B82">
        <f>Table3[[#This Row],[Alphabets]]+Table3[[#This Row],[Numbers]]+Table3[[#This Row],[Special Character]]</f>
        <v>19</v>
      </c>
      <c r="C82">
        <f>Table3[[#This Row],[Lowercase]]+Table3[[#This Row],[Uppercase]]</f>
        <v>13</v>
      </c>
      <c r="D82">
        <v>6</v>
      </c>
      <c r="E82">
        <v>9</v>
      </c>
      <c r="F82">
        <v>4</v>
      </c>
      <c r="G82">
        <v>0</v>
      </c>
      <c r="H82">
        <v>1</v>
      </c>
      <c r="I82">
        <v>1</v>
      </c>
      <c r="J82">
        <v>0</v>
      </c>
      <c r="K82">
        <v>1</v>
      </c>
      <c r="L82">
        <f>IF(AND(Table3[[#This Row],[Length]]&gt;=15, Table3[[#This Row],[Unique]]+Table3[[#This Row],[Randomize]]+J82+K82&gt;=2), 1, 0)</f>
        <v>1</v>
      </c>
    </row>
    <row r="83" spans="2:12" x14ac:dyDescent="0.3">
      <c r="B83">
        <f>Table3[[#This Row],[Alphabets]]+Table3[[#This Row],[Numbers]]+Table3[[#This Row],[Special Character]]</f>
        <v>2</v>
      </c>
      <c r="C83">
        <f>Table3[[#This Row],[Lowercase]]+Table3[[#This Row],[Uppercase]]</f>
        <v>0</v>
      </c>
      <c r="D83">
        <v>0</v>
      </c>
      <c r="E83">
        <v>0</v>
      </c>
      <c r="F83">
        <v>0</v>
      </c>
      <c r="G83">
        <v>2</v>
      </c>
      <c r="H83">
        <v>0</v>
      </c>
      <c r="I83">
        <v>1</v>
      </c>
      <c r="J83">
        <v>0</v>
      </c>
      <c r="K83">
        <v>0</v>
      </c>
      <c r="L83">
        <f>IF(AND(Table3[[#This Row],[Length]]&gt;=15, Table3[[#This Row],[Unique]]+Table3[[#This Row],[Randomize]]+J83+K83&gt;=2), 1, 0)</f>
        <v>0</v>
      </c>
    </row>
    <row r="84" spans="2:12" x14ac:dyDescent="0.3">
      <c r="B84">
        <f>Table3[[#This Row],[Alphabets]]+Table3[[#This Row],[Numbers]]+Table3[[#This Row],[Special Character]]</f>
        <v>26</v>
      </c>
      <c r="C84">
        <f>Table3[[#This Row],[Lowercase]]+Table3[[#This Row],[Uppercase]]</f>
        <v>12</v>
      </c>
      <c r="D84">
        <v>8</v>
      </c>
      <c r="E84">
        <v>8</v>
      </c>
      <c r="F84">
        <v>4</v>
      </c>
      <c r="G84">
        <v>6</v>
      </c>
      <c r="H84">
        <v>1</v>
      </c>
      <c r="I84">
        <v>1</v>
      </c>
      <c r="J84">
        <v>1</v>
      </c>
      <c r="K84">
        <v>0</v>
      </c>
      <c r="L84">
        <f>IF(AND(Table3[[#This Row],[Length]]&gt;=15, Table3[[#This Row],[Unique]]+Table3[[#This Row],[Randomize]]+J84+K84&gt;=2), 1, 0)</f>
        <v>1</v>
      </c>
    </row>
    <row r="85" spans="2:12" x14ac:dyDescent="0.3">
      <c r="B85">
        <f>Table3[[#This Row],[Alphabets]]+Table3[[#This Row],[Numbers]]+Table3[[#This Row],[Special Character]]</f>
        <v>23</v>
      </c>
      <c r="C85">
        <f>Table3[[#This Row],[Lowercase]]+Table3[[#This Row],[Uppercase]]</f>
        <v>18</v>
      </c>
      <c r="D85">
        <v>3</v>
      </c>
      <c r="E85">
        <v>10</v>
      </c>
      <c r="F85">
        <v>8</v>
      </c>
      <c r="G85">
        <v>2</v>
      </c>
      <c r="H85">
        <v>0</v>
      </c>
      <c r="I85">
        <v>1</v>
      </c>
      <c r="J85">
        <v>0</v>
      </c>
      <c r="K85">
        <v>1</v>
      </c>
      <c r="L85">
        <f>IF(AND(Table3[[#This Row],[Length]]&gt;=15, Table3[[#This Row],[Unique]]+Table3[[#This Row],[Randomize]]+J85+K85&gt;=2), 1, 0)</f>
        <v>1</v>
      </c>
    </row>
    <row r="86" spans="2:12" x14ac:dyDescent="0.3">
      <c r="B86">
        <f>Table3[[#This Row],[Alphabets]]+Table3[[#This Row],[Numbers]]+Table3[[#This Row],[Special Character]]</f>
        <v>19</v>
      </c>
      <c r="C86">
        <f>Table3[[#This Row],[Lowercase]]+Table3[[#This Row],[Uppercase]]</f>
        <v>13</v>
      </c>
      <c r="D86">
        <v>6</v>
      </c>
      <c r="E86">
        <v>5</v>
      </c>
      <c r="F86">
        <v>8</v>
      </c>
      <c r="G86">
        <v>0</v>
      </c>
      <c r="H86">
        <v>0</v>
      </c>
      <c r="I86">
        <v>1</v>
      </c>
      <c r="J86">
        <v>1</v>
      </c>
      <c r="K86">
        <v>0</v>
      </c>
      <c r="L86">
        <f>IF(AND(Table3[[#This Row],[Length]]&gt;=15, Table3[[#This Row],[Unique]]+Table3[[#This Row],[Randomize]]+J86+K86&gt;=2), 1, 0)</f>
        <v>1</v>
      </c>
    </row>
    <row r="87" spans="2:12" x14ac:dyDescent="0.3">
      <c r="B87">
        <f>Table3[[#This Row],[Alphabets]]+Table3[[#This Row],[Numbers]]+Table3[[#This Row],[Special Character]]</f>
        <v>15</v>
      </c>
      <c r="C87">
        <f>Table3[[#This Row],[Lowercase]]+Table3[[#This Row],[Uppercase]]</f>
        <v>12</v>
      </c>
      <c r="D87">
        <v>0</v>
      </c>
      <c r="E87">
        <v>5</v>
      </c>
      <c r="F87">
        <v>7</v>
      </c>
      <c r="G87">
        <v>3</v>
      </c>
      <c r="H87">
        <v>0</v>
      </c>
      <c r="I87">
        <v>1</v>
      </c>
      <c r="J87">
        <v>0</v>
      </c>
      <c r="K87">
        <v>1</v>
      </c>
      <c r="L87">
        <f>IF(AND(Table3[[#This Row],[Length]]&gt;=15, Table3[[#This Row],[Unique]]+Table3[[#This Row],[Randomize]]+J87+K87&gt;=2), 1, 0)</f>
        <v>1</v>
      </c>
    </row>
    <row r="88" spans="2:12" x14ac:dyDescent="0.3">
      <c r="B88">
        <f>Table3[[#This Row],[Alphabets]]+Table3[[#This Row],[Numbers]]+Table3[[#This Row],[Special Character]]</f>
        <v>17</v>
      </c>
      <c r="C88">
        <f>Table3[[#This Row],[Lowercase]]+Table3[[#This Row],[Uppercase]]</f>
        <v>5</v>
      </c>
      <c r="D88">
        <v>8</v>
      </c>
      <c r="E88">
        <v>0</v>
      </c>
      <c r="F88">
        <v>5</v>
      </c>
      <c r="G88">
        <v>4</v>
      </c>
      <c r="H88">
        <v>0</v>
      </c>
      <c r="I88">
        <v>1</v>
      </c>
      <c r="J88">
        <v>1</v>
      </c>
      <c r="K88">
        <v>1</v>
      </c>
      <c r="L88">
        <f>IF(AND(Table3[[#This Row],[Length]]&gt;=15, Table3[[#This Row],[Unique]]+Table3[[#This Row],[Randomize]]+J88+K88&gt;=2), 1, 0)</f>
        <v>1</v>
      </c>
    </row>
    <row r="89" spans="2:12" x14ac:dyDescent="0.3">
      <c r="B89">
        <f>Table3[[#This Row],[Alphabets]]+Table3[[#This Row],[Numbers]]+Table3[[#This Row],[Special Character]]</f>
        <v>8</v>
      </c>
      <c r="C89">
        <f>Table3[[#This Row],[Lowercase]]+Table3[[#This Row],[Uppercase]]</f>
        <v>1</v>
      </c>
      <c r="D89">
        <v>3</v>
      </c>
      <c r="E89">
        <v>0</v>
      </c>
      <c r="F89">
        <v>1</v>
      </c>
      <c r="G89">
        <v>4</v>
      </c>
      <c r="H89">
        <v>0</v>
      </c>
      <c r="I89">
        <v>1</v>
      </c>
      <c r="J89">
        <v>0</v>
      </c>
      <c r="K89">
        <v>0</v>
      </c>
      <c r="L89">
        <f>IF(AND(Table3[[#This Row],[Length]]&gt;=15, Table3[[#This Row],[Unique]]+Table3[[#This Row],[Randomize]]+J89+K89&gt;=2), 1, 0)</f>
        <v>0</v>
      </c>
    </row>
    <row r="90" spans="2:12" x14ac:dyDescent="0.3">
      <c r="B90">
        <f>Table3[[#This Row],[Alphabets]]+Table3[[#This Row],[Numbers]]+Table3[[#This Row],[Special Character]]</f>
        <v>10</v>
      </c>
      <c r="C90">
        <f>Table3[[#This Row],[Lowercase]]+Table3[[#This Row],[Uppercase]]</f>
        <v>3</v>
      </c>
      <c r="D90">
        <v>6</v>
      </c>
      <c r="E90">
        <v>0</v>
      </c>
      <c r="F90">
        <v>3</v>
      </c>
      <c r="G90">
        <v>1</v>
      </c>
      <c r="H90">
        <v>0</v>
      </c>
      <c r="I90">
        <v>1</v>
      </c>
      <c r="J90">
        <v>1</v>
      </c>
      <c r="K90">
        <v>1</v>
      </c>
      <c r="L90">
        <f>IF(AND(Table3[[#This Row],[Length]]&gt;=15, Table3[[#This Row],[Unique]]+Table3[[#This Row],[Randomize]]+J90+K90&gt;=2), 1, 0)</f>
        <v>0</v>
      </c>
    </row>
    <row r="91" spans="2:12" x14ac:dyDescent="0.3">
      <c r="B91">
        <f>Table3[[#This Row],[Alphabets]]+Table3[[#This Row],[Numbers]]+Table3[[#This Row],[Special Character]]</f>
        <v>22</v>
      </c>
      <c r="C91">
        <f>Table3[[#This Row],[Lowercase]]+Table3[[#This Row],[Uppercase]]</f>
        <v>15</v>
      </c>
      <c r="D91">
        <v>6</v>
      </c>
      <c r="E91">
        <v>6</v>
      </c>
      <c r="F91">
        <v>9</v>
      </c>
      <c r="G91">
        <v>1</v>
      </c>
      <c r="H91">
        <v>1</v>
      </c>
      <c r="I91">
        <v>1</v>
      </c>
      <c r="J91">
        <v>0</v>
      </c>
      <c r="K91">
        <v>1</v>
      </c>
      <c r="L91">
        <f>IF(AND(Table3[[#This Row],[Length]]&gt;=15, Table3[[#This Row],[Unique]]+Table3[[#This Row],[Randomize]]+J91+K91&gt;=2), 1, 0)</f>
        <v>1</v>
      </c>
    </row>
    <row r="92" spans="2:12" x14ac:dyDescent="0.3">
      <c r="B92">
        <f>Table3[[#This Row],[Alphabets]]+Table3[[#This Row],[Numbers]]+Table3[[#This Row],[Special Character]]</f>
        <v>22</v>
      </c>
      <c r="C92">
        <f>Table3[[#This Row],[Lowercase]]+Table3[[#This Row],[Uppercase]]</f>
        <v>11</v>
      </c>
      <c r="D92">
        <v>5</v>
      </c>
      <c r="E92">
        <v>5</v>
      </c>
      <c r="F92">
        <v>6</v>
      </c>
      <c r="G92">
        <v>6</v>
      </c>
      <c r="H92">
        <v>1</v>
      </c>
      <c r="I92">
        <v>1</v>
      </c>
      <c r="J92">
        <v>0</v>
      </c>
      <c r="K92">
        <v>0</v>
      </c>
      <c r="L92">
        <f>IF(AND(Table3[[#This Row],[Length]]&gt;=15, Table3[[#This Row],[Unique]]+Table3[[#This Row],[Randomize]]+J92+K92&gt;=2), 1, 0)</f>
        <v>1</v>
      </c>
    </row>
    <row r="93" spans="2:12" x14ac:dyDescent="0.3">
      <c r="B93">
        <f>Table3[[#This Row],[Alphabets]]+Table3[[#This Row],[Numbers]]+Table3[[#This Row],[Special Character]]</f>
        <v>8</v>
      </c>
      <c r="C93">
        <f>Table3[[#This Row],[Lowercase]]+Table3[[#This Row],[Uppercase]]</f>
        <v>6</v>
      </c>
      <c r="D93">
        <v>1</v>
      </c>
      <c r="E93">
        <v>2</v>
      </c>
      <c r="F93">
        <v>4</v>
      </c>
      <c r="G93">
        <v>1</v>
      </c>
      <c r="H93">
        <v>1</v>
      </c>
      <c r="I93">
        <v>1</v>
      </c>
      <c r="J93">
        <v>1</v>
      </c>
      <c r="K93">
        <v>1</v>
      </c>
      <c r="L93">
        <f>IF(AND(Table3[[#This Row],[Length]]&gt;=15, Table3[[#This Row],[Unique]]+Table3[[#This Row],[Randomize]]+J93+K93&gt;=2), 1, 0)</f>
        <v>0</v>
      </c>
    </row>
    <row r="94" spans="2:12" x14ac:dyDescent="0.3">
      <c r="B94">
        <f>Table3[[#This Row],[Alphabets]]+Table3[[#This Row],[Numbers]]+Table3[[#This Row],[Special Character]]</f>
        <v>17</v>
      </c>
      <c r="C94">
        <f>Table3[[#This Row],[Lowercase]]+Table3[[#This Row],[Uppercase]]</f>
        <v>8</v>
      </c>
      <c r="D94">
        <v>7</v>
      </c>
      <c r="E94">
        <v>0</v>
      </c>
      <c r="F94">
        <v>8</v>
      </c>
      <c r="G94">
        <v>2</v>
      </c>
      <c r="H94">
        <v>0</v>
      </c>
      <c r="I94">
        <v>1</v>
      </c>
      <c r="J94">
        <v>0</v>
      </c>
      <c r="K94">
        <v>1</v>
      </c>
      <c r="L94">
        <f>IF(AND(Table3[[#This Row],[Length]]&gt;=15, Table3[[#This Row],[Unique]]+Table3[[#This Row],[Randomize]]+J94+K94&gt;=2), 1, 0)</f>
        <v>1</v>
      </c>
    </row>
    <row r="95" spans="2:12" x14ac:dyDescent="0.3">
      <c r="B95">
        <f>Table3[[#This Row],[Alphabets]]+Table3[[#This Row],[Numbers]]+Table3[[#This Row],[Special Character]]</f>
        <v>12</v>
      </c>
      <c r="C95">
        <f>Table3[[#This Row],[Lowercase]]+Table3[[#This Row],[Uppercase]]</f>
        <v>3</v>
      </c>
      <c r="D95">
        <v>9</v>
      </c>
      <c r="E95">
        <v>3</v>
      </c>
      <c r="F95">
        <v>0</v>
      </c>
      <c r="G95">
        <v>0</v>
      </c>
      <c r="H95">
        <v>1</v>
      </c>
      <c r="I95">
        <v>1</v>
      </c>
      <c r="J95">
        <v>1</v>
      </c>
      <c r="K95">
        <v>0</v>
      </c>
      <c r="L95">
        <f>IF(AND(Table3[[#This Row],[Length]]&gt;=15, Table3[[#This Row],[Unique]]+Table3[[#This Row],[Randomize]]+J95+K95&gt;=2), 1, 0)</f>
        <v>0</v>
      </c>
    </row>
    <row r="96" spans="2:12" x14ac:dyDescent="0.3">
      <c r="B96">
        <f>Table3[[#This Row],[Alphabets]]+Table3[[#This Row],[Numbers]]+Table3[[#This Row],[Special Character]]</f>
        <v>14</v>
      </c>
      <c r="C96">
        <f>Table3[[#This Row],[Lowercase]]+Table3[[#This Row],[Uppercase]]</f>
        <v>7</v>
      </c>
      <c r="D96">
        <v>3</v>
      </c>
      <c r="E96">
        <v>1</v>
      </c>
      <c r="F96">
        <v>6</v>
      </c>
      <c r="G96">
        <v>4</v>
      </c>
      <c r="H96">
        <v>0</v>
      </c>
      <c r="I96">
        <v>1</v>
      </c>
      <c r="J96">
        <v>1</v>
      </c>
      <c r="K96">
        <v>1</v>
      </c>
      <c r="L96">
        <f>IF(AND(Table3[[#This Row],[Length]]&gt;=15, Table3[[#This Row],[Unique]]+Table3[[#This Row],[Randomize]]+J96+K96&gt;=2), 1, 0)</f>
        <v>0</v>
      </c>
    </row>
    <row r="97" spans="2:12" x14ac:dyDescent="0.3">
      <c r="B97">
        <f>Table3[[#This Row],[Alphabets]]+Table3[[#This Row],[Numbers]]+Table3[[#This Row],[Special Character]]</f>
        <v>13</v>
      </c>
      <c r="C97">
        <f>Table3[[#This Row],[Lowercase]]+Table3[[#This Row],[Uppercase]]</f>
        <v>6</v>
      </c>
      <c r="D97">
        <v>6</v>
      </c>
      <c r="E97">
        <v>1</v>
      </c>
      <c r="F97">
        <v>5</v>
      </c>
      <c r="G97">
        <v>1</v>
      </c>
      <c r="H97">
        <v>1</v>
      </c>
      <c r="I97">
        <v>1</v>
      </c>
      <c r="J97">
        <v>0</v>
      </c>
      <c r="K97">
        <v>1</v>
      </c>
      <c r="L97">
        <f>IF(AND(Table3[[#This Row],[Length]]&gt;=15, Table3[[#This Row],[Unique]]+Table3[[#This Row],[Randomize]]+J97+K97&gt;=2), 1, 0)</f>
        <v>0</v>
      </c>
    </row>
    <row r="98" spans="2:12" x14ac:dyDescent="0.3">
      <c r="B98">
        <f>Table3[[#This Row],[Alphabets]]+Table3[[#This Row],[Numbers]]+Table3[[#This Row],[Special Character]]</f>
        <v>17</v>
      </c>
      <c r="C98">
        <f>Table3[[#This Row],[Lowercase]]+Table3[[#This Row],[Uppercase]]</f>
        <v>12</v>
      </c>
      <c r="D98">
        <v>2</v>
      </c>
      <c r="E98">
        <v>8</v>
      </c>
      <c r="F98">
        <v>4</v>
      </c>
      <c r="G98">
        <v>3</v>
      </c>
      <c r="H98">
        <v>0</v>
      </c>
      <c r="I98">
        <v>1</v>
      </c>
      <c r="J98">
        <v>0</v>
      </c>
      <c r="K98">
        <v>1</v>
      </c>
      <c r="L98">
        <f>IF(AND(Table3[[#This Row],[Length]]&gt;=15, Table3[[#This Row],[Unique]]+Table3[[#This Row],[Randomize]]+J98+K98&gt;=2), 1, 0)</f>
        <v>1</v>
      </c>
    </row>
    <row r="99" spans="2:12" x14ac:dyDescent="0.3">
      <c r="B99">
        <f>Table3[[#This Row],[Alphabets]]+Table3[[#This Row],[Numbers]]+Table3[[#This Row],[Special Character]]</f>
        <v>11</v>
      </c>
      <c r="C99">
        <f>Table3[[#This Row],[Lowercase]]+Table3[[#This Row],[Uppercase]]</f>
        <v>3</v>
      </c>
      <c r="D99">
        <v>3</v>
      </c>
      <c r="E99">
        <v>3</v>
      </c>
      <c r="F99">
        <v>0</v>
      </c>
      <c r="G99">
        <v>5</v>
      </c>
      <c r="H99">
        <v>1</v>
      </c>
      <c r="I99">
        <v>1</v>
      </c>
      <c r="J99">
        <v>1</v>
      </c>
      <c r="K99">
        <v>1</v>
      </c>
      <c r="L99">
        <f>IF(AND(Table3[[#This Row],[Length]]&gt;=15, Table3[[#This Row],[Unique]]+Table3[[#This Row],[Randomize]]+J99+K99&gt;=2), 1, 0)</f>
        <v>0</v>
      </c>
    </row>
    <row r="100" spans="2:12" x14ac:dyDescent="0.3">
      <c r="B100">
        <f>Table3[[#This Row],[Alphabets]]+Table3[[#This Row],[Numbers]]+Table3[[#This Row],[Special Character]]</f>
        <v>10</v>
      </c>
      <c r="C100">
        <f>Table3[[#This Row],[Lowercase]]+Table3[[#This Row],[Uppercase]]</f>
        <v>7</v>
      </c>
      <c r="D100">
        <v>1</v>
      </c>
      <c r="E100">
        <v>0</v>
      </c>
      <c r="F100">
        <v>7</v>
      </c>
      <c r="G100">
        <v>2</v>
      </c>
      <c r="H100">
        <v>0</v>
      </c>
      <c r="I100">
        <v>1</v>
      </c>
      <c r="J100">
        <v>1</v>
      </c>
      <c r="K100">
        <v>1</v>
      </c>
      <c r="L100">
        <f>IF(AND(Table3[[#This Row],[Length]]&gt;=15, Table3[[#This Row],[Unique]]+Table3[[#This Row],[Randomize]]+J100+K100&gt;=2), 1, 0)</f>
        <v>0</v>
      </c>
    </row>
    <row r="101" spans="2:12" x14ac:dyDescent="0.3">
      <c r="B101">
        <f>Table3[[#This Row],[Alphabets]]+Table3[[#This Row],[Numbers]]+Table3[[#This Row],[Special Character]]</f>
        <v>29</v>
      </c>
      <c r="C101">
        <f>Table3[[#This Row],[Lowercase]]+Table3[[#This Row],[Uppercase]]</f>
        <v>19</v>
      </c>
      <c r="D101">
        <v>8</v>
      </c>
      <c r="E101">
        <v>10</v>
      </c>
      <c r="F101">
        <v>9</v>
      </c>
      <c r="G101">
        <v>2</v>
      </c>
      <c r="H101">
        <v>0</v>
      </c>
      <c r="I101">
        <v>1</v>
      </c>
      <c r="J101">
        <v>0</v>
      </c>
      <c r="K101">
        <v>0</v>
      </c>
      <c r="L101">
        <f>IF(AND(Table3[[#This Row],[Length]]&gt;=15, Table3[[#This Row],[Unique]]+Table3[[#This Row],[Randomize]]+J101+K101&gt;=2), 1, 0)</f>
        <v>0</v>
      </c>
    </row>
    <row r="102" spans="2:12" x14ac:dyDescent="0.3">
      <c r="B102">
        <f>Table3[[#This Row],[Alphabets]]+Table3[[#This Row],[Numbers]]+Table3[[#This Row],[Special Character]]</f>
        <v>16</v>
      </c>
      <c r="C102">
        <f>Table3[[#This Row],[Lowercase]]+Table3[[#This Row],[Uppercase]]</f>
        <v>12</v>
      </c>
      <c r="D102">
        <v>1</v>
      </c>
      <c r="E102">
        <v>8</v>
      </c>
      <c r="F102">
        <v>4</v>
      </c>
      <c r="G102">
        <v>3</v>
      </c>
      <c r="H102">
        <v>1</v>
      </c>
      <c r="I102">
        <v>1</v>
      </c>
      <c r="J102">
        <v>1</v>
      </c>
      <c r="K102">
        <v>1</v>
      </c>
      <c r="L102">
        <f>IF(AND(Table3[[#This Row],[Length]]&gt;=15, Table3[[#This Row],[Unique]]+Table3[[#This Row],[Randomize]]+J102+K102&gt;=2), 1, 0)</f>
        <v>1</v>
      </c>
    </row>
    <row r="103" spans="2:12" x14ac:dyDescent="0.3">
      <c r="B103">
        <f>Table3[[#This Row],[Alphabets]]+Table3[[#This Row],[Numbers]]+Table3[[#This Row],[Special Character]]</f>
        <v>20</v>
      </c>
      <c r="C103">
        <f>Table3[[#This Row],[Lowercase]]+Table3[[#This Row],[Uppercase]]</f>
        <v>12</v>
      </c>
      <c r="D103">
        <v>8</v>
      </c>
      <c r="E103">
        <v>2</v>
      </c>
      <c r="F103">
        <v>10</v>
      </c>
      <c r="G103">
        <v>0</v>
      </c>
      <c r="H103">
        <v>1</v>
      </c>
      <c r="I103">
        <v>1</v>
      </c>
      <c r="J103">
        <v>0</v>
      </c>
      <c r="K103">
        <v>1</v>
      </c>
      <c r="L103">
        <f>IF(AND(Table3[[#This Row],[Length]]&gt;=15, Table3[[#This Row],[Unique]]+Table3[[#This Row],[Randomize]]+J103+K103&gt;=2), 1, 0)</f>
        <v>1</v>
      </c>
    </row>
    <row r="104" spans="2:12" x14ac:dyDescent="0.3">
      <c r="B104">
        <f>Table3[[#This Row],[Alphabets]]+Table3[[#This Row],[Numbers]]+Table3[[#This Row],[Special Character]]</f>
        <v>4</v>
      </c>
      <c r="C104">
        <f>Table3[[#This Row],[Lowercase]]+Table3[[#This Row],[Uppercase]]</f>
        <v>1</v>
      </c>
      <c r="D104">
        <v>1</v>
      </c>
      <c r="E104">
        <v>0</v>
      </c>
      <c r="F104">
        <v>1</v>
      </c>
      <c r="G104">
        <v>2</v>
      </c>
      <c r="H104">
        <v>0</v>
      </c>
      <c r="I104">
        <v>1</v>
      </c>
      <c r="J104">
        <v>1</v>
      </c>
      <c r="K104">
        <v>1</v>
      </c>
      <c r="L104">
        <f>IF(AND(Table3[[#This Row],[Length]]&gt;=15, Table3[[#This Row],[Unique]]+Table3[[#This Row],[Randomize]]+J104+K104&gt;=2), 1, 0)</f>
        <v>0</v>
      </c>
    </row>
    <row r="105" spans="2:12" x14ac:dyDescent="0.3">
      <c r="B105">
        <f>Table3[[#This Row],[Alphabets]]+Table3[[#This Row],[Numbers]]+Table3[[#This Row],[Special Character]]</f>
        <v>22</v>
      </c>
      <c r="C105">
        <f>Table3[[#This Row],[Lowercase]]+Table3[[#This Row],[Uppercase]]</f>
        <v>12</v>
      </c>
      <c r="D105">
        <v>7</v>
      </c>
      <c r="E105">
        <v>4</v>
      </c>
      <c r="F105">
        <v>8</v>
      </c>
      <c r="G105">
        <v>3</v>
      </c>
      <c r="H105">
        <v>0</v>
      </c>
      <c r="I105">
        <v>1</v>
      </c>
      <c r="J105">
        <v>1</v>
      </c>
      <c r="K105">
        <v>1</v>
      </c>
      <c r="L105">
        <f>IF(AND(Table3[[#This Row],[Length]]&gt;=15, Table3[[#This Row],[Unique]]+Table3[[#This Row],[Randomize]]+J105+K105&gt;=2), 1, 0)</f>
        <v>1</v>
      </c>
    </row>
    <row r="106" spans="2:12" x14ac:dyDescent="0.3">
      <c r="B106">
        <f>Table3[[#This Row],[Alphabets]]+Table3[[#This Row],[Numbers]]+Table3[[#This Row],[Special Character]]</f>
        <v>11</v>
      </c>
      <c r="C106">
        <f>Table3[[#This Row],[Lowercase]]+Table3[[#This Row],[Uppercase]]</f>
        <v>11</v>
      </c>
      <c r="D106">
        <v>0</v>
      </c>
      <c r="E106">
        <v>6</v>
      </c>
      <c r="F106">
        <v>5</v>
      </c>
      <c r="G106">
        <v>0</v>
      </c>
      <c r="H106">
        <v>0</v>
      </c>
      <c r="I106">
        <v>1</v>
      </c>
      <c r="J106">
        <v>0</v>
      </c>
      <c r="K106">
        <v>0</v>
      </c>
      <c r="L106">
        <f>IF(AND(Table3[[#This Row],[Length]]&gt;=15, Table3[[#This Row],[Unique]]+Table3[[#This Row],[Randomize]]+J106+K106&gt;=2), 1, 0)</f>
        <v>0</v>
      </c>
    </row>
    <row r="107" spans="2:12" x14ac:dyDescent="0.3">
      <c r="B107">
        <f>Table3[[#This Row],[Alphabets]]+Table3[[#This Row],[Numbers]]+Table3[[#This Row],[Special Character]]</f>
        <v>18</v>
      </c>
      <c r="C107">
        <f>Table3[[#This Row],[Lowercase]]+Table3[[#This Row],[Uppercase]]</f>
        <v>9</v>
      </c>
      <c r="D107">
        <v>6</v>
      </c>
      <c r="E107">
        <v>6</v>
      </c>
      <c r="F107">
        <v>3</v>
      </c>
      <c r="G107">
        <v>3</v>
      </c>
      <c r="H107">
        <v>0</v>
      </c>
      <c r="I107">
        <v>1</v>
      </c>
      <c r="J107">
        <v>1</v>
      </c>
      <c r="K107">
        <v>0</v>
      </c>
      <c r="L107">
        <f>IF(AND(Table3[[#This Row],[Length]]&gt;=15, Table3[[#This Row],[Unique]]+Table3[[#This Row],[Randomize]]+J107+K107&gt;=2), 1, 0)</f>
        <v>1</v>
      </c>
    </row>
    <row r="108" spans="2:12" x14ac:dyDescent="0.3">
      <c r="B108">
        <f>Table3[[#This Row],[Alphabets]]+Table3[[#This Row],[Numbers]]+Table3[[#This Row],[Special Character]]</f>
        <v>25</v>
      </c>
      <c r="C108">
        <f>Table3[[#This Row],[Lowercase]]+Table3[[#This Row],[Uppercase]]</f>
        <v>15</v>
      </c>
      <c r="D108">
        <v>7</v>
      </c>
      <c r="E108">
        <v>6</v>
      </c>
      <c r="F108">
        <v>9</v>
      </c>
      <c r="G108">
        <v>3</v>
      </c>
      <c r="H108">
        <v>1</v>
      </c>
      <c r="I108">
        <v>1</v>
      </c>
      <c r="J108">
        <v>1</v>
      </c>
      <c r="K108">
        <v>1</v>
      </c>
      <c r="L108">
        <f>IF(AND(Table3[[#This Row],[Length]]&gt;=15, Table3[[#This Row],[Unique]]+Table3[[#This Row],[Randomize]]+J108+K108&gt;=2), 1, 0)</f>
        <v>1</v>
      </c>
    </row>
    <row r="109" spans="2:12" x14ac:dyDescent="0.3">
      <c r="B109">
        <f>Table3[[#This Row],[Alphabets]]+Table3[[#This Row],[Numbers]]+Table3[[#This Row],[Special Character]]</f>
        <v>24</v>
      </c>
      <c r="C109">
        <f>Table3[[#This Row],[Lowercase]]+Table3[[#This Row],[Uppercase]]</f>
        <v>15</v>
      </c>
      <c r="D109">
        <v>6</v>
      </c>
      <c r="E109">
        <v>10</v>
      </c>
      <c r="F109">
        <v>5</v>
      </c>
      <c r="G109">
        <v>3</v>
      </c>
      <c r="H109">
        <v>0</v>
      </c>
      <c r="I109">
        <v>1</v>
      </c>
      <c r="J109">
        <v>0</v>
      </c>
      <c r="K109">
        <v>1</v>
      </c>
      <c r="L109">
        <f>IF(AND(Table3[[#This Row],[Length]]&gt;=15, Table3[[#This Row],[Unique]]+Table3[[#This Row],[Randomize]]+J109+K109&gt;=2), 1, 0)</f>
        <v>1</v>
      </c>
    </row>
    <row r="110" spans="2:12" x14ac:dyDescent="0.3">
      <c r="B110">
        <f>Table3[[#This Row],[Alphabets]]+Table3[[#This Row],[Numbers]]+Table3[[#This Row],[Special Character]]</f>
        <v>22</v>
      </c>
      <c r="C110">
        <f>Table3[[#This Row],[Lowercase]]+Table3[[#This Row],[Uppercase]]</f>
        <v>12</v>
      </c>
      <c r="D110">
        <v>9</v>
      </c>
      <c r="E110">
        <v>4</v>
      </c>
      <c r="F110">
        <v>8</v>
      </c>
      <c r="G110">
        <v>1</v>
      </c>
      <c r="H110">
        <v>0</v>
      </c>
      <c r="I110">
        <v>1</v>
      </c>
      <c r="J110">
        <v>0</v>
      </c>
      <c r="K110">
        <v>1</v>
      </c>
      <c r="L110">
        <f>IF(AND(Table3[[#This Row],[Length]]&gt;=15, Table3[[#This Row],[Unique]]+Table3[[#This Row],[Randomize]]+J110+K110&gt;=2), 1, 0)</f>
        <v>1</v>
      </c>
    </row>
    <row r="111" spans="2:12" x14ac:dyDescent="0.3">
      <c r="B111">
        <f>Table3[[#This Row],[Alphabets]]+Table3[[#This Row],[Numbers]]+Table3[[#This Row],[Special Character]]</f>
        <v>23</v>
      </c>
      <c r="C111">
        <f>Table3[[#This Row],[Lowercase]]+Table3[[#This Row],[Uppercase]]</f>
        <v>10</v>
      </c>
      <c r="D111">
        <v>8</v>
      </c>
      <c r="E111">
        <v>8</v>
      </c>
      <c r="F111">
        <v>2</v>
      </c>
      <c r="G111">
        <v>5</v>
      </c>
      <c r="H111">
        <v>1</v>
      </c>
      <c r="I111">
        <v>1</v>
      </c>
      <c r="J111">
        <v>0</v>
      </c>
      <c r="K111">
        <v>0</v>
      </c>
      <c r="L111">
        <f>IF(AND(Table3[[#This Row],[Length]]&gt;=15, Table3[[#This Row],[Unique]]+Table3[[#This Row],[Randomize]]+J111+K111&gt;=2), 1, 0)</f>
        <v>1</v>
      </c>
    </row>
    <row r="112" spans="2:12" x14ac:dyDescent="0.3">
      <c r="B112">
        <f>Table3[[#This Row],[Alphabets]]+Table3[[#This Row],[Numbers]]+Table3[[#This Row],[Special Character]]</f>
        <v>22</v>
      </c>
      <c r="C112">
        <f>Table3[[#This Row],[Lowercase]]+Table3[[#This Row],[Uppercase]]</f>
        <v>11</v>
      </c>
      <c r="D112">
        <v>7</v>
      </c>
      <c r="E112">
        <v>1</v>
      </c>
      <c r="F112">
        <v>10</v>
      </c>
      <c r="G112">
        <v>4</v>
      </c>
      <c r="H112">
        <v>0</v>
      </c>
      <c r="I112">
        <v>1</v>
      </c>
      <c r="J112">
        <v>0</v>
      </c>
      <c r="K112">
        <v>1</v>
      </c>
      <c r="L112">
        <f>IF(AND(Table3[[#This Row],[Length]]&gt;=15, Table3[[#This Row],[Unique]]+Table3[[#This Row],[Randomize]]+J112+K112&gt;=2), 1, 0)</f>
        <v>1</v>
      </c>
    </row>
    <row r="113" spans="2:12" x14ac:dyDescent="0.3">
      <c r="B113">
        <f>Table3[[#This Row],[Alphabets]]+Table3[[#This Row],[Numbers]]+Table3[[#This Row],[Special Character]]</f>
        <v>17</v>
      </c>
      <c r="C113">
        <f>Table3[[#This Row],[Lowercase]]+Table3[[#This Row],[Uppercase]]</f>
        <v>12</v>
      </c>
      <c r="D113">
        <v>4</v>
      </c>
      <c r="E113">
        <v>5</v>
      </c>
      <c r="F113">
        <v>7</v>
      </c>
      <c r="G113">
        <v>1</v>
      </c>
      <c r="H113">
        <v>0</v>
      </c>
      <c r="I113">
        <v>1</v>
      </c>
      <c r="J113">
        <v>0</v>
      </c>
      <c r="K113">
        <v>0</v>
      </c>
      <c r="L113">
        <f>IF(AND(Table3[[#This Row],[Length]]&gt;=15, Table3[[#This Row],[Unique]]+Table3[[#This Row],[Randomize]]+J113+K113&gt;=2), 1, 0)</f>
        <v>0</v>
      </c>
    </row>
    <row r="114" spans="2:12" x14ac:dyDescent="0.3">
      <c r="B114">
        <f>Table3[[#This Row],[Alphabets]]+Table3[[#This Row],[Numbers]]+Table3[[#This Row],[Special Character]]</f>
        <v>10</v>
      </c>
      <c r="C114">
        <f>Table3[[#This Row],[Lowercase]]+Table3[[#This Row],[Uppercase]]</f>
        <v>0</v>
      </c>
      <c r="D114">
        <v>6</v>
      </c>
      <c r="E114">
        <v>0</v>
      </c>
      <c r="F114">
        <v>0</v>
      </c>
      <c r="G114">
        <v>4</v>
      </c>
      <c r="H114">
        <v>0</v>
      </c>
      <c r="I114">
        <v>1</v>
      </c>
      <c r="J114">
        <v>0</v>
      </c>
      <c r="K114">
        <v>0</v>
      </c>
      <c r="L114">
        <f>IF(AND(Table3[[#This Row],[Length]]&gt;=15, Table3[[#This Row],[Unique]]+Table3[[#This Row],[Randomize]]+J114+K114&gt;=2), 1, 0)</f>
        <v>0</v>
      </c>
    </row>
    <row r="115" spans="2:12" x14ac:dyDescent="0.3">
      <c r="B115">
        <f>Table3[[#This Row],[Alphabets]]+Table3[[#This Row],[Numbers]]+Table3[[#This Row],[Special Character]]</f>
        <v>20</v>
      </c>
      <c r="C115">
        <f>Table3[[#This Row],[Lowercase]]+Table3[[#This Row],[Uppercase]]</f>
        <v>17</v>
      </c>
      <c r="D115">
        <v>0</v>
      </c>
      <c r="E115">
        <v>9</v>
      </c>
      <c r="F115">
        <v>8</v>
      </c>
      <c r="G115">
        <v>3</v>
      </c>
      <c r="H115">
        <v>1</v>
      </c>
      <c r="I115">
        <v>1</v>
      </c>
      <c r="J115">
        <v>0</v>
      </c>
      <c r="K115">
        <v>0</v>
      </c>
      <c r="L115">
        <f>IF(AND(Table3[[#This Row],[Length]]&gt;=15, Table3[[#This Row],[Unique]]+Table3[[#This Row],[Randomize]]+J115+K115&gt;=2), 1, 0)</f>
        <v>1</v>
      </c>
    </row>
    <row r="116" spans="2:12" x14ac:dyDescent="0.3">
      <c r="B116">
        <f>Table3[[#This Row],[Alphabets]]+Table3[[#This Row],[Numbers]]+Table3[[#This Row],[Special Character]]</f>
        <v>13</v>
      </c>
      <c r="C116">
        <f>Table3[[#This Row],[Lowercase]]+Table3[[#This Row],[Uppercase]]</f>
        <v>6</v>
      </c>
      <c r="D116">
        <v>3</v>
      </c>
      <c r="E116">
        <v>0</v>
      </c>
      <c r="F116">
        <v>6</v>
      </c>
      <c r="G116">
        <v>4</v>
      </c>
      <c r="H116">
        <v>0</v>
      </c>
      <c r="I116">
        <v>1</v>
      </c>
      <c r="J116">
        <v>1</v>
      </c>
      <c r="K116">
        <v>1</v>
      </c>
      <c r="L116">
        <f>IF(AND(Table3[[#This Row],[Length]]&gt;=15, Table3[[#This Row],[Unique]]+Table3[[#This Row],[Randomize]]+J116+K116&gt;=2), 1, 0)</f>
        <v>0</v>
      </c>
    </row>
    <row r="117" spans="2:12" x14ac:dyDescent="0.3">
      <c r="B117">
        <f>Table3[[#This Row],[Alphabets]]+Table3[[#This Row],[Numbers]]+Table3[[#This Row],[Special Character]]</f>
        <v>10</v>
      </c>
      <c r="C117">
        <f>Table3[[#This Row],[Lowercase]]+Table3[[#This Row],[Uppercase]]</f>
        <v>1</v>
      </c>
      <c r="D117">
        <v>8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1</v>
      </c>
      <c r="L117">
        <f>IF(AND(Table3[[#This Row],[Length]]&gt;=15, Table3[[#This Row],[Unique]]+Table3[[#This Row],[Randomize]]+J117+K117&gt;=2), 1, 0)</f>
        <v>0</v>
      </c>
    </row>
    <row r="118" spans="2:12" x14ac:dyDescent="0.3">
      <c r="B118">
        <f>Table3[[#This Row],[Alphabets]]+Table3[[#This Row],[Numbers]]+Table3[[#This Row],[Special Character]]</f>
        <v>28</v>
      </c>
      <c r="C118">
        <f>Table3[[#This Row],[Lowercase]]+Table3[[#This Row],[Uppercase]]</f>
        <v>15</v>
      </c>
      <c r="D118">
        <v>7</v>
      </c>
      <c r="E118">
        <v>10</v>
      </c>
      <c r="F118">
        <v>5</v>
      </c>
      <c r="G118">
        <v>6</v>
      </c>
      <c r="H118">
        <v>0</v>
      </c>
      <c r="I118">
        <v>1</v>
      </c>
      <c r="J118">
        <v>0</v>
      </c>
      <c r="K118">
        <v>1</v>
      </c>
      <c r="L118">
        <f>IF(AND(Table3[[#This Row],[Length]]&gt;=15, Table3[[#This Row],[Unique]]+Table3[[#This Row],[Randomize]]+J118+K118&gt;=2), 1, 0)</f>
        <v>1</v>
      </c>
    </row>
    <row r="119" spans="2:12" x14ac:dyDescent="0.3">
      <c r="B119">
        <f>Table3[[#This Row],[Alphabets]]+Table3[[#This Row],[Numbers]]+Table3[[#This Row],[Special Character]]</f>
        <v>5</v>
      </c>
      <c r="C119">
        <f>Table3[[#This Row],[Lowercase]]+Table3[[#This Row],[Uppercase]]</f>
        <v>2</v>
      </c>
      <c r="D119">
        <v>3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0</v>
      </c>
      <c r="L119">
        <f>IF(AND(Table3[[#This Row],[Length]]&gt;=15, Table3[[#This Row],[Unique]]+Table3[[#This Row],[Randomize]]+J119+K119&gt;=2), 1, 0)</f>
        <v>0</v>
      </c>
    </row>
    <row r="120" spans="2:12" x14ac:dyDescent="0.3">
      <c r="B120">
        <f>Table3[[#This Row],[Alphabets]]+Table3[[#This Row],[Numbers]]+Table3[[#This Row],[Special Character]]</f>
        <v>19</v>
      </c>
      <c r="C120">
        <f>Table3[[#This Row],[Lowercase]]+Table3[[#This Row],[Uppercase]]</f>
        <v>10</v>
      </c>
      <c r="D120">
        <v>3</v>
      </c>
      <c r="E120">
        <v>5</v>
      </c>
      <c r="F120">
        <v>5</v>
      </c>
      <c r="G120">
        <v>6</v>
      </c>
      <c r="H120">
        <v>0</v>
      </c>
      <c r="I120">
        <v>1</v>
      </c>
      <c r="J120">
        <v>0</v>
      </c>
      <c r="K120">
        <v>1</v>
      </c>
      <c r="L120">
        <f>IF(AND(Table3[[#This Row],[Length]]&gt;=15, Table3[[#This Row],[Unique]]+Table3[[#This Row],[Randomize]]+J120+K120&gt;=2), 1, 0)</f>
        <v>1</v>
      </c>
    </row>
    <row r="121" spans="2:12" x14ac:dyDescent="0.3">
      <c r="B121">
        <f>Table3[[#This Row],[Alphabets]]+Table3[[#This Row],[Numbers]]+Table3[[#This Row],[Special Character]]</f>
        <v>18</v>
      </c>
      <c r="C121">
        <f>Table3[[#This Row],[Lowercase]]+Table3[[#This Row],[Uppercase]]</f>
        <v>10</v>
      </c>
      <c r="D121">
        <v>2</v>
      </c>
      <c r="E121">
        <v>4</v>
      </c>
      <c r="F121">
        <v>6</v>
      </c>
      <c r="G121">
        <v>6</v>
      </c>
      <c r="H121">
        <v>0</v>
      </c>
      <c r="I121">
        <v>1</v>
      </c>
      <c r="J121">
        <v>1</v>
      </c>
      <c r="K121">
        <v>0</v>
      </c>
      <c r="L121">
        <f>IF(AND(Table3[[#This Row],[Length]]&gt;=15, Table3[[#This Row],[Unique]]+Table3[[#This Row],[Randomize]]+J121+K121&gt;=2), 1, 0)</f>
        <v>1</v>
      </c>
    </row>
    <row r="122" spans="2:12" x14ac:dyDescent="0.3">
      <c r="B122">
        <f>Table3[[#This Row],[Alphabets]]+Table3[[#This Row],[Numbers]]+Table3[[#This Row],[Special Character]]</f>
        <v>20</v>
      </c>
      <c r="C122">
        <f>Table3[[#This Row],[Lowercase]]+Table3[[#This Row],[Uppercase]]</f>
        <v>14</v>
      </c>
      <c r="D122">
        <v>3</v>
      </c>
      <c r="E122">
        <v>8</v>
      </c>
      <c r="F122">
        <v>6</v>
      </c>
      <c r="G122">
        <v>3</v>
      </c>
      <c r="H122">
        <v>0</v>
      </c>
      <c r="I122">
        <v>1</v>
      </c>
      <c r="J122">
        <v>1</v>
      </c>
      <c r="K122">
        <v>0</v>
      </c>
      <c r="L122">
        <f>IF(AND(Table3[[#This Row],[Length]]&gt;=15, Table3[[#This Row],[Unique]]+Table3[[#This Row],[Randomize]]+J122+K122&gt;=2), 1, 0)</f>
        <v>1</v>
      </c>
    </row>
    <row r="123" spans="2:12" x14ac:dyDescent="0.3">
      <c r="B123">
        <f>Table3[[#This Row],[Alphabets]]+Table3[[#This Row],[Numbers]]+Table3[[#This Row],[Special Character]]</f>
        <v>17</v>
      </c>
      <c r="C123">
        <f>Table3[[#This Row],[Lowercase]]+Table3[[#This Row],[Uppercase]]</f>
        <v>10</v>
      </c>
      <c r="D123">
        <v>7</v>
      </c>
      <c r="E123">
        <v>7</v>
      </c>
      <c r="F123">
        <v>3</v>
      </c>
      <c r="G123">
        <v>0</v>
      </c>
      <c r="H123">
        <v>1</v>
      </c>
      <c r="I123">
        <v>1</v>
      </c>
      <c r="J123">
        <v>0</v>
      </c>
      <c r="K123">
        <v>0</v>
      </c>
      <c r="L123">
        <f>IF(AND(Table3[[#This Row],[Length]]&gt;=15, Table3[[#This Row],[Unique]]+Table3[[#This Row],[Randomize]]+J123+K123&gt;=2), 1, 0)</f>
        <v>1</v>
      </c>
    </row>
    <row r="124" spans="2:12" x14ac:dyDescent="0.3">
      <c r="B124">
        <f>Table3[[#This Row],[Alphabets]]+Table3[[#This Row],[Numbers]]+Table3[[#This Row],[Special Character]]</f>
        <v>18</v>
      </c>
      <c r="C124">
        <f>Table3[[#This Row],[Lowercase]]+Table3[[#This Row],[Uppercase]]</f>
        <v>11</v>
      </c>
      <c r="D124">
        <v>7</v>
      </c>
      <c r="E124">
        <v>9</v>
      </c>
      <c r="F124">
        <v>2</v>
      </c>
      <c r="G124">
        <v>0</v>
      </c>
      <c r="H124">
        <v>1</v>
      </c>
      <c r="I124">
        <v>1</v>
      </c>
      <c r="J124">
        <v>1</v>
      </c>
      <c r="K124">
        <v>0</v>
      </c>
      <c r="L124">
        <f>IF(AND(Table3[[#This Row],[Length]]&gt;=15, Table3[[#This Row],[Unique]]+Table3[[#This Row],[Randomize]]+J124+K124&gt;=2), 1, 0)</f>
        <v>1</v>
      </c>
    </row>
    <row r="125" spans="2:12" x14ac:dyDescent="0.3">
      <c r="B125">
        <f>Table3[[#This Row],[Alphabets]]+Table3[[#This Row],[Numbers]]+Table3[[#This Row],[Special Character]]</f>
        <v>25</v>
      </c>
      <c r="C125">
        <f>Table3[[#This Row],[Lowercase]]+Table3[[#This Row],[Uppercase]]</f>
        <v>14</v>
      </c>
      <c r="D125">
        <v>8</v>
      </c>
      <c r="E125">
        <v>10</v>
      </c>
      <c r="F125">
        <v>4</v>
      </c>
      <c r="G125">
        <v>3</v>
      </c>
      <c r="H125">
        <v>0</v>
      </c>
      <c r="I125">
        <v>1</v>
      </c>
      <c r="J125">
        <v>1</v>
      </c>
      <c r="K125">
        <v>1</v>
      </c>
      <c r="L125">
        <f>IF(AND(Table3[[#This Row],[Length]]&gt;=15, Table3[[#This Row],[Unique]]+Table3[[#This Row],[Randomize]]+J125+K125&gt;=2), 1, 0)</f>
        <v>1</v>
      </c>
    </row>
    <row r="126" spans="2:12" x14ac:dyDescent="0.3">
      <c r="B126">
        <f>Table3[[#This Row],[Alphabets]]+Table3[[#This Row],[Numbers]]+Table3[[#This Row],[Special Character]]</f>
        <v>18</v>
      </c>
      <c r="C126">
        <f>Table3[[#This Row],[Lowercase]]+Table3[[#This Row],[Uppercase]]</f>
        <v>9</v>
      </c>
      <c r="D126">
        <v>4</v>
      </c>
      <c r="E126">
        <v>7</v>
      </c>
      <c r="F126">
        <v>2</v>
      </c>
      <c r="G126">
        <v>5</v>
      </c>
      <c r="H126">
        <v>0</v>
      </c>
      <c r="I126">
        <v>1</v>
      </c>
      <c r="J126">
        <v>0</v>
      </c>
      <c r="K126">
        <v>1</v>
      </c>
      <c r="L126">
        <f>IF(AND(Table3[[#This Row],[Length]]&gt;=15, Table3[[#This Row],[Unique]]+Table3[[#This Row],[Randomize]]+J126+K126&gt;=2), 1, 0)</f>
        <v>1</v>
      </c>
    </row>
    <row r="127" spans="2:12" x14ac:dyDescent="0.3">
      <c r="B127">
        <f>Table3[[#This Row],[Alphabets]]+Table3[[#This Row],[Numbers]]+Table3[[#This Row],[Special Character]]</f>
        <v>22</v>
      </c>
      <c r="C127">
        <f>Table3[[#This Row],[Lowercase]]+Table3[[#This Row],[Uppercase]]</f>
        <v>18</v>
      </c>
      <c r="D127">
        <v>4</v>
      </c>
      <c r="E127">
        <v>9</v>
      </c>
      <c r="F127">
        <v>9</v>
      </c>
      <c r="G127">
        <v>0</v>
      </c>
      <c r="H127">
        <v>0</v>
      </c>
      <c r="I127">
        <v>1</v>
      </c>
      <c r="J127">
        <v>0</v>
      </c>
      <c r="K127">
        <v>0</v>
      </c>
      <c r="L127">
        <f>IF(AND(Table3[[#This Row],[Length]]&gt;=15, Table3[[#This Row],[Unique]]+Table3[[#This Row],[Randomize]]+J127+K127&gt;=2), 1, 0)</f>
        <v>0</v>
      </c>
    </row>
    <row r="128" spans="2:12" x14ac:dyDescent="0.3">
      <c r="B128">
        <f>Table3[[#This Row],[Alphabets]]+Table3[[#This Row],[Numbers]]+Table3[[#This Row],[Special Character]]</f>
        <v>22</v>
      </c>
      <c r="C128">
        <f>Table3[[#This Row],[Lowercase]]+Table3[[#This Row],[Uppercase]]</f>
        <v>13</v>
      </c>
      <c r="D128">
        <v>5</v>
      </c>
      <c r="E128">
        <v>8</v>
      </c>
      <c r="F128">
        <v>5</v>
      </c>
      <c r="G128">
        <v>4</v>
      </c>
      <c r="H128">
        <v>0</v>
      </c>
      <c r="I128">
        <v>1</v>
      </c>
      <c r="J128">
        <v>1</v>
      </c>
      <c r="K128">
        <v>0</v>
      </c>
      <c r="L128">
        <f>IF(AND(Table3[[#This Row],[Length]]&gt;=15, Table3[[#This Row],[Unique]]+Table3[[#This Row],[Randomize]]+J128+K128&gt;=2), 1, 0)</f>
        <v>1</v>
      </c>
    </row>
    <row r="129" spans="2:12" x14ac:dyDescent="0.3">
      <c r="B129">
        <f>Table3[[#This Row],[Alphabets]]+Table3[[#This Row],[Numbers]]+Table3[[#This Row],[Special Character]]</f>
        <v>9</v>
      </c>
      <c r="C129">
        <f>Table3[[#This Row],[Lowercase]]+Table3[[#This Row],[Uppercase]]</f>
        <v>8</v>
      </c>
      <c r="D129">
        <v>1</v>
      </c>
      <c r="E129">
        <v>5</v>
      </c>
      <c r="F129">
        <v>3</v>
      </c>
      <c r="G129">
        <v>0</v>
      </c>
      <c r="H129">
        <v>0</v>
      </c>
      <c r="I129">
        <v>1</v>
      </c>
      <c r="J129">
        <v>0</v>
      </c>
      <c r="K129">
        <v>0</v>
      </c>
      <c r="L129">
        <f>IF(AND(Table3[[#This Row],[Length]]&gt;=15, Table3[[#This Row],[Unique]]+Table3[[#This Row],[Randomize]]+J129+K129&gt;=2), 1, 0)</f>
        <v>0</v>
      </c>
    </row>
    <row r="130" spans="2:12" x14ac:dyDescent="0.3">
      <c r="B130">
        <f>Table3[[#This Row],[Alphabets]]+Table3[[#This Row],[Numbers]]+Table3[[#This Row],[Special Character]]</f>
        <v>8</v>
      </c>
      <c r="C130">
        <f>Table3[[#This Row],[Lowercase]]+Table3[[#This Row],[Uppercase]]</f>
        <v>8</v>
      </c>
      <c r="D130">
        <v>0</v>
      </c>
      <c r="E130">
        <v>5</v>
      </c>
      <c r="F130">
        <v>3</v>
      </c>
      <c r="G130">
        <v>0</v>
      </c>
      <c r="H130">
        <v>0</v>
      </c>
      <c r="I130">
        <v>1</v>
      </c>
      <c r="J130">
        <v>1</v>
      </c>
      <c r="K130">
        <v>0</v>
      </c>
      <c r="L130">
        <f>IF(AND(Table3[[#This Row],[Length]]&gt;=15, Table3[[#This Row],[Unique]]+Table3[[#This Row],[Randomize]]+J130+K130&gt;=2), 1, 0)</f>
        <v>0</v>
      </c>
    </row>
    <row r="131" spans="2:12" x14ac:dyDescent="0.3">
      <c r="B131">
        <f>Table3[[#This Row],[Alphabets]]+Table3[[#This Row],[Numbers]]+Table3[[#This Row],[Special Character]]</f>
        <v>26</v>
      </c>
      <c r="C131">
        <f>Table3[[#This Row],[Lowercase]]+Table3[[#This Row],[Uppercase]]</f>
        <v>15</v>
      </c>
      <c r="D131">
        <v>5</v>
      </c>
      <c r="E131">
        <v>5</v>
      </c>
      <c r="F131">
        <v>10</v>
      </c>
      <c r="G131">
        <v>6</v>
      </c>
      <c r="H131">
        <v>0</v>
      </c>
      <c r="I131">
        <v>1</v>
      </c>
      <c r="J131">
        <v>1</v>
      </c>
      <c r="K131">
        <v>0</v>
      </c>
      <c r="L131">
        <f>IF(AND(Table3[[#This Row],[Length]]&gt;=15, Table3[[#This Row],[Unique]]+Table3[[#This Row],[Randomize]]+J131+K131&gt;=2), 1, 0)</f>
        <v>1</v>
      </c>
    </row>
    <row r="132" spans="2:12" x14ac:dyDescent="0.3">
      <c r="B132">
        <f>Table3[[#This Row],[Alphabets]]+Table3[[#This Row],[Numbers]]+Table3[[#This Row],[Special Character]]</f>
        <v>18</v>
      </c>
      <c r="C132">
        <f>Table3[[#This Row],[Lowercase]]+Table3[[#This Row],[Uppercase]]</f>
        <v>8</v>
      </c>
      <c r="D132">
        <v>4</v>
      </c>
      <c r="E132">
        <v>6</v>
      </c>
      <c r="F132">
        <v>2</v>
      </c>
      <c r="G132">
        <v>6</v>
      </c>
      <c r="H132">
        <v>0</v>
      </c>
      <c r="I132">
        <v>1</v>
      </c>
      <c r="J132">
        <v>0</v>
      </c>
      <c r="K132">
        <v>1</v>
      </c>
      <c r="L132">
        <f>IF(AND(Table3[[#This Row],[Length]]&gt;=15, Table3[[#This Row],[Unique]]+Table3[[#This Row],[Randomize]]+J132+K132&gt;=2), 1, 0)</f>
        <v>1</v>
      </c>
    </row>
    <row r="133" spans="2:12" x14ac:dyDescent="0.3">
      <c r="B133">
        <f>Table3[[#This Row],[Alphabets]]+Table3[[#This Row],[Numbers]]+Table3[[#This Row],[Special Character]]</f>
        <v>11</v>
      </c>
      <c r="C133">
        <f>Table3[[#This Row],[Lowercase]]+Table3[[#This Row],[Uppercase]]</f>
        <v>4</v>
      </c>
      <c r="D133">
        <v>7</v>
      </c>
      <c r="E133">
        <v>1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0</v>
      </c>
      <c r="L133">
        <f>IF(AND(Table3[[#This Row],[Length]]&gt;=15, Table3[[#This Row],[Unique]]+Table3[[#This Row],[Randomize]]+J133+K133&gt;=2), 1, 0)</f>
        <v>0</v>
      </c>
    </row>
    <row r="134" spans="2:12" x14ac:dyDescent="0.3">
      <c r="B134">
        <f>Table3[[#This Row],[Alphabets]]+Table3[[#This Row],[Numbers]]+Table3[[#This Row],[Special Character]]</f>
        <v>12</v>
      </c>
      <c r="C134">
        <f>Table3[[#This Row],[Lowercase]]+Table3[[#This Row],[Uppercase]]</f>
        <v>7</v>
      </c>
      <c r="D134">
        <v>1</v>
      </c>
      <c r="E134">
        <v>4</v>
      </c>
      <c r="F134">
        <v>3</v>
      </c>
      <c r="G134">
        <v>4</v>
      </c>
      <c r="H134">
        <v>0</v>
      </c>
      <c r="I134">
        <v>1</v>
      </c>
      <c r="J134">
        <v>1</v>
      </c>
      <c r="K134">
        <v>1</v>
      </c>
      <c r="L134">
        <f>IF(AND(Table3[[#This Row],[Length]]&gt;=15, Table3[[#This Row],[Unique]]+Table3[[#This Row],[Randomize]]+J134+K134&gt;=2), 1, 0)</f>
        <v>0</v>
      </c>
    </row>
    <row r="135" spans="2:12" x14ac:dyDescent="0.3">
      <c r="B135">
        <f>Table3[[#This Row],[Alphabets]]+Table3[[#This Row],[Numbers]]+Table3[[#This Row],[Special Character]]</f>
        <v>16</v>
      </c>
      <c r="C135">
        <f>Table3[[#This Row],[Lowercase]]+Table3[[#This Row],[Uppercase]]</f>
        <v>10</v>
      </c>
      <c r="D135">
        <v>5</v>
      </c>
      <c r="E135">
        <v>1</v>
      </c>
      <c r="F135">
        <v>9</v>
      </c>
      <c r="G135">
        <v>1</v>
      </c>
      <c r="H135">
        <v>0</v>
      </c>
      <c r="I135">
        <v>1</v>
      </c>
      <c r="J135">
        <v>0</v>
      </c>
      <c r="K135">
        <v>0</v>
      </c>
      <c r="L135">
        <f>IF(AND(Table3[[#This Row],[Length]]&gt;=15, Table3[[#This Row],[Unique]]+Table3[[#This Row],[Randomize]]+J135+K135&gt;=2), 1, 0)</f>
        <v>0</v>
      </c>
    </row>
    <row r="136" spans="2:12" x14ac:dyDescent="0.3">
      <c r="B136">
        <f>Table3[[#This Row],[Alphabets]]+Table3[[#This Row],[Numbers]]+Table3[[#This Row],[Special Character]]</f>
        <v>18</v>
      </c>
      <c r="C136">
        <f>Table3[[#This Row],[Lowercase]]+Table3[[#This Row],[Uppercase]]</f>
        <v>16</v>
      </c>
      <c r="D136">
        <v>1</v>
      </c>
      <c r="E136">
        <v>8</v>
      </c>
      <c r="F136">
        <v>8</v>
      </c>
      <c r="G136">
        <v>1</v>
      </c>
      <c r="H136">
        <v>1</v>
      </c>
      <c r="I136">
        <v>1</v>
      </c>
      <c r="J136">
        <v>0</v>
      </c>
      <c r="K136">
        <v>0</v>
      </c>
      <c r="L136">
        <f>IF(AND(Table3[[#This Row],[Length]]&gt;=15, Table3[[#This Row],[Unique]]+Table3[[#This Row],[Randomize]]+J136+K136&gt;=2), 1, 0)</f>
        <v>1</v>
      </c>
    </row>
    <row r="137" spans="2:12" x14ac:dyDescent="0.3">
      <c r="B137">
        <f>Table3[[#This Row],[Alphabets]]+Table3[[#This Row],[Numbers]]+Table3[[#This Row],[Special Character]]</f>
        <v>17</v>
      </c>
      <c r="C137">
        <f>Table3[[#This Row],[Lowercase]]+Table3[[#This Row],[Uppercase]]</f>
        <v>8</v>
      </c>
      <c r="D137">
        <v>3</v>
      </c>
      <c r="E137">
        <v>6</v>
      </c>
      <c r="F137">
        <v>2</v>
      </c>
      <c r="G137">
        <v>6</v>
      </c>
      <c r="H137">
        <v>0</v>
      </c>
      <c r="I137">
        <v>1</v>
      </c>
      <c r="J137">
        <v>0</v>
      </c>
      <c r="K137">
        <v>0</v>
      </c>
      <c r="L137">
        <f>IF(AND(Table3[[#This Row],[Length]]&gt;=15, Table3[[#This Row],[Unique]]+Table3[[#This Row],[Randomize]]+J137+K137&gt;=2), 1, 0)</f>
        <v>0</v>
      </c>
    </row>
    <row r="138" spans="2:12" x14ac:dyDescent="0.3">
      <c r="B138">
        <f>Table3[[#This Row],[Alphabets]]+Table3[[#This Row],[Numbers]]+Table3[[#This Row],[Special Character]]</f>
        <v>21</v>
      </c>
      <c r="C138">
        <f>Table3[[#This Row],[Lowercase]]+Table3[[#This Row],[Uppercase]]</f>
        <v>14</v>
      </c>
      <c r="D138">
        <v>6</v>
      </c>
      <c r="E138">
        <v>7</v>
      </c>
      <c r="F138">
        <v>7</v>
      </c>
      <c r="G138">
        <v>1</v>
      </c>
      <c r="H138">
        <v>0</v>
      </c>
      <c r="I138">
        <v>1</v>
      </c>
      <c r="J138">
        <v>0</v>
      </c>
      <c r="K138">
        <v>0</v>
      </c>
      <c r="L138">
        <f>IF(AND(Table3[[#This Row],[Length]]&gt;=15, Table3[[#This Row],[Unique]]+Table3[[#This Row],[Randomize]]+J138+K138&gt;=2), 1, 0)</f>
        <v>0</v>
      </c>
    </row>
    <row r="139" spans="2:12" x14ac:dyDescent="0.3">
      <c r="B139">
        <f>Table3[[#This Row],[Alphabets]]+Table3[[#This Row],[Numbers]]+Table3[[#This Row],[Special Character]]</f>
        <v>25</v>
      </c>
      <c r="C139">
        <f>Table3[[#This Row],[Lowercase]]+Table3[[#This Row],[Uppercase]]</f>
        <v>17</v>
      </c>
      <c r="D139">
        <v>2</v>
      </c>
      <c r="E139">
        <v>9</v>
      </c>
      <c r="F139">
        <v>8</v>
      </c>
      <c r="G139">
        <v>6</v>
      </c>
      <c r="H139">
        <v>0</v>
      </c>
      <c r="I139">
        <v>1</v>
      </c>
      <c r="J139">
        <v>0</v>
      </c>
      <c r="K139">
        <v>1</v>
      </c>
      <c r="L139">
        <f>IF(AND(Table3[[#This Row],[Length]]&gt;=15, Table3[[#This Row],[Unique]]+Table3[[#This Row],[Randomize]]+J139+K139&gt;=2), 1, 0)</f>
        <v>1</v>
      </c>
    </row>
    <row r="140" spans="2:12" x14ac:dyDescent="0.3">
      <c r="B140">
        <f>Table3[[#This Row],[Alphabets]]+Table3[[#This Row],[Numbers]]+Table3[[#This Row],[Special Character]]</f>
        <v>14</v>
      </c>
      <c r="C140">
        <f>Table3[[#This Row],[Lowercase]]+Table3[[#This Row],[Uppercase]]</f>
        <v>5</v>
      </c>
      <c r="D140">
        <v>3</v>
      </c>
      <c r="E140">
        <v>1</v>
      </c>
      <c r="F140">
        <v>4</v>
      </c>
      <c r="G140">
        <v>6</v>
      </c>
      <c r="H140">
        <v>0</v>
      </c>
      <c r="I140">
        <v>1</v>
      </c>
      <c r="J140">
        <v>0</v>
      </c>
      <c r="K140">
        <v>1</v>
      </c>
      <c r="L140">
        <f>IF(AND(Table3[[#This Row],[Length]]&gt;=15, Table3[[#This Row],[Unique]]+Table3[[#This Row],[Randomize]]+J140+K140&gt;=2), 1, 0)</f>
        <v>0</v>
      </c>
    </row>
    <row r="141" spans="2:12" x14ac:dyDescent="0.3">
      <c r="B141">
        <f>Table3[[#This Row],[Alphabets]]+Table3[[#This Row],[Numbers]]+Table3[[#This Row],[Special Character]]</f>
        <v>19</v>
      </c>
      <c r="C141">
        <f>Table3[[#This Row],[Lowercase]]+Table3[[#This Row],[Uppercase]]</f>
        <v>8</v>
      </c>
      <c r="D141">
        <v>8</v>
      </c>
      <c r="E141">
        <v>3</v>
      </c>
      <c r="F141">
        <v>5</v>
      </c>
      <c r="G141">
        <v>3</v>
      </c>
      <c r="H141">
        <v>0</v>
      </c>
      <c r="I141">
        <v>1</v>
      </c>
      <c r="J141">
        <v>0</v>
      </c>
      <c r="K141">
        <v>0</v>
      </c>
      <c r="L141">
        <f>IF(AND(Table3[[#This Row],[Length]]&gt;=15, Table3[[#This Row],[Unique]]+Table3[[#This Row],[Randomize]]+J141+K141&gt;=2), 1, 0)</f>
        <v>0</v>
      </c>
    </row>
    <row r="142" spans="2:12" x14ac:dyDescent="0.3">
      <c r="B142">
        <f>Table3[[#This Row],[Alphabets]]+Table3[[#This Row],[Numbers]]+Table3[[#This Row],[Special Character]]</f>
        <v>16</v>
      </c>
      <c r="C142">
        <f>Table3[[#This Row],[Lowercase]]+Table3[[#This Row],[Uppercase]]</f>
        <v>8</v>
      </c>
      <c r="D142">
        <v>5</v>
      </c>
      <c r="E142">
        <v>3</v>
      </c>
      <c r="F142">
        <v>5</v>
      </c>
      <c r="G142">
        <v>3</v>
      </c>
      <c r="H142">
        <v>1</v>
      </c>
      <c r="I142">
        <v>1</v>
      </c>
      <c r="J142">
        <v>0</v>
      </c>
      <c r="K142">
        <v>1</v>
      </c>
      <c r="L142">
        <f>IF(AND(Table3[[#This Row],[Length]]&gt;=15, Table3[[#This Row],[Unique]]+Table3[[#This Row],[Randomize]]+J142+K142&gt;=2), 1, 0)</f>
        <v>1</v>
      </c>
    </row>
    <row r="143" spans="2:12" x14ac:dyDescent="0.3">
      <c r="B143">
        <f>Table3[[#This Row],[Alphabets]]+Table3[[#This Row],[Numbers]]+Table3[[#This Row],[Special Character]]</f>
        <v>27</v>
      </c>
      <c r="C143">
        <f>Table3[[#This Row],[Lowercase]]+Table3[[#This Row],[Uppercase]]</f>
        <v>16</v>
      </c>
      <c r="D143">
        <v>5</v>
      </c>
      <c r="E143">
        <v>9</v>
      </c>
      <c r="F143">
        <v>7</v>
      </c>
      <c r="G143">
        <v>6</v>
      </c>
      <c r="H143">
        <v>1</v>
      </c>
      <c r="I143">
        <v>1</v>
      </c>
      <c r="J143">
        <v>1</v>
      </c>
      <c r="K143">
        <v>0</v>
      </c>
      <c r="L143">
        <f>IF(AND(Table3[[#This Row],[Length]]&gt;=15, Table3[[#This Row],[Unique]]+Table3[[#This Row],[Randomize]]+J143+K143&gt;=2), 1, 0)</f>
        <v>1</v>
      </c>
    </row>
    <row r="144" spans="2:12" x14ac:dyDescent="0.3">
      <c r="B144">
        <f>Table3[[#This Row],[Alphabets]]+Table3[[#This Row],[Numbers]]+Table3[[#This Row],[Special Character]]</f>
        <v>15</v>
      </c>
      <c r="C144">
        <f>Table3[[#This Row],[Lowercase]]+Table3[[#This Row],[Uppercase]]</f>
        <v>6</v>
      </c>
      <c r="D144">
        <v>9</v>
      </c>
      <c r="E144">
        <v>2</v>
      </c>
      <c r="F144">
        <v>4</v>
      </c>
      <c r="G144">
        <v>0</v>
      </c>
      <c r="H144">
        <v>1</v>
      </c>
      <c r="I144">
        <v>1</v>
      </c>
      <c r="J144">
        <v>1</v>
      </c>
      <c r="K144">
        <v>0</v>
      </c>
      <c r="L144">
        <f>IF(AND(Table3[[#This Row],[Length]]&gt;=15, Table3[[#This Row],[Unique]]+Table3[[#This Row],[Randomize]]+J144+K144&gt;=2), 1, 0)</f>
        <v>1</v>
      </c>
    </row>
    <row r="145" spans="2:12" x14ac:dyDescent="0.3">
      <c r="B145">
        <f>Table3[[#This Row],[Alphabets]]+Table3[[#This Row],[Numbers]]+Table3[[#This Row],[Special Character]]</f>
        <v>13</v>
      </c>
      <c r="C145">
        <f>Table3[[#This Row],[Lowercase]]+Table3[[#This Row],[Uppercase]]</f>
        <v>4</v>
      </c>
      <c r="D145">
        <v>5</v>
      </c>
      <c r="E145">
        <v>4</v>
      </c>
      <c r="F145">
        <v>0</v>
      </c>
      <c r="G145">
        <v>4</v>
      </c>
      <c r="H145">
        <v>0</v>
      </c>
      <c r="I145">
        <v>1</v>
      </c>
      <c r="J145">
        <v>1</v>
      </c>
      <c r="K145">
        <v>1</v>
      </c>
      <c r="L145">
        <f>IF(AND(Table3[[#This Row],[Length]]&gt;=15, Table3[[#This Row],[Unique]]+Table3[[#This Row],[Randomize]]+J145+K145&gt;=2), 1, 0)</f>
        <v>0</v>
      </c>
    </row>
    <row r="146" spans="2:12" x14ac:dyDescent="0.3">
      <c r="B146">
        <f>Table3[[#This Row],[Alphabets]]+Table3[[#This Row],[Numbers]]+Table3[[#This Row],[Special Character]]</f>
        <v>15</v>
      </c>
      <c r="C146">
        <f>Table3[[#This Row],[Lowercase]]+Table3[[#This Row],[Uppercase]]</f>
        <v>6</v>
      </c>
      <c r="D146">
        <v>6</v>
      </c>
      <c r="E146">
        <v>1</v>
      </c>
      <c r="F146">
        <v>5</v>
      </c>
      <c r="G146">
        <v>3</v>
      </c>
      <c r="H146">
        <v>0</v>
      </c>
      <c r="I146">
        <v>1</v>
      </c>
      <c r="J146">
        <v>1</v>
      </c>
      <c r="K146">
        <v>1</v>
      </c>
      <c r="L146">
        <f>IF(AND(Table3[[#This Row],[Length]]&gt;=15, Table3[[#This Row],[Unique]]+Table3[[#This Row],[Randomize]]+J146+K146&gt;=2), 1, 0)</f>
        <v>1</v>
      </c>
    </row>
    <row r="147" spans="2:12" x14ac:dyDescent="0.3">
      <c r="B147">
        <f>Table3[[#This Row],[Alphabets]]+Table3[[#This Row],[Numbers]]+Table3[[#This Row],[Special Character]]</f>
        <v>23</v>
      </c>
      <c r="C147">
        <f>Table3[[#This Row],[Lowercase]]+Table3[[#This Row],[Uppercase]]</f>
        <v>11</v>
      </c>
      <c r="D147">
        <v>8</v>
      </c>
      <c r="E147">
        <v>10</v>
      </c>
      <c r="F147">
        <v>1</v>
      </c>
      <c r="G147">
        <v>4</v>
      </c>
      <c r="H147">
        <v>1</v>
      </c>
      <c r="I147">
        <v>1</v>
      </c>
      <c r="J147">
        <v>1</v>
      </c>
      <c r="K147">
        <v>0</v>
      </c>
      <c r="L147">
        <f>IF(AND(Table3[[#This Row],[Length]]&gt;=15, Table3[[#This Row],[Unique]]+Table3[[#This Row],[Randomize]]+J147+K147&gt;=2), 1, 0)</f>
        <v>1</v>
      </c>
    </row>
    <row r="148" spans="2:12" x14ac:dyDescent="0.3">
      <c r="B148">
        <f>Table3[[#This Row],[Alphabets]]+Table3[[#This Row],[Numbers]]+Table3[[#This Row],[Special Character]]</f>
        <v>22</v>
      </c>
      <c r="C148">
        <f>Table3[[#This Row],[Lowercase]]+Table3[[#This Row],[Uppercase]]</f>
        <v>19</v>
      </c>
      <c r="D148">
        <v>1</v>
      </c>
      <c r="E148">
        <v>9</v>
      </c>
      <c r="F148">
        <v>10</v>
      </c>
      <c r="G148">
        <v>2</v>
      </c>
      <c r="H148">
        <v>1</v>
      </c>
      <c r="I148">
        <v>1</v>
      </c>
      <c r="J148">
        <v>0</v>
      </c>
      <c r="K148">
        <v>1</v>
      </c>
      <c r="L148">
        <f>IF(AND(Table3[[#This Row],[Length]]&gt;=15, Table3[[#This Row],[Unique]]+Table3[[#This Row],[Randomize]]+J148+K148&gt;=2), 1, 0)</f>
        <v>1</v>
      </c>
    </row>
    <row r="149" spans="2:12" x14ac:dyDescent="0.3">
      <c r="B149">
        <f>Table3[[#This Row],[Alphabets]]+Table3[[#This Row],[Numbers]]+Table3[[#This Row],[Special Character]]</f>
        <v>9</v>
      </c>
      <c r="C149">
        <f>Table3[[#This Row],[Lowercase]]+Table3[[#This Row],[Uppercase]]</f>
        <v>6</v>
      </c>
      <c r="D149">
        <v>0</v>
      </c>
      <c r="E149">
        <v>5</v>
      </c>
      <c r="F149">
        <v>1</v>
      </c>
      <c r="G149">
        <v>3</v>
      </c>
      <c r="H149">
        <v>1</v>
      </c>
      <c r="I149">
        <v>1</v>
      </c>
      <c r="J149">
        <v>1</v>
      </c>
      <c r="K149">
        <v>1</v>
      </c>
      <c r="L149">
        <f>IF(AND(Table3[[#This Row],[Length]]&gt;=15, Table3[[#This Row],[Unique]]+Table3[[#This Row],[Randomize]]+J149+K149&gt;=2), 1, 0)</f>
        <v>0</v>
      </c>
    </row>
    <row r="150" spans="2:12" x14ac:dyDescent="0.3">
      <c r="B150">
        <f>Table3[[#This Row],[Alphabets]]+Table3[[#This Row],[Numbers]]+Table3[[#This Row],[Special Character]]</f>
        <v>14</v>
      </c>
      <c r="C150">
        <f>Table3[[#This Row],[Lowercase]]+Table3[[#This Row],[Uppercase]]</f>
        <v>8</v>
      </c>
      <c r="D150">
        <v>3</v>
      </c>
      <c r="E150">
        <v>6</v>
      </c>
      <c r="F150">
        <v>2</v>
      </c>
      <c r="G150">
        <v>3</v>
      </c>
      <c r="H150">
        <v>1</v>
      </c>
      <c r="I150">
        <v>1</v>
      </c>
      <c r="J150">
        <v>1</v>
      </c>
      <c r="K150">
        <v>1</v>
      </c>
      <c r="L150">
        <f>IF(AND(Table3[[#This Row],[Length]]&gt;=15, Table3[[#This Row],[Unique]]+Table3[[#This Row],[Randomize]]+J150+K150&gt;=2), 1, 0)</f>
        <v>0</v>
      </c>
    </row>
    <row r="151" spans="2:12" x14ac:dyDescent="0.3">
      <c r="B151">
        <f>Table3[[#This Row],[Alphabets]]+Table3[[#This Row],[Numbers]]+Table3[[#This Row],[Special Character]]</f>
        <v>15</v>
      </c>
      <c r="C151">
        <f>Table3[[#This Row],[Lowercase]]+Table3[[#This Row],[Uppercase]]</f>
        <v>10</v>
      </c>
      <c r="D151">
        <v>1</v>
      </c>
      <c r="E151">
        <v>2</v>
      </c>
      <c r="F151">
        <v>8</v>
      </c>
      <c r="G151">
        <v>4</v>
      </c>
      <c r="H151">
        <v>1</v>
      </c>
      <c r="I151">
        <v>1</v>
      </c>
      <c r="J151">
        <v>1</v>
      </c>
      <c r="K151">
        <v>1</v>
      </c>
      <c r="L151">
        <f>IF(AND(Table3[[#This Row],[Length]]&gt;=15, Table3[[#This Row],[Unique]]+Table3[[#This Row],[Randomize]]+J151+K151&gt;=2), 1, 0)</f>
        <v>1</v>
      </c>
    </row>
    <row r="152" spans="2:12" x14ac:dyDescent="0.3">
      <c r="B152">
        <f>Table3[[#This Row],[Alphabets]]+Table3[[#This Row],[Numbers]]+Table3[[#This Row],[Special Character]]</f>
        <v>23</v>
      </c>
      <c r="C152">
        <f>Table3[[#This Row],[Lowercase]]+Table3[[#This Row],[Uppercase]]</f>
        <v>11</v>
      </c>
      <c r="D152">
        <v>6</v>
      </c>
      <c r="E152">
        <v>4</v>
      </c>
      <c r="F152">
        <v>7</v>
      </c>
      <c r="G152">
        <v>6</v>
      </c>
      <c r="H152">
        <v>1</v>
      </c>
      <c r="I152">
        <v>1</v>
      </c>
      <c r="J152">
        <v>0</v>
      </c>
      <c r="K152">
        <v>1</v>
      </c>
      <c r="L152">
        <f>IF(AND(Table3[[#This Row],[Length]]&gt;=15, Table3[[#This Row],[Unique]]+Table3[[#This Row],[Randomize]]+J152+K152&gt;=2), 1, 0)</f>
        <v>1</v>
      </c>
    </row>
    <row r="153" spans="2:12" x14ac:dyDescent="0.3">
      <c r="B153">
        <f>Table3[[#This Row],[Alphabets]]+Table3[[#This Row],[Numbers]]+Table3[[#This Row],[Special Character]]</f>
        <v>21</v>
      </c>
      <c r="C153">
        <f>Table3[[#This Row],[Lowercase]]+Table3[[#This Row],[Uppercase]]</f>
        <v>15</v>
      </c>
      <c r="D153">
        <v>2</v>
      </c>
      <c r="E153">
        <v>9</v>
      </c>
      <c r="F153">
        <v>6</v>
      </c>
      <c r="G153">
        <v>4</v>
      </c>
      <c r="H153">
        <v>1</v>
      </c>
      <c r="I153">
        <v>1</v>
      </c>
      <c r="J153">
        <v>0</v>
      </c>
      <c r="K153">
        <v>1</v>
      </c>
      <c r="L153">
        <f>IF(AND(Table3[[#This Row],[Length]]&gt;=15, Table3[[#This Row],[Unique]]+Table3[[#This Row],[Randomize]]+J153+K153&gt;=2), 1, 0)</f>
        <v>1</v>
      </c>
    </row>
    <row r="154" spans="2:12" x14ac:dyDescent="0.3">
      <c r="B154">
        <f>Table3[[#This Row],[Alphabets]]+Table3[[#This Row],[Numbers]]+Table3[[#This Row],[Special Character]]</f>
        <v>19</v>
      </c>
      <c r="C154">
        <f>Table3[[#This Row],[Lowercase]]+Table3[[#This Row],[Uppercase]]</f>
        <v>9</v>
      </c>
      <c r="D154">
        <v>9</v>
      </c>
      <c r="E154">
        <v>4</v>
      </c>
      <c r="F154">
        <v>5</v>
      </c>
      <c r="G154">
        <v>1</v>
      </c>
      <c r="H154">
        <v>1</v>
      </c>
      <c r="I154">
        <v>1</v>
      </c>
      <c r="J154">
        <v>0</v>
      </c>
      <c r="K154">
        <v>1</v>
      </c>
      <c r="L154">
        <f>IF(AND(Table3[[#This Row],[Length]]&gt;=15, Table3[[#This Row],[Unique]]+Table3[[#This Row],[Randomize]]+J154+K154&gt;=2), 1, 0)</f>
        <v>1</v>
      </c>
    </row>
    <row r="155" spans="2:12" x14ac:dyDescent="0.3">
      <c r="B155">
        <f>Table3[[#This Row],[Alphabets]]+Table3[[#This Row],[Numbers]]+Table3[[#This Row],[Special Character]]</f>
        <v>14</v>
      </c>
      <c r="C155">
        <f>Table3[[#This Row],[Lowercase]]+Table3[[#This Row],[Uppercase]]</f>
        <v>3</v>
      </c>
      <c r="D155">
        <v>9</v>
      </c>
      <c r="E155">
        <v>3</v>
      </c>
      <c r="F155">
        <v>0</v>
      </c>
      <c r="G155">
        <v>2</v>
      </c>
      <c r="H155">
        <v>1</v>
      </c>
      <c r="I155">
        <v>1</v>
      </c>
      <c r="J155">
        <v>0</v>
      </c>
      <c r="K155">
        <v>0</v>
      </c>
      <c r="L155">
        <f>IF(AND(Table3[[#This Row],[Length]]&gt;=15, Table3[[#This Row],[Unique]]+Table3[[#This Row],[Randomize]]+J155+K155&gt;=2), 1, 0)</f>
        <v>0</v>
      </c>
    </row>
    <row r="156" spans="2:12" x14ac:dyDescent="0.3">
      <c r="B156">
        <f>Table3[[#This Row],[Alphabets]]+Table3[[#This Row],[Numbers]]+Table3[[#This Row],[Special Character]]</f>
        <v>20</v>
      </c>
      <c r="C156">
        <f>Table3[[#This Row],[Lowercase]]+Table3[[#This Row],[Uppercase]]</f>
        <v>19</v>
      </c>
      <c r="D156">
        <v>1</v>
      </c>
      <c r="E156">
        <v>10</v>
      </c>
      <c r="F156">
        <v>9</v>
      </c>
      <c r="G156">
        <v>0</v>
      </c>
      <c r="H156">
        <v>0</v>
      </c>
      <c r="I156">
        <v>1</v>
      </c>
      <c r="J156">
        <v>1</v>
      </c>
      <c r="K156">
        <v>1</v>
      </c>
      <c r="L156">
        <f>IF(AND(Table3[[#This Row],[Length]]&gt;=15, Table3[[#This Row],[Unique]]+Table3[[#This Row],[Randomize]]+J156+K156&gt;=2), 1, 0)</f>
        <v>1</v>
      </c>
    </row>
    <row r="157" spans="2:12" x14ac:dyDescent="0.3">
      <c r="B157">
        <f>Table3[[#This Row],[Alphabets]]+Table3[[#This Row],[Numbers]]+Table3[[#This Row],[Special Character]]</f>
        <v>17</v>
      </c>
      <c r="C157">
        <f>Table3[[#This Row],[Lowercase]]+Table3[[#This Row],[Uppercase]]</f>
        <v>6</v>
      </c>
      <c r="D157">
        <v>5</v>
      </c>
      <c r="E157">
        <v>2</v>
      </c>
      <c r="F157">
        <v>4</v>
      </c>
      <c r="G157">
        <v>6</v>
      </c>
      <c r="H157">
        <v>1</v>
      </c>
      <c r="I157">
        <v>1</v>
      </c>
      <c r="J157">
        <v>0</v>
      </c>
      <c r="K157">
        <v>0</v>
      </c>
      <c r="L157">
        <f>IF(AND(Table3[[#This Row],[Length]]&gt;=15, Table3[[#This Row],[Unique]]+Table3[[#This Row],[Randomize]]+J157+K157&gt;=2), 1, 0)</f>
        <v>1</v>
      </c>
    </row>
    <row r="158" spans="2:12" x14ac:dyDescent="0.3">
      <c r="B158">
        <f>Table3[[#This Row],[Alphabets]]+Table3[[#This Row],[Numbers]]+Table3[[#This Row],[Special Character]]</f>
        <v>11</v>
      </c>
      <c r="C158">
        <f>Table3[[#This Row],[Lowercase]]+Table3[[#This Row],[Uppercase]]</f>
        <v>4</v>
      </c>
      <c r="D158">
        <v>5</v>
      </c>
      <c r="E158">
        <v>0</v>
      </c>
      <c r="F158">
        <v>4</v>
      </c>
      <c r="G158">
        <v>2</v>
      </c>
      <c r="H158">
        <v>0</v>
      </c>
      <c r="I158">
        <v>1</v>
      </c>
      <c r="J158">
        <v>0</v>
      </c>
      <c r="K158">
        <v>1</v>
      </c>
      <c r="L158">
        <f>IF(AND(Table3[[#This Row],[Length]]&gt;=15, Table3[[#This Row],[Unique]]+Table3[[#This Row],[Randomize]]+J158+K158&gt;=2), 1, 0)</f>
        <v>0</v>
      </c>
    </row>
    <row r="159" spans="2:12" x14ac:dyDescent="0.3">
      <c r="B159">
        <f>Table3[[#This Row],[Alphabets]]+Table3[[#This Row],[Numbers]]+Table3[[#This Row],[Special Character]]</f>
        <v>7</v>
      </c>
      <c r="C159">
        <f>Table3[[#This Row],[Lowercase]]+Table3[[#This Row],[Uppercase]]</f>
        <v>5</v>
      </c>
      <c r="D159">
        <v>2</v>
      </c>
      <c r="E159">
        <v>1</v>
      </c>
      <c r="F159">
        <v>4</v>
      </c>
      <c r="G159">
        <v>0</v>
      </c>
      <c r="H159">
        <v>1</v>
      </c>
      <c r="I159">
        <v>1</v>
      </c>
      <c r="J159">
        <v>1</v>
      </c>
      <c r="K159">
        <v>0</v>
      </c>
      <c r="L159">
        <f>IF(AND(Table3[[#This Row],[Length]]&gt;=15, Table3[[#This Row],[Unique]]+Table3[[#This Row],[Randomize]]+J159+K159&gt;=2), 1, 0)</f>
        <v>0</v>
      </c>
    </row>
    <row r="160" spans="2:12" x14ac:dyDescent="0.3">
      <c r="B160">
        <f>Table3[[#This Row],[Alphabets]]+Table3[[#This Row],[Numbers]]+Table3[[#This Row],[Special Character]]</f>
        <v>16</v>
      </c>
      <c r="C160">
        <f>Table3[[#This Row],[Lowercase]]+Table3[[#This Row],[Uppercase]]</f>
        <v>9</v>
      </c>
      <c r="D160">
        <v>1</v>
      </c>
      <c r="E160">
        <v>4</v>
      </c>
      <c r="F160">
        <v>5</v>
      </c>
      <c r="G160">
        <v>6</v>
      </c>
      <c r="H160">
        <v>1</v>
      </c>
      <c r="I160">
        <v>1</v>
      </c>
      <c r="J160">
        <v>1</v>
      </c>
      <c r="K160">
        <v>1</v>
      </c>
      <c r="L160">
        <f>IF(AND(Table3[[#This Row],[Length]]&gt;=15, Table3[[#This Row],[Unique]]+Table3[[#This Row],[Randomize]]+J160+K160&gt;=2), 1, 0)</f>
        <v>1</v>
      </c>
    </row>
    <row r="161" spans="2:12" x14ac:dyDescent="0.3">
      <c r="B161">
        <f>Table3[[#This Row],[Alphabets]]+Table3[[#This Row],[Numbers]]+Table3[[#This Row],[Special Character]]</f>
        <v>21</v>
      </c>
      <c r="C161">
        <f>Table3[[#This Row],[Lowercase]]+Table3[[#This Row],[Uppercase]]</f>
        <v>9</v>
      </c>
      <c r="D161">
        <v>7</v>
      </c>
      <c r="E161">
        <v>1</v>
      </c>
      <c r="F161">
        <v>8</v>
      </c>
      <c r="G161">
        <v>5</v>
      </c>
      <c r="H161">
        <v>1</v>
      </c>
      <c r="I161">
        <v>1</v>
      </c>
      <c r="J161">
        <v>1</v>
      </c>
      <c r="K161">
        <v>1</v>
      </c>
      <c r="L161">
        <f>IF(AND(Table3[[#This Row],[Length]]&gt;=15, Table3[[#This Row],[Unique]]+Table3[[#This Row],[Randomize]]+J161+K161&gt;=2), 1, 0)</f>
        <v>1</v>
      </c>
    </row>
    <row r="162" spans="2:12" x14ac:dyDescent="0.3">
      <c r="B162">
        <f>Table3[[#This Row],[Alphabets]]+Table3[[#This Row],[Numbers]]+Table3[[#This Row],[Special Character]]</f>
        <v>14</v>
      </c>
      <c r="C162">
        <f>Table3[[#This Row],[Lowercase]]+Table3[[#This Row],[Uppercase]]</f>
        <v>6</v>
      </c>
      <c r="D162">
        <v>7</v>
      </c>
      <c r="E162">
        <v>6</v>
      </c>
      <c r="F162">
        <v>0</v>
      </c>
      <c r="G162">
        <v>1</v>
      </c>
      <c r="H162">
        <v>0</v>
      </c>
      <c r="I162">
        <v>1</v>
      </c>
      <c r="J162">
        <v>1</v>
      </c>
      <c r="K162">
        <v>1</v>
      </c>
      <c r="L162">
        <f>IF(AND(Table3[[#This Row],[Length]]&gt;=15, Table3[[#This Row],[Unique]]+Table3[[#This Row],[Randomize]]+J162+K162&gt;=2), 1, 0)</f>
        <v>0</v>
      </c>
    </row>
    <row r="163" spans="2:12" x14ac:dyDescent="0.3">
      <c r="B163">
        <f>Table3[[#This Row],[Alphabets]]+Table3[[#This Row],[Numbers]]+Table3[[#This Row],[Special Character]]</f>
        <v>18</v>
      </c>
      <c r="C163">
        <f>Table3[[#This Row],[Lowercase]]+Table3[[#This Row],[Uppercase]]</f>
        <v>16</v>
      </c>
      <c r="D163">
        <v>0</v>
      </c>
      <c r="E163">
        <v>9</v>
      </c>
      <c r="F163">
        <v>7</v>
      </c>
      <c r="G163">
        <v>2</v>
      </c>
      <c r="H163">
        <v>1</v>
      </c>
      <c r="I163">
        <v>1</v>
      </c>
      <c r="J163">
        <v>0</v>
      </c>
      <c r="K163">
        <v>0</v>
      </c>
      <c r="L163">
        <f>IF(AND(Table3[[#This Row],[Length]]&gt;=15, Table3[[#This Row],[Unique]]+Table3[[#This Row],[Randomize]]+J163+K163&gt;=2), 1, 0)</f>
        <v>1</v>
      </c>
    </row>
    <row r="164" spans="2:12" x14ac:dyDescent="0.3">
      <c r="B164">
        <f>Table3[[#This Row],[Alphabets]]+Table3[[#This Row],[Numbers]]+Table3[[#This Row],[Special Character]]</f>
        <v>11</v>
      </c>
      <c r="C164">
        <f>Table3[[#This Row],[Lowercase]]+Table3[[#This Row],[Uppercase]]</f>
        <v>5</v>
      </c>
      <c r="D164">
        <v>2</v>
      </c>
      <c r="E164">
        <v>2</v>
      </c>
      <c r="F164">
        <v>3</v>
      </c>
      <c r="G164">
        <v>4</v>
      </c>
      <c r="H164">
        <v>0</v>
      </c>
      <c r="I164">
        <v>1</v>
      </c>
      <c r="J164">
        <v>1</v>
      </c>
      <c r="K164">
        <v>0</v>
      </c>
      <c r="L164">
        <f>IF(AND(Table3[[#This Row],[Length]]&gt;=15, Table3[[#This Row],[Unique]]+Table3[[#This Row],[Randomize]]+J164+K164&gt;=2), 1, 0)</f>
        <v>0</v>
      </c>
    </row>
    <row r="165" spans="2:12" x14ac:dyDescent="0.3">
      <c r="B165">
        <f>Table3[[#This Row],[Alphabets]]+Table3[[#This Row],[Numbers]]+Table3[[#This Row],[Special Character]]</f>
        <v>24</v>
      </c>
      <c r="C165">
        <f>Table3[[#This Row],[Lowercase]]+Table3[[#This Row],[Uppercase]]</f>
        <v>16</v>
      </c>
      <c r="D165">
        <v>3</v>
      </c>
      <c r="E165">
        <v>9</v>
      </c>
      <c r="F165">
        <v>7</v>
      </c>
      <c r="G165">
        <v>5</v>
      </c>
      <c r="H165">
        <v>0</v>
      </c>
      <c r="I165">
        <v>1</v>
      </c>
      <c r="J165">
        <v>1</v>
      </c>
      <c r="K165">
        <v>0</v>
      </c>
      <c r="L165">
        <f>IF(AND(Table3[[#This Row],[Length]]&gt;=15, Table3[[#This Row],[Unique]]+Table3[[#This Row],[Randomize]]+J165+K165&gt;=2), 1, 0)</f>
        <v>1</v>
      </c>
    </row>
    <row r="166" spans="2:12" x14ac:dyDescent="0.3">
      <c r="B166">
        <f>Table3[[#This Row],[Alphabets]]+Table3[[#This Row],[Numbers]]+Table3[[#This Row],[Special Character]]</f>
        <v>15</v>
      </c>
      <c r="C166">
        <f>Table3[[#This Row],[Lowercase]]+Table3[[#This Row],[Uppercase]]</f>
        <v>12</v>
      </c>
      <c r="D166">
        <v>0</v>
      </c>
      <c r="E166">
        <v>6</v>
      </c>
      <c r="F166">
        <v>6</v>
      </c>
      <c r="G166">
        <v>3</v>
      </c>
      <c r="H166">
        <v>0</v>
      </c>
      <c r="I166">
        <v>1</v>
      </c>
      <c r="J166">
        <v>1</v>
      </c>
      <c r="K166">
        <v>0</v>
      </c>
      <c r="L166">
        <f>IF(AND(Table3[[#This Row],[Length]]&gt;=15, Table3[[#This Row],[Unique]]+Table3[[#This Row],[Randomize]]+J166+K166&gt;=2), 1, 0)</f>
        <v>1</v>
      </c>
    </row>
    <row r="167" spans="2:12" x14ac:dyDescent="0.3">
      <c r="B167">
        <f>Table3[[#This Row],[Alphabets]]+Table3[[#This Row],[Numbers]]+Table3[[#This Row],[Special Character]]</f>
        <v>18</v>
      </c>
      <c r="C167">
        <f>Table3[[#This Row],[Lowercase]]+Table3[[#This Row],[Uppercase]]</f>
        <v>9</v>
      </c>
      <c r="D167">
        <v>4</v>
      </c>
      <c r="E167">
        <v>8</v>
      </c>
      <c r="F167">
        <v>1</v>
      </c>
      <c r="G167">
        <v>5</v>
      </c>
      <c r="H167">
        <v>0</v>
      </c>
      <c r="I167">
        <v>1</v>
      </c>
      <c r="J167">
        <v>1</v>
      </c>
      <c r="K167">
        <v>0</v>
      </c>
      <c r="L167">
        <f>IF(AND(Table3[[#This Row],[Length]]&gt;=15, Table3[[#This Row],[Unique]]+Table3[[#This Row],[Randomize]]+J167+K167&gt;=2), 1, 0)</f>
        <v>1</v>
      </c>
    </row>
    <row r="168" spans="2:12" x14ac:dyDescent="0.3">
      <c r="B168">
        <f>Table3[[#This Row],[Alphabets]]+Table3[[#This Row],[Numbers]]+Table3[[#This Row],[Special Character]]</f>
        <v>27</v>
      </c>
      <c r="C168">
        <f>Table3[[#This Row],[Lowercase]]+Table3[[#This Row],[Uppercase]]</f>
        <v>19</v>
      </c>
      <c r="D168">
        <v>4</v>
      </c>
      <c r="E168">
        <v>9</v>
      </c>
      <c r="F168">
        <v>10</v>
      </c>
      <c r="G168">
        <v>4</v>
      </c>
      <c r="H168">
        <v>1</v>
      </c>
      <c r="I168">
        <v>1</v>
      </c>
      <c r="J168">
        <v>0</v>
      </c>
      <c r="K168">
        <v>1</v>
      </c>
      <c r="L168">
        <f>IF(AND(Table3[[#This Row],[Length]]&gt;=15, Table3[[#This Row],[Unique]]+Table3[[#This Row],[Randomize]]+J168+K168&gt;=2), 1, 0)</f>
        <v>1</v>
      </c>
    </row>
    <row r="169" spans="2:12" x14ac:dyDescent="0.3">
      <c r="B169">
        <f>Table3[[#This Row],[Alphabets]]+Table3[[#This Row],[Numbers]]+Table3[[#This Row],[Special Character]]</f>
        <v>20</v>
      </c>
      <c r="C169">
        <f>Table3[[#This Row],[Lowercase]]+Table3[[#This Row],[Uppercase]]</f>
        <v>10</v>
      </c>
      <c r="D169">
        <v>7</v>
      </c>
      <c r="E169">
        <v>2</v>
      </c>
      <c r="F169">
        <v>8</v>
      </c>
      <c r="G169">
        <v>3</v>
      </c>
      <c r="H169">
        <v>0</v>
      </c>
      <c r="I169">
        <v>1</v>
      </c>
      <c r="J169">
        <v>1</v>
      </c>
      <c r="K169">
        <v>1</v>
      </c>
      <c r="L169">
        <f>IF(AND(Table3[[#This Row],[Length]]&gt;=15, Table3[[#This Row],[Unique]]+Table3[[#This Row],[Randomize]]+J169+K169&gt;=2), 1, 0)</f>
        <v>1</v>
      </c>
    </row>
    <row r="170" spans="2:12" x14ac:dyDescent="0.3">
      <c r="B170">
        <f>Table3[[#This Row],[Alphabets]]+Table3[[#This Row],[Numbers]]+Table3[[#This Row],[Special Character]]</f>
        <v>21</v>
      </c>
      <c r="C170">
        <f>Table3[[#This Row],[Lowercase]]+Table3[[#This Row],[Uppercase]]</f>
        <v>8</v>
      </c>
      <c r="D170">
        <v>9</v>
      </c>
      <c r="E170">
        <v>0</v>
      </c>
      <c r="F170">
        <v>8</v>
      </c>
      <c r="G170">
        <v>4</v>
      </c>
      <c r="H170">
        <v>1</v>
      </c>
      <c r="I170">
        <v>1</v>
      </c>
      <c r="J170">
        <v>0</v>
      </c>
      <c r="K170">
        <v>1</v>
      </c>
      <c r="L170">
        <f>IF(AND(Table3[[#This Row],[Length]]&gt;=15, Table3[[#This Row],[Unique]]+Table3[[#This Row],[Randomize]]+J170+K170&gt;=2), 1, 0)</f>
        <v>1</v>
      </c>
    </row>
    <row r="171" spans="2:12" x14ac:dyDescent="0.3">
      <c r="B171">
        <f>Table3[[#This Row],[Alphabets]]+Table3[[#This Row],[Numbers]]+Table3[[#This Row],[Special Character]]</f>
        <v>22</v>
      </c>
      <c r="C171">
        <f>Table3[[#This Row],[Lowercase]]+Table3[[#This Row],[Uppercase]]</f>
        <v>12</v>
      </c>
      <c r="D171">
        <v>6</v>
      </c>
      <c r="E171">
        <v>7</v>
      </c>
      <c r="F171">
        <v>5</v>
      </c>
      <c r="G171">
        <v>4</v>
      </c>
      <c r="H171">
        <v>1</v>
      </c>
      <c r="I171">
        <v>1</v>
      </c>
      <c r="J171">
        <v>0</v>
      </c>
      <c r="K171">
        <v>1</v>
      </c>
      <c r="L171">
        <f>IF(AND(Table3[[#This Row],[Length]]&gt;=15, Table3[[#This Row],[Unique]]+Table3[[#This Row],[Randomize]]+J171+K171&gt;=2), 1, 0)</f>
        <v>1</v>
      </c>
    </row>
    <row r="172" spans="2:12" x14ac:dyDescent="0.3">
      <c r="B172">
        <f>Table3[[#This Row],[Alphabets]]+Table3[[#This Row],[Numbers]]+Table3[[#This Row],[Special Character]]</f>
        <v>13</v>
      </c>
      <c r="C172">
        <f>Table3[[#This Row],[Lowercase]]+Table3[[#This Row],[Uppercase]]</f>
        <v>2</v>
      </c>
      <c r="D172">
        <v>7</v>
      </c>
      <c r="E172">
        <v>2</v>
      </c>
      <c r="F172">
        <v>0</v>
      </c>
      <c r="G172">
        <v>4</v>
      </c>
      <c r="H172">
        <v>1</v>
      </c>
      <c r="I172">
        <v>1</v>
      </c>
      <c r="J172">
        <v>0</v>
      </c>
      <c r="K172">
        <v>0</v>
      </c>
      <c r="L172">
        <f>IF(AND(Table3[[#This Row],[Length]]&gt;=15, Table3[[#This Row],[Unique]]+Table3[[#This Row],[Randomize]]+J172+K172&gt;=2), 1, 0)</f>
        <v>0</v>
      </c>
    </row>
    <row r="173" spans="2:12" x14ac:dyDescent="0.3">
      <c r="B173">
        <f>Table3[[#This Row],[Alphabets]]+Table3[[#This Row],[Numbers]]+Table3[[#This Row],[Special Character]]</f>
        <v>20</v>
      </c>
      <c r="C173">
        <f>Table3[[#This Row],[Lowercase]]+Table3[[#This Row],[Uppercase]]</f>
        <v>12</v>
      </c>
      <c r="D173">
        <v>8</v>
      </c>
      <c r="E173">
        <v>10</v>
      </c>
      <c r="F173">
        <v>2</v>
      </c>
      <c r="G173">
        <v>0</v>
      </c>
      <c r="H173">
        <v>0</v>
      </c>
      <c r="I173">
        <v>1</v>
      </c>
      <c r="J173">
        <v>1</v>
      </c>
      <c r="K173">
        <v>0</v>
      </c>
      <c r="L173">
        <f>IF(AND(Table3[[#This Row],[Length]]&gt;=15, Table3[[#This Row],[Unique]]+Table3[[#This Row],[Randomize]]+J173+K173&gt;=2), 1, 0)</f>
        <v>1</v>
      </c>
    </row>
    <row r="174" spans="2:12" x14ac:dyDescent="0.3">
      <c r="B174">
        <f>Table3[[#This Row],[Alphabets]]+Table3[[#This Row],[Numbers]]+Table3[[#This Row],[Special Character]]</f>
        <v>21</v>
      </c>
      <c r="C174">
        <f>Table3[[#This Row],[Lowercase]]+Table3[[#This Row],[Uppercase]]</f>
        <v>9</v>
      </c>
      <c r="D174">
        <v>9</v>
      </c>
      <c r="E174">
        <v>1</v>
      </c>
      <c r="F174">
        <v>8</v>
      </c>
      <c r="G174">
        <v>3</v>
      </c>
      <c r="H174">
        <v>0</v>
      </c>
      <c r="I174">
        <v>1</v>
      </c>
      <c r="J174">
        <v>1</v>
      </c>
      <c r="K174">
        <v>0</v>
      </c>
      <c r="L174">
        <f>IF(AND(Table3[[#This Row],[Length]]&gt;=15, Table3[[#This Row],[Unique]]+Table3[[#This Row],[Randomize]]+J174+K174&gt;=2), 1, 0)</f>
        <v>1</v>
      </c>
    </row>
    <row r="175" spans="2:12" x14ac:dyDescent="0.3">
      <c r="B175">
        <f>Table3[[#This Row],[Alphabets]]+Table3[[#This Row],[Numbers]]+Table3[[#This Row],[Special Character]]</f>
        <v>14</v>
      </c>
      <c r="C175">
        <f>Table3[[#This Row],[Lowercase]]+Table3[[#This Row],[Uppercase]]</f>
        <v>11</v>
      </c>
      <c r="D175">
        <v>1</v>
      </c>
      <c r="E175">
        <v>3</v>
      </c>
      <c r="F175">
        <v>8</v>
      </c>
      <c r="G175">
        <v>2</v>
      </c>
      <c r="H175">
        <v>0</v>
      </c>
      <c r="I175">
        <v>1</v>
      </c>
      <c r="J175">
        <v>1</v>
      </c>
      <c r="K175">
        <v>0</v>
      </c>
      <c r="L175">
        <f>IF(AND(Table3[[#This Row],[Length]]&gt;=15, Table3[[#This Row],[Unique]]+Table3[[#This Row],[Randomize]]+J175+K175&gt;=2), 1, 0)</f>
        <v>0</v>
      </c>
    </row>
    <row r="176" spans="2:12" x14ac:dyDescent="0.3">
      <c r="B176">
        <f>Table3[[#This Row],[Alphabets]]+Table3[[#This Row],[Numbers]]+Table3[[#This Row],[Special Character]]</f>
        <v>21</v>
      </c>
      <c r="C176">
        <f>Table3[[#This Row],[Lowercase]]+Table3[[#This Row],[Uppercase]]</f>
        <v>7</v>
      </c>
      <c r="D176">
        <v>8</v>
      </c>
      <c r="E176">
        <v>1</v>
      </c>
      <c r="F176">
        <v>6</v>
      </c>
      <c r="G176">
        <v>6</v>
      </c>
      <c r="H176">
        <v>1</v>
      </c>
      <c r="I176">
        <v>1</v>
      </c>
      <c r="J176">
        <v>1</v>
      </c>
      <c r="K176">
        <v>0</v>
      </c>
      <c r="L176">
        <f>IF(AND(Table3[[#This Row],[Length]]&gt;=15, Table3[[#This Row],[Unique]]+Table3[[#This Row],[Randomize]]+J176+K176&gt;=2), 1, 0)</f>
        <v>1</v>
      </c>
    </row>
    <row r="177" spans="2:12" x14ac:dyDescent="0.3">
      <c r="B177">
        <f>Table3[[#This Row],[Alphabets]]+Table3[[#This Row],[Numbers]]+Table3[[#This Row],[Special Character]]</f>
        <v>10</v>
      </c>
      <c r="C177">
        <f>Table3[[#This Row],[Lowercase]]+Table3[[#This Row],[Uppercase]]</f>
        <v>1</v>
      </c>
      <c r="D177">
        <v>6</v>
      </c>
      <c r="E177">
        <v>0</v>
      </c>
      <c r="F177">
        <v>1</v>
      </c>
      <c r="G177">
        <v>3</v>
      </c>
      <c r="H177">
        <v>1</v>
      </c>
      <c r="I177">
        <v>1</v>
      </c>
      <c r="J177">
        <v>0</v>
      </c>
      <c r="K177">
        <v>0</v>
      </c>
      <c r="L177">
        <f>IF(AND(Table3[[#This Row],[Length]]&gt;=15, Table3[[#This Row],[Unique]]+Table3[[#This Row],[Randomize]]+J177+K177&gt;=2), 1, 0)</f>
        <v>0</v>
      </c>
    </row>
    <row r="178" spans="2:12" x14ac:dyDescent="0.3">
      <c r="B178">
        <f>Table3[[#This Row],[Alphabets]]+Table3[[#This Row],[Numbers]]+Table3[[#This Row],[Special Character]]</f>
        <v>16</v>
      </c>
      <c r="C178">
        <f>Table3[[#This Row],[Lowercase]]+Table3[[#This Row],[Uppercase]]</f>
        <v>7</v>
      </c>
      <c r="D178">
        <v>7</v>
      </c>
      <c r="E178">
        <v>1</v>
      </c>
      <c r="F178">
        <v>6</v>
      </c>
      <c r="G178">
        <v>2</v>
      </c>
      <c r="H178">
        <v>0</v>
      </c>
      <c r="I178">
        <v>1</v>
      </c>
      <c r="J178">
        <v>0</v>
      </c>
      <c r="K178">
        <v>0</v>
      </c>
      <c r="L178">
        <f>IF(AND(Table3[[#This Row],[Length]]&gt;=15, Table3[[#This Row],[Unique]]+Table3[[#This Row],[Randomize]]+J178+K178&gt;=2), 1, 0)</f>
        <v>0</v>
      </c>
    </row>
    <row r="179" spans="2:12" x14ac:dyDescent="0.3">
      <c r="B179">
        <f>Table3[[#This Row],[Alphabets]]+Table3[[#This Row],[Numbers]]+Table3[[#This Row],[Special Character]]</f>
        <v>6</v>
      </c>
      <c r="C179">
        <f>Table3[[#This Row],[Lowercase]]+Table3[[#This Row],[Uppercase]]</f>
        <v>0</v>
      </c>
      <c r="D179">
        <v>6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f>IF(AND(Table3[[#This Row],[Length]]&gt;=15, Table3[[#This Row],[Unique]]+Table3[[#This Row],[Randomize]]+J179+K179&gt;=2), 1, 0)</f>
        <v>0</v>
      </c>
    </row>
    <row r="180" spans="2:12" x14ac:dyDescent="0.3">
      <c r="B180">
        <f>Table3[[#This Row],[Alphabets]]+Table3[[#This Row],[Numbers]]+Table3[[#This Row],[Special Character]]</f>
        <v>29</v>
      </c>
      <c r="C180">
        <f>Table3[[#This Row],[Lowercase]]+Table3[[#This Row],[Uppercase]]</f>
        <v>16</v>
      </c>
      <c r="D180">
        <v>9</v>
      </c>
      <c r="E180">
        <v>8</v>
      </c>
      <c r="F180">
        <v>8</v>
      </c>
      <c r="G180">
        <v>4</v>
      </c>
      <c r="H180">
        <v>1</v>
      </c>
      <c r="I180">
        <v>1</v>
      </c>
      <c r="J180">
        <v>1</v>
      </c>
      <c r="K180">
        <v>1</v>
      </c>
      <c r="L180">
        <f>IF(AND(Table3[[#This Row],[Length]]&gt;=15, Table3[[#This Row],[Unique]]+Table3[[#This Row],[Randomize]]+J180+K180&gt;=2), 1, 0)</f>
        <v>1</v>
      </c>
    </row>
    <row r="181" spans="2:12" x14ac:dyDescent="0.3">
      <c r="B181">
        <f>Table3[[#This Row],[Alphabets]]+Table3[[#This Row],[Numbers]]+Table3[[#This Row],[Special Character]]</f>
        <v>15</v>
      </c>
      <c r="C181">
        <f>Table3[[#This Row],[Lowercase]]+Table3[[#This Row],[Uppercase]]</f>
        <v>11</v>
      </c>
      <c r="D181">
        <v>1</v>
      </c>
      <c r="E181">
        <v>4</v>
      </c>
      <c r="F181">
        <v>7</v>
      </c>
      <c r="G181">
        <v>3</v>
      </c>
      <c r="H181">
        <v>1</v>
      </c>
      <c r="I181">
        <v>1</v>
      </c>
      <c r="J181">
        <v>1</v>
      </c>
      <c r="K181">
        <v>0</v>
      </c>
      <c r="L181">
        <f>IF(AND(Table3[[#This Row],[Length]]&gt;=15, Table3[[#This Row],[Unique]]+Table3[[#This Row],[Randomize]]+J181+K181&gt;=2), 1, 0)</f>
        <v>1</v>
      </c>
    </row>
    <row r="182" spans="2:12" x14ac:dyDescent="0.3">
      <c r="B182">
        <f>Table3[[#This Row],[Alphabets]]+Table3[[#This Row],[Numbers]]+Table3[[#This Row],[Special Character]]</f>
        <v>17</v>
      </c>
      <c r="C182">
        <f>Table3[[#This Row],[Lowercase]]+Table3[[#This Row],[Uppercase]]</f>
        <v>5</v>
      </c>
      <c r="D182">
        <v>8</v>
      </c>
      <c r="E182">
        <v>0</v>
      </c>
      <c r="F182">
        <v>5</v>
      </c>
      <c r="G182">
        <v>4</v>
      </c>
      <c r="H182">
        <v>1</v>
      </c>
      <c r="I182">
        <v>1</v>
      </c>
      <c r="J182">
        <v>1</v>
      </c>
      <c r="K182">
        <v>0</v>
      </c>
      <c r="L182">
        <f>IF(AND(Table3[[#This Row],[Length]]&gt;=15, Table3[[#This Row],[Unique]]+Table3[[#This Row],[Randomize]]+J182+K182&gt;=2), 1, 0)</f>
        <v>1</v>
      </c>
    </row>
    <row r="183" spans="2:12" x14ac:dyDescent="0.3">
      <c r="B183">
        <f>Table3[[#This Row],[Alphabets]]+Table3[[#This Row],[Numbers]]+Table3[[#This Row],[Special Character]]</f>
        <v>23</v>
      </c>
      <c r="C183">
        <f>Table3[[#This Row],[Lowercase]]+Table3[[#This Row],[Uppercase]]</f>
        <v>14</v>
      </c>
      <c r="D183">
        <v>7</v>
      </c>
      <c r="E183">
        <v>9</v>
      </c>
      <c r="F183">
        <v>5</v>
      </c>
      <c r="G183">
        <v>2</v>
      </c>
      <c r="H183">
        <v>1</v>
      </c>
      <c r="I183">
        <v>1</v>
      </c>
      <c r="J183">
        <v>0</v>
      </c>
      <c r="K183">
        <v>1</v>
      </c>
      <c r="L183">
        <f>IF(AND(Table3[[#This Row],[Length]]&gt;=15, Table3[[#This Row],[Unique]]+Table3[[#This Row],[Randomize]]+J183+K183&gt;=2), 1, 0)</f>
        <v>1</v>
      </c>
    </row>
    <row r="184" spans="2:12" x14ac:dyDescent="0.3">
      <c r="B184">
        <f>Table3[[#This Row],[Alphabets]]+Table3[[#This Row],[Numbers]]+Table3[[#This Row],[Special Character]]</f>
        <v>13</v>
      </c>
      <c r="C184">
        <f>Table3[[#This Row],[Lowercase]]+Table3[[#This Row],[Uppercase]]</f>
        <v>7</v>
      </c>
      <c r="D184">
        <v>5</v>
      </c>
      <c r="E184">
        <v>6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f>IF(AND(Table3[[#This Row],[Length]]&gt;=15, Table3[[#This Row],[Unique]]+Table3[[#This Row],[Randomize]]+J184+K184&gt;=2), 1, 0)</f>
        <v>0</v>
      </c>
    </row>
    <row r="185" spans="2:12" x14ac:dyDescent="0.3">
      <c r="B185">
        <f>Table3[[#This Row],[Alphabets]]+Table3[[#This Row],[Numbers]]+Table3[[#This Row],[Special Character]]</f>
        <v>17</v>
      </c>
      <c r="C185">
        <f>Table3[[#This Row],[Lowercase]]+Table3[[#This Row],[Uppercase]]</f>
        <v>10</v>
      </c>
      <c r="D185">
        <v>2</v>
      </c>
      <c r="E185">
        <v>2</v>
      </c>
      <c r="F185">
        <v>8</v>
      </c>
      <c r="G185">
        <v>5</v>
      </c>
      <c r="H185">
        <v>0</v>
      </c>
      <c r="I185">
        <v>1</v>
      </c>
      <c r="J185">
        <v>1</v>
      </c>
      <c r="K185">
        <v>1</v>
      </c>
      <c r="L185">
        <f>IF(AND(Table3[[#This Row],[Length]]&gt;=15, Table3[[#This Row],[Unique]]+Table3[[#This Row],[Randomize]]+J185+K185&gt;=2), 1, 0)</f>
        <v>1</v>
      </c>
    </row>
    <row r="186" spans="2:12" x14ac:dyDescent="0.3">
      <c r="B186">
        <f>Table3[[#This Row],[Alphabets]]+Table3[[#This Row],[Numbers]]+Table3[[#This Row],[Special Character]]</f>
        <v>16</v>
      </c>
      <c r="C186">
        <f>Table3[[#This Row],[Lowercase]]+Table3[[#This Row],[Uppercase]]</f>
        <v>4</v>
      </c>
      <c r="D186">
        <v>6</v>
      </c>
      <c r="E186">
        <v>0</v>
      </c>
      <c r="F186">
        <v>4</v>
      </c>
      <c r="G186">
        <v>6</v>
      </c>
      <c r="H186">
        <v>0</v>
      </c>
      <c r="I186">
        <v>1</v>
      </c>
      <c r="J186">
        <v>0</v>
      </c>
      <c r="K186">
        <v>1</v>
      </c>
      <c r="L186">
        <f>IF(AND(Table3[[#This Row],[Length]]&gt;=15, Table3[[#This Row],[Unique]]+Table3[[#This Row],[Randomize]]+J186+K186&gt;=2), 1, 0)</f>
        <v>1</v>
      </c>
    </row>
    <row r="187" spans="2:12" x14ac:dyDescent="0.3">
      <c r="B187">
        <f>Table3[[#This Row],[Alphabets]]+Table3[[#This Row],[Numbers]]+Table3[[#This Row],[Special Character]]</f>
        <v>17</v>
      </c>
      <c r="C187">
        <f>Table3[[#This Row],[Lowercase]]+Table3[[#This Row],[Uppercase]]</f>
        <v>7</v>
      </c>
      <c r="D187">
        <v>7</v>
      </c>
      <c r="E187">
        <v>2</v>
      </c>
      <c r="F187">
        <v>5</v>
      </c>
      <c r="G187">
        <v>3</v>
      </c>
      <c r="H187">
        <v>1</v>
      </c>
      <c r="I187">
        <v>1</v>
      </c>
      <c r="J187">
        <v>1</v>
      </c>
      <c r="K187">
        <v>1</v>
      </c>
      <c r="L187">
        <f>IF(AND(Table3[[#This Row],[Length]]&gt;=15, Table3[[#This Row],[Unique]]+Table3[[#This Row],[Randomize]]+J187+K187&gt;=2), 1, 0)</f>
        <v>1</v>
      </c>
    </row>
    <row r="188" spans="2:12" x14ac:dyDescent="0.3">
      <c r="B188">
        <f>Table3[[#This Row],[Alphabets]]+Table3[[#This Row],[Numbers]]+Table3[[#This Row],[Special Character]]</f>
        <v>20</v>
      </c>
      <c r="C188">
        <f>Table3[[#This Row],[Lowercase]]+Table3[[#This Row],[Uppercase]]</f>
        <v>8</v>
      </c>
      <c r="D188">
        <v>8</v>
      </c>
      <c r="E188">
        <v>5</v>
      </c>
      <c r="F188">
        <v>3</v>
      </c>
      <c r="G188">
        <v>4</v>
      </c>
      <c r="H188">
        <v>0</v>
      </c>
      <c r="I188">
        <v>1</v>
      </c>
      <c r="J188">
        <v>1</v>
      </c>
      <c r="K188">
        <v>1</v>
      </c>
      <c r="L188">
        <f>IF(AND(Table3[[#This Row],[Length]]&gt;=15, Table3[[#This Row],[Unique]]+Table3[[#This Row],[Randomize]]+J188+K188&gt;=2), 1, 0)</f>
        <v>1</v>
      </c>
    </row>
    <row r="189" spans="2:12" x14ac:dyDescent="0.3">
      <c r="B189">
        <f>Table3[[#This Row],[Alphabets]]+Table3[[#This Row],[Numbers]]+Table3[[#This Row],[Special Character]]</f>
        <v>6</v>
      </c>
      <c r="C189">
        <f>Table3[[#This Row],[Lowercase]]+Table3[[#This Row],[Uppercase]]</f>
        <v>2</v>
      </c>
      <c r="D189">
        <v>0</v>
      </c>
      <c r="E189">
        <v>0</v>
      </c>
      <c r="F189">
        <v>2</v>
      </c>
      <c r="G189">
        <v>4</v>
      </c>
      <c r="H189">
        <v>0</v>
      </c>
      <c r="I189">
        <v>1</v>
      </c>
      <c r="J189">
        <v>0</v>
      </c>
      <c r="K189">
        <v>1</v>
      </c>
      <c r="L189">
        <f>IF(AND(Table3[[#This Row],[Length]]&gt;=15, Table3[[#This Row],[Unique]]+Table3[[#This Row],[Randomize]]+J189+K189&gt;=2), 1, 0)</f>
        <v>0</v>
      </c>
    </row>
    <row r="190" spans="2:12" x14ac:dyDescent="0.3">
      <c r="B190">
        <f>Table3[[#This Row],[Alphabets]]+Table3[[#This Row],[Numbers]]+Table3[[#This Row],[Special Character]]</f>
        <v>19</v>
      </c>
      <c r="C190">
        <f>Table3[[#This Row],[Lowercase]]+Table3[[#This Row],[Uppercase]]</f>
        <v>13</v>
      </c>
      <c r="D190">
        <v>4</v>
      </c>
      <c r="E190">
        <v>3</v>
      </c>
      <c r="F190">
        <v>10</v>
      </c>
      <c r="G190">
        <v>2</v>
      </c>
      <c r="H190">
        <v>1</v>
      </c>
      <c r="I190">
        <v>1</v>
      </c>
      <c r="J190">
        <v>1</v>
      </c>
      <c r="K190">
        <v>1</v>
      </c>
      <c r="L190">
        <f>IF(AND(Table3[[#This Row],[Length]]&gt;=15, Table3[[#This Row],[Unique]]+Table3[[#This Row],[Randomize]]+J190+K190&gt;=2), 1, 0)</f>
        <v>1</v>
      </c>
    </row>
    <row r="191" spans="2:12" x14ac:dyDescent="0.3">
      <c r="B191">
        <f>Table3[[#This Row],[Alphabets]]+Table3[[#This Row],[Numbers]]+Table3[[#This Row],[Special Character]]</f>
        <v>15</v>
      </c>
      <c r="C191">
        <f>Table3[[#This Row],[Lowercase]]+Table3[[#This Row],[Uppercase]]</f>
        <v>8</v>
      </c>
      <c r="D191">
        <v>1</v>
      </c>
      <c r="E191">
        <v>8</v>
      </c>
      <c r="F191">
        <v>0</v>
      </c>
      <c r="G191">
        <v>6</v>
      </c>
      <c r="H191">
        <v>1</v>
      </c>
      <c r="I191">
        <v>1</v>
      </c>
      <c r="J191">
        <v>0</v>
      </c>
      <c r="K191">
        <v>0</v>
      </c>
      <c r="L191">
        <f>IF(AND(Table3[[#This Row],[Length]]&gt;=15, Table3[[#This Row],[Unique]]+Table3[[#This Row],[Randomize]]+J191+K191&gt;=2), 1, 0)</f>
        <v>1</v>
      </c>
    </row>
    <row r="192" spans="2:12" x14ac:dyDescent="0.3">
      <c r="B192">
        <f>Table3[[#This Row],[Alphabets]]+Table3[[#This Row],[Numbers]]+Table3[[#This Row],[Special Character]]</f>
        <v>18</v>
      </c>
      <c r="C192">
        <f>Table3[[#This Row],[Lowercase]]+Table3[[#This Row],[Uppercase]]</f>
        <v>14</v>
      </c>
      <c r="D192">
        <v>4</v>
      </c>
      <c r="E192">
        <v>5</v>
      </c>
      <c r="F192">
        <v>9</v>
      </c>
      <c r="G192">
        <v>0</v>
      </c>
      <c r="H192">
        <v>0</v>
      </c>
      <c r="I192">
        <v>1</v>
      </c>
      <c r="J192">
        <v>0</v>
      </c>
      <c r="K192">
        <v>1</v>
      </c>
      <c r="L192">
        <f>IF(AND(Table3[[#This Row],[Length]]&gt;=15, Table3[[#This Row],[Unique]]+Table3[[#This Row],[Randomize]]+J192+K192&gt;=2), 1, 0)</f>
        <v>1</v>
      </c>
    </row>
    <row r="193" spans="2:12" x14ac:dyDescent="0.3">
      <c r="B193">
        <f>Table3[[#This Row],[Alphabets]]+Table3[[#This Row],[Numbers]]+Table3[[#This Row],[Special Character]]</f>
        <v>30</v>
      </c>
      <c r="C193">
        <f>Table3[[#This Row],[Lowercase]]+Table3[[#This Row],[Uppercase]]</f>
        <v>19</v>
      </c>
      <c r="D193">
        <v>7</v>
      </c>
      <c r="E193">
        <v>9</v>
      </c>
      <c r="F193">
        <v>10</v>
      </c>
      <c r="G193">
        <v>4</v>
      </c>
      <c r="H193">
        <v>0</v>
      </c>
      <c r="I193">
        <v>1</v>
      </c>
      <c r="J193">
        <v>0</v>
      </c>
      <c r="K193">
        <v>1</v>
      </c>
      <c r="L193">
        <f>IF(AND(Table3[[#This Row],[Length]]&gt;=15, Table3[[#This Row],[Unique]]+Table3[[#This Row],[Randomize]]+J193+K193&gt;=2), 1, 0)</f>
        <v>1</v>
      </c>
    </row>
    <row r="194" spans="2:12" x14ac:dyDescent="0.3">
      <c r="B194">
        <f>Table3[[#This Row],[Alphabets]]+Table3[[#This Row],[Numbers]]+Table3[[#This Row],[Special Character]]</f>
        <v>8</v>
      </c>
      <c r="C194">
        <f>Table3[[#This Row],[Lowercase]]+Table3[[#This Row],[Uppercase]]</f>
        <v>3</v>
      </c>
      <c r="D194">
        <v>4</v>
      </c>
      <c r="E194">
        <v>0</v>
      </c>
      <c r="F194">
        <v>3</v>
      </c>
      <c r="G194">
        <v>1</v>
      </c>
      <c r="H194">
        <v>1</v>
      </c>
      <c r="I194">
        <v>1</v>
      </c>
      <c r="J194">
        <v>1</v>
      </c>
      <c r="K194">
        <v>1</v>
      </c>
      <c r="L194">
        <f>IF(AND(Table3[[#This Row],[Length]]&gt;=15, Table3[[#This Row],[Unique]]+Table3[[#This Row],[Randomize]]+J194+K194&gt;=2), 1, 0)</f>
        <v>0</v>
      </c>
    </row>
    <row r="195" spans="2:12" x14ac:dyDescent="0.3">
      <c r="B195">
        <f>Table3[[#This Row],[Alphabets]]+Table3[[#This Row],[Numbers]]+Table3[[#This Row],[Special Character]]</f>
        <v>25</v>
      </c>
      <c r="C195">
        <f>Table3[[#This Row],[Lowercase]]+Table3[[#This Row],[Uppercase]]</f>
        <v>12</v>
      </c>
      <c r="D195">
        <v>8</v>
      </c>
      <c r="E195">
        <v>8</v>
      </c>
      <c r="F195">
        <v>4</v>
      </c>
      <c r="G195">
        <v>5</v>
      </c>
      <c r="H195">
        <v>0</v>
      </c>
      <c r="I195">
        <v>1</v>
      </c>
      <c r="J195">
        <v>0</v>
      </c>
      <c r="K195">
        <v>0</v>
      </c>
      <c r="L195">
        <f>IF(AND(Table3[[#This Row],[Length]]&gt;=15, Table3[[#This Row],[Unique]]+Table3[[#This Row],[Randomize]]+J195+K195&gt;=2), 1, 0)</f>
        <v>0</v>
      </c>
    </row>
    <row r="196" spans="2:12" x14ac:dyDescent="0.3">
      <c r="B196">
        <f>Table3[[#This Row],[Alphabets]]+Table3[[#This Row],[Numbers]]+Table3[[#This Row],[Special Character]]</f>
        <v>26</v>
      </c>
      <c r="C196">
        <f>Table3[[#This Row],[Lowercase]]+Table3[[#This Row],[Uppercase]]</f>
        <v>20</v>
      </c>
      <c r="D196">
        <v>1</v>
      </c>
      <c r="E196">
        <v>10</v>
      </c>
      <c r="F196">
        <v>10</v>
      </c>
      <c r="G196">
        <v>5</v>
      </c>
      <c r="H196">
        <v>0</v>
      </c>
      <c r="I196">
        <v>1</v>
      </c>
      <c r="J196">
        <v>1</v>
      </c>
      <c r="K196">
        <v>0</v>
      </c>
      <c r="L196">
        <f>IF(AND(Table3[[#This Row],[Length]]&gt;=15, Table3[[#This Row],[Unique]]+Table3[[#This Row],[Randomize]]+J196+K196&gt;=2), 1, 0)</f>
        <v>1</v>
      </c>
    </row>
    <row r="197" spans="2:12" x14ac:dyDescent="0.3">
      <c r="B197">
        <f>Table3[[#This Row],[Alphabets]]+Table3[[#This Row],[Numbers]]+Table3[[#This Row],[Special Character]]</f>
        <v>23</v>
      </c>
      <c r="C197">
        <f>Table3[[#This Row],[Lowercase]]+Table3[[#This Row],[Uppercase]]</f>
        <v>15</v>
      </c>
      <c r="D197">
        <v>3</v>
      </c>
      <c r="E197">
        <v>7</v>
      </c>
      <c r="F197">
        <v>8</v>
      </c>
      <c r="G197">
        <v>5</v>
      </c>
      <c r="H197">
        <v>0</v>
      </c>
      <c r="I197">
        <v>1</v>
      </c>
      <c r="J197">
        <v>1</v>
      </c>
      <c r="K197">
        <v>1</v>
      </c>
      <c r="L197">
        <f>IF(AND(Table3[[#This Row],[Length]]&gt;=15, Table3[[#This Row],[Unique]]+Table3[[#This Row],[Randomize]]+J197+K197&gt;=2), 1, 0)</f>
        <v>1</v>
      </c>
    </row>
    <row r="198" spans="2:12" x14ac:dyDescent="0.3">
      <c r="B198">
        <f>Table3[[#This Row],[Alphabets]]+Table3[[#This Row],[Numbers]]+Table3[[#This Row],[Special Character]]</f>
        <v>20</v>
      </c>
      <c r="C198">
        <f>Table3[[#This Row],[Lowercase]]+Table3[[#This Row],[Uppercase]]</f>
        <v>11</v>
      </c>
      <c r="D198">
        <v>5</v>
      </c>
      <c r="E198">
        <v>4</v>
      </c>
      <c r="F198">
        <v>7</v>
      </c>
      <c r="G198">
        <v>4</v>
      </c>
      <c r="H198">
        <v>0</v>
      </c>
      <c r="I198">
        <v>1</v>
      </c>
      <c r="J198">
        <v>1</v>
      </c>
      <c r="K198">
        <v>0</v>
      </c>
      <c r="L198">
        <f>IF(AND(Table3[[#This Row],[Length]]&gt;=15, Table3[[#This Row],[Unique]]+Table3[[#This Row],[Randomize]]+J198+K198&gt;=2), 1, 0)</f>
        <v>1</v>
      </c>
    </row>
    <row r="199" spans="2:12" x14ac:dyDescent="0.3">
      <c r="B199">
        <f>Table3[[#This Row],[Alphabets]]+Table3[[#This Row],[Numbers]]+Table3[[#This Row],[Special Character]]</f>
        <v>21</v>
      </c>
      <c r="C199">
        <f>Table3[[#This Row],[Lowercase]]+Table3[[#This Row],[Uppercase]]</f>
        <v>14</v>
      </c>
      <c r="D199">
        <v>6</v>
      </c>
      <c r="E199">
        <v>5</v>
      </c>
      <c r="F199">
        <v>9</v>
      </c>
      <c r="G199">
        <v>1</v>
      </c>
      <c r="H199">
        <v>0</v>
      </c>
      <c r="I199">
        <v>1</v>
      </c>
      <c r="J199">
        <v>0</v>
      </c>
      <c r="K199">
        <v>1</v>
      </c>
      <c r="L199">
        <f>IF(AND(Table3[[#This Row],[Length]]&gt;=15, Table3[[#This Row],[Unique]]+Table3[[#This Row],[Randomize]]+J199+K199&gt;=2), 1, 0)</f>
        <v>1</v>
      </c>
    </row>
    <row r="200" spans="2:12" x14ac:dyDescent="0.3">
      <c r="B200">
        <f>Table3[[#This Row],[Alphabets]]+Table3[[#This Row],[Numbers]]+Table3[[#This Row],[Special Character]]</f>
        <v>19</v>
      </c>
      <c r="C200">
        <f>Table3[[#This Row],[Lowercase]]+Table3[[#This Row],[Uppercase]]</f>
        <v>12</v>
      </c>
      <c r="D200">
        <v>4</v>
      </c>
      <c r="E200">
        <v>3</v>
      </c>
      <c r="F200">
        <v>9</v>
      </c>
      <c r="G200">
        <v>3</v>
      </c>
      <c r="H200">
        <v>1</v>
      </c>
      <c r="I200">
        <v>1</v>
      </c>
      <c r="J200">
        <v>0</v>
      </c>
      <c r="K200">
        <v>1</v>
      </c>
      <c r="L200">
        <f>IF(AND(Table3[[#This Row],[Length]]&gt;=15, Table3[[#This Row],[Unique]]+Table3[[#This Row],[Randomize]]+J200+K200&gt;=2), 1, 0)</f>
        <v>1</v>
      </c>
    </row>
    <row r="201" spans="2:12" x14ac:dyDescent="0.3">
      <c r="B201">
        <f>Table3[[#This Row],[Alphabets]]+Table3[[#This Row],[Numbers]]+Table3[[#This Row],[Special Character]]</f>
        <v>11</v>
      </c>
      <c r="C201">
        <f>Table3[[#This Row],[Lowercase]]+Table3[[#This Row],[Uppercase]]</f>
        <v>6</v>
      </c>
      <c r="D201">
        <v>5</v>
      </c>
      <c r="E201">
        <v>6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0</v>
      </c>
      <c r="L201">
        <f>IF(AND(Table3[[#This Row],[Length]]&gt;=15, Table3[[#This Row],[Unique]]+Table3[[#This Row],[Randomize]]+J201+K201&gt;=2), 1, 0)</f>
        <v>0</v>
      </c>
    </row>
    <row r="202" spans="2:12" x14ac:dyDescent="0.3">
      <c r="B202">
        <f>Table3[[#This Row],[Alphabets]]+Table3[[#This Row],[Numbers]]+Table3[[#This Row],[Special Character]]</f>
        <v>14</v>
      </c>
      <c r="C202">
        <f>Table3[[#This Row],[Lowercase]]+Table3[[#This Row],[Uppercase]]</f>
        <v>2</v>
      </c>
      <c r="D202">
        <v>6</v>
      </c>
      <c r="E202">
        <v>1</v>
      </c>
      <c r="F202">
        <v>1</v>
      </c>
      <c r="G202">
        <v>6</v>
      </c>
      <c r="H202">
        <v>1</v>
      </c>
      <c r="I202">
        <v>1</v>
      </c>
      <c r="J202">
        <v>0</v>
      </c>
      <c r="K202">
        <v>0</v>
      </c>
      <c r="L202">
        <f>IF(AND(Table3[[#This Row],[Length]]&gt;=15, Table3[[#This Row],[Unique]]+Table3[[#This Row],[Randomize]]+J202+K202&gt;=2), 1, 0)</f>
        <v>0</v>
      </c>
    </row>
    <row r="203" spans="2:12" x14ac:dyDescent="0.3">
      <c r="B203">
        <f>Table3[[#This Row],[Alphabets]]+Table3[[#This Row],[Numbers]]+Table3[[#This Row],[Special Character]]</f>
        <v>19</v>
      </c>
      <c r="C203">
        <f>Table3[[#This Row],[Lowercase]]+Table3[[#This Row],[Uppercase]]</f>
        <v>18</v>
      </c>
      <c r="D203">
        <v>0</v>
      </c>
      <c r="E203">
        <v>9</v>
      </c>
      <c r="F203">
        <v>9</v>
      </c>
      <c r="G203">
        <v>1</v>
      </c>
      <c r="H203">
        <v>1</v>
      </c>
      <c r="I203">
        <v>1</v>
      </c>
      <c r="J203">
        <v>0</v>
      </c>
      <c r="K203">
        <v>1</v>
      </c>
      <c r="L203">
        <f>IF(AND(Table3[[#This Row],[Length]]&gt;=15, Table3[[#This Row],[Unique]]+Table3[[#This Row],[Randomize]]+J203+K203&gt;=2), 1, 0)</f>
        <v>1</v>
      </c>
    </row>
    <row r="204" spans="2:12" x14ac:dyDescent="0.3">
      <c r="B204">
        <f>Table3[[#This Row],[Alphabets]]+Table3[[#This Row],[Numbers]]+Table3[[#This Row],[Special Character]]</f>
        <v>13</v>
      </c>
      <c r="C204">
        <f>Table3[[#This Row],[Lowercase]]+Table3[[#This Row],[Uppercase]]</f>
        <v>10</v>
      </c>
      <c r="D204">
        <v>2</v>
      </c>
      <c r="E204">
        <v>0</v>
      </c>
      <c r="F204">
        <v>10</v>
      </c>
      <c r="G204">
        <v>1</v>
      </c>
      <c r="H204">
        <v>0</v>
      </c>
      <c r="I204">
        <v>1</v>
      </c>
      <c r="J204">
        <v>1</v>
      </c>
      <c r="K204">
        <v>0</v>
      </c>
      <c r="L204">
        <f>IF(AND(Table3[[#This Row],[Length]]&gt;=15, Table3[[#This Row],[Unique]]+Table3[[#This Row],[Randomize]]+J204+K204&gt;=2), 1, 0)</f>
        <v>0</v>
      </c>
    </row>
    <row r="205" spans="2:12" x14ac:dyDescent="0.3">
      <c r="B205">
        <f>Table3[[#This Row],[Alphabets]]+Table3[[#This Row],[Numbers]]+Table3[[#This Row],[Special Character]]</f>
        <v>23</v>
      </c>
      <c r="C205">
        <f>Table3[[#This Row],[Lowercase]]+Table3[[#This Row],[Uppercase]]</f>
        <v>14</v>
      </c>
      <c r="D205">
        <v>4</v>
      </c>
      <c r="E205">
        <v>9</v>
      </c>
      <c r="F205">
        <v>5</v>
      </c>
      <c r="G205">
        <v>5</v>
      </c>
      <c r="H205">
        <v>0</v>
      </c>
      <c r="I205">
        <v>1</v>
      </c>
      <c r="J205">
        <v>0</v>
      </c>
      <c r="K205">
        <v>1</v>
      </c>
      <c r="L205">
        <f>IF(AND(Table3[[#This Row],[Length]]&gt;=15, Table3[[#This Row],[Unique]]+Table3[[#This Row],[Randomize]]+J205+K205&gt;=2), 1, 0)</f>
        <v>1</v>
      </c>
    </row>
    <row r="206" spans="2:12" x14ac:dyDescent="0.3">
      <c r="B206">
        <f>Table3[[#This Row],[Alphabets]]+Table3[[#This Row],[Numbers]]+Table3[[#This Row],[Special Character]]</f>
        <v>17</v>
      </c>
      <c r="C206">
        <f>Table3[[#This Row],[Lowercase]]+Table3[[#This Row],[Uppercase]]</f>
        <v>9</v>
      </c>
      <c r="D206">
        <v>7</v>
      </c>
      <c r="E206">
        <v>8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0</v>
      </c>
      <c r="L206">
        <f>IF(AND(Table3[[#This Row],[Length]]&gt;=15, Table3[[#This Row],[Unique]]+Table3[[#This Row],[Randomize]]+J206+K206&gt;=2), 1, 0)</f>
        <v>1</v>
      </c>
    </row>
    <row r="207" spans="2:12" x14ac:dyDescent="0.3">
      <c r="B207">
        <f>Table3[[#This Row],[Alphabets]]+Table3[[#This Row],[Numbers]]+Table3[[#This Row],[Special Character]]</f>
        <v>19</v>
      </c>
      <c r="C207">
        <f>Table3[[#This Row],[Lowercase]]+Table3[[#This Row],[Uppercase]]</f>
        <v>8</v>
      </c>
      <c r="D207">
        <v>8</v>
      </c>
      <c r="E207">
        <v>2</v>
      </c>
      <c r="F207">
        <v>6</v>
      </c>
      <c r="G207">
        <v>3</v>
      </c>
      <c r="H207">
        <v>0</v>
      </c>
      <c r="I207">
        <v>1</v>
      </c>
      <c r="J207">
        <v>0</v>
      </c>
      <c r="K207">
        <v>0</v>
      </c>
      <c r="L207">
        <f>IF(AND(Table3[[#This Row],[Length]]&gt;=15, Table3[[#This Row],[Unique]]+Table3[[#This Row],[Randomize]]+J207+K207&gt;=2), 1, 0)</f>
        <v>0</v>
      </c>
    </row>
    <row r="208" spans="2:12" x14ac:dyDescent="0.3">
      <c r="B208">
        <f>Table3[[#This Row],[Alphabets]]+Table3[[#This Row],[Numbers]]+Table3[[#This Row],[Special Character]]</f>
        <v>17</v>
      </c>
      <c r="C208">
        <f>Table3[[#This Row],[Lowercase]]+Table3[[#This Row],[Uppercase]]</f>
        <v>13</v>
      </c>
      <c r="D208">
        <v>3</v>
      </c>
      <c r="E208">
        <v>7</v>
      </c>
      <c r="F208">
        <v>6</v>
      </c>
      <c r="G208">
        <v>1</v>
      </c>
      <c r="H208">
        <v>0</v>
      </c>
      <c r="I208">
        <v>1</v>
      </c>
      <c r="J208">
        <v>1</v>
      </c>
      <c r="K208">
        <v>0</v>
      </c>
      <c r="L208">
        <f>IF(AND(Table3[[#This Row],[Length]]&gt;=15, Table3[[#This Row],[Unique]]+Table3[[#This Row],[Randomize]]+J208+K208&gt;=2), 1, 0)</f>
        <v>1</v>
      </c>
    </row>
    <row r="209" spans="2:12" x14ac:dyDescent="0.3">
      <c r="B209">
        <f>Table3[[#This Row],[Alphabets]]+Table3[[#This Row],[Numbers]]+Table3[[#This Row],[Special Character]]</f>
        <v>12</v>
      </c>
      <c r="C209">
        <f>Table3[[#This Row],[Lowercase]]+Table3[[#This Row],[Uppercase]]</f>
        <v>9</v>
      </c>
      <c r="D209">
        <v>1</v>
      </c>
      <c r="E209">
        <v>4</v>
      </c>
      <c r="F209">
        <v>5</v>
      </c>
      <c r="G209">
        <v>2</v>
      </c>
      <c r="H209">
        <v>1</v>
      </c>
      <c r="I209">
        <v>1</v>
      </c>
      <c r="J209">
        <v>0</v>
      </c>
      <c r="K209">
        <v>0</v>
      </c>
      <c r="L209">
        <f>IF(AND(Table3[[#This Row],[Length]]&gt;=15, Table3[[#This Row],[Unique]]+Table3[[#This Row],[Randomize]]+J209+K209&gt;=2), 1, 0)</f>
        <v>0</v>
      </c>
    </row>
    <row r="210" spans="2:12" x14ac:dyDescent="0.3">
      <c r="B210">
        <f>Table3[[#This Row],[Alphabets]]+Table3[[#This Row],[Numbers]]+Table3[[#This Row],[Special Character]]</f>
        <v>5</v>
      </c>
      <c r="C210">
        <f>Table3[[#This Row],[Lowercase]]+Table3[[#This Row],[Uppercase]]</f>
        <v>2</v>
      </c>
      <c r="D210">
        <v>2</v>
      </c>
      <c r="E210">
        <v>0</v>
      </c>
      <c r="F210">
        <v>2</v>
      </c>
      <c r="G210">
        <v>1</v>
      </c>
      <c r="H210">
        <v>1</v>
      </c>
      <c r="I210">
        <v>1</v>
      </c>
      <c r="J210">
        <v>1</v>
      </c>
      <c r="K210">
        <v>1</v>
      </c>
      <c r="L210">
        <f>IF(AND(Table3[[#This Row],[Length]]&gt;=15, Table3[[#This Row],[Unique]]+Table3[[#This Row],[Randomize]]+J210+K210&gt;=2), 1, 0)</f>
        <v>0</v>
      </c>
    </row>
    <row r="211" spans="2:12" x14ac:dyDescent="0.3">
      <c r="B211">
        <f>Table3[[#This Row],[Alphabets]]+Table3[[#This Row],[Numbers]]+Table3[[#This Row],[Special Character]]</f>
        <v>12</v>
      </c>
      <c r="C211">
        <f>Table3[[#This Row],[Lowercase]]+Table3[[#This Row],[Uppercase]]</f>
        <v>3</v>
      </c>
      <c r="D211">
        <v>4</v>
      </c>
      <c r="E211">
        <v>0</v>
      </c>
      <c r="F211">
        <v>3</v>
      </c>
      <c r="G211">
        <v>5</v>
      </c>
      <c r="H211">
        <v>0</v>
      </c>
      <c r="I211">
        <v>1</v>
      </c>
      <c r="J211">
        <v>0</v>
      </c>
      <c r="K211">
        <v>1</v>
      </c>
      <c r="L211">
        <f>IF(AND(Table3[[#This Row],[Length]]&gt;=15, Table3[[#This Row],[Unique]]+Table3[[#This Row],[Randomize]]+J211+K211&gt;=2), 1, 0)</f>
        <v>0</v>
      </c>
    </row>
    <row r="212" spans="2:12" x14ac:dyDescent="0.3">
      <c r="B212">
        <f>Table3[[#This Row],[Alphabets]]+Table3[[#This Row],[Numbers]]+Table3[[#This Row],[Special Character]]</f>
        <v>19</v>
      </c>
      <c r="C212">
        <f>Table3[[#This Row],[Lowercase]]+Table3[[#This Row],[Uppercase]]</f>
        <v>6</v>
      </c>
      <c r="D212">
        <v>8</v>
      </c>
      <c r="E212">
        <v>5</v>
      </c>
      <c r="F212">
        <v>1</v>
      </c>
      <c r="G212">
        <v>5</v>
      </c>
      <c r="H212">
        <v>1</v>
      </c>
      <c r="I212">
        <v>1</v>
      </c>
      <c r="J212">
        <v>1</v>
      </c>
      <c r="K212">
        <v>1</v>
      </c>
      <c r="L212">
        <f>IF(AND(Table3[[#This Row],[Length]]&gt;=15, Table3[[#This Row],[Unique]]+Table3[[#This Row],[Randomize]]+J212+K212&gt;=2), 1, 0)</f>
        <v>1</v>
      </c>
    </row>
    <row r="213" spans="2:12" x14ac:dyDescent="0.3">
      <c r="B213">
        <f>Table3[[#This Row],[Alphabets]]+Table3[[#This Row],[Numbers]]+Table3[[#This Row],[Special Character]]</f>
        <v>18</v>
      </c>
      <c r="C213">
        <f>Table3[[#This Row],[Lowercase]]+Table3[[#This Row],[Uppercase]]</f>
        <v>14</v>
      </c>
      <c r="D213">
        <v>0</v>
      </c>
      <c r="E213">
        <v>10</v>
      </c>
      <c r="F213">
        <v>4</v>
      </c>
      <c r="G213">
        <v>4</v>
      </c>
      <c r="H213">
        <v>1</v>
      </c>
      <c r="I213">
        <v>1</v>
      </c>
      <c r="J213">
        <v>0</v>
      </c>
      <c r="K213">
        <v>1</v>
      </c>
      <c r="L213">
        <f>IF(AND(Table3[[#This Row],[Length]]&gt;=15, Table3[[#This Row],[Unique]]+Table3[[#This Row],[Randomize]]+J213+K213&gt;=2), 1, 0)</f>
        <v>1</v>
      </c>
    </row>
    <row r="214" spans="2:12" x14ac:dyDescent="0.3">
      <c r="B214">
        <f>Table3[[#This Row],[Alphabets]]+Table3[[#This Row],[Numbers]]+Table3[[#This Row],[Special Character]]</f>
        <v>15</v>
      </c>
      <c r="C214">
        <f>Table3[[#This Row],[Lowercase]]+Table3[[#This Row],[Uppercase]]</f>
        <v>8</v>
      </c>
      <c r="D214">
        <v>6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</v>
      </c>
      <c r="K214">
        <v>1</v>
      </c>
      <c r="L214">
        <f>IF(AND(Table3[[#This Row],[Length]]&gt;=15, Table3[[#This Row],[Unique]]+Table3[[#This Row],[Randomize]]+J214+K214&gt;=2), 1, 0)</f>
        <v>1</v>
      </c>
    </row>
    <row r="215" spans="2:12" x14ac:dyDescent="0.3">
      <c r="B215">
        <f>Table3[[#This Row],[Alphabets]]+Table3[[#This Row],[Numbers]]+Table3[[#This Row],[Special Character]]</f>
        <v>12</v>
      </c>
      <c r="C215">
        <f>Table3[[#This Row],[Lowercase]]+Table3[[#This Row],[Uppercase]]</f>
        <v>10</v>
      </c>
      <c r="D215">
        <v>0</v>
      </c>
      <c r="E215">
        <v>8</v>
      </c>
      <c r="F215">
        <v>2</v>
      </c>
      <c r="G215">
        <v>2</v>
      </c>
      <c r="H215">
        <v>0</v>
      </c>
      <c r="I215">
        <v>1</v>
      </c>
      <c r="J215">
        <v>1</v>
      </c>
      <c r="K215">
        <v>0</v>
      </c>
      <c r="L215">
        <f>IF(AND(Table3[[#This Row],[Length]]&gt;=15, Table3[[#This Row],[Unique]]+Table3[[#This Row],[Randomize]]+J215+K215&gt;=2), 1, 0)</f>
        <v>0</v>
      </c>
    </row>
    <row r="216" spans="2:12" x14ac:dyDescent="0.3">
      <c r="B216">
        <f>Table3[[#This Row],[Alphabets]]+Table3[[#This Row],[Numbers]]+Table3[[#This Row],[Special Character]]</f>
        <v>24</v>
      </c>
      <c r="C216">
        <f>Table3[[#This Row],[Lowercase]]+Table3[[#This Row],[Uppercase]]</f>
        <v>13</v>
      </c>
      <c r="D216">
        <v>8</v>
      </c>
      <c r="E216">
        <v>7</v>
      </c>
      <c r="F216">
        <v>6</v>
      </c>
      <c r="G216">
        <v>3</v>
      </c>
      <c r="H216">
        <v>1</v>
      </c>
      <c r="I216">
        <v>1</v>
      </c>
      <c r="J216">
        <v>0</v>
      </c>
      <c r="K216">
        <v>0</v>
      </c>
      <c r="L216">
        <f>IF(AND(Table3[[#This Row],[Length]]&gt;=15, Table3[[#This Row],[Unique]]+Table3[[#This Row],[Randomize]]+J216+K216&gt;=2), 1, 0)</f>
        <v>1</v>
      </c>
    </row>
    <row r="217" spans="2:12" x14ac:dyDescent="0.3">
      <c r="B217">
        <f>Table3[[#This Row],[Alphabets]]+Table3[[#This Row],[Numbers]]+Table3[[#This Row],[Special Character]]</f>
        <v>15</v>
      </c>
      <c r="C217">
        <f>Table3[[#This Row],[Lowercase]]+Table3[[#This Row],[Uppercase]]</f>
        <v>10</v>
      </c>
      <c r="D217">
        <v>3</v>
      </c>
      <c r="E217">
        <v>10</v>
      </c>
      <c r="F217">
        <v>0</v>
      </c>
      <c r="G217">
        <v>2</v>
      </c>
      <c r="H217">
        <v>1</v>
      </c>
      <c r="I217">
        <v>1</v>
      </c>
      <c r="J217">
        <v>0</v>
      </c>
      <c r="K217">
        <v>1</v>
      </c>
      <c r="L217">
        <f>IF(AND(Table3[[#This Row],[Length]]&gt;=15, Table3[[#This Row],[Unique]]+Table3[[#This Row],[Randomize]]+J217+K217&gt;=2), 1, 0)</f>
        <v>1</v>
      </c>
    </row>
    <row r="218" spans="2:12" x14ac:dyDescent="0.3">
      <c r="B218">
        <f>Table3[[#This Row],[Alphabets]]+Table3[[#This Row],[Numbers]]+Table3[[#This Row],[Special Character]]</f>
        <v>20</v>
      </c>
      <c r="C218">
        <f>Table3[[#This Row],[Lowercase]]+Table3[[#This Row],[Uppercase]]</f>
        <v>17</v>
      </c>
      <c r="D218">
        <v>2</v>
      </c>
      <c r="E218">
        <v>8</v>
      </c>
      <c r="F218">
        <v>9</v>
      </c>
      <c r="G218">
        <v>1</v>
      </c>
      <c r="H218">
        <v>0</v>
      </c>
      <c r="I218">
        <v>1</v>
      </c>
      <c r="J218">
        <v>0</v>
      </c>
      <c r="K218">
        <v>0</v>
      </c>
      <c r="L218">
        <f>IF(AND(Table3[[#This Row],[Length]]&gt;=15, Table3[[#This Row],[Unique]]+Table3[[#This Row],[Randomize]]+J218+K218&gt;=2), 1, 0)</f>
        <v>0</v>
      </c>
    </row>
    <row r="219" spans="2:12" x14ac:dyDescent="0.3">
      <c r="B219">
        <f>Table3[[#This Row],[Alphabets]]+Table3[[#This Row],[Numbers]]+Table3[[#This Row],[Special Character]]</f>
        <v>25</v>
      </c>
      <c r="C219">
        <f>Table3[[#This Row],[Lowercase]]+Table3[[#This Row],[Uppercase]]</f>
        <v>11</v>
      </c>
      <c r="D219">
        <v>8</v>
      </c>
      <c r="E219">
        <v>1</v>
      </c>
      <c r="F219">
        <v>10</v>
      </c>
      <c r="G219">
        <v>6</v>
      </c>
      <c r="H219">
        <v>1</v>
      </c>
      <c r="I219">
        <v>1</v>
      </c>
      <c r="J219">
        <v>1</v>
      </c>
      <c r="K219">
        <v>0</v>
      </c>
      <c r="L219">
        <f>IF(AND(Table3[[#This Row],[Length]]&gt;=15, Table3[[#This Row],[Unique]]+Table3[[#This Row],[Randomize]]+J219+K219&gt;=2), 1, 0)</f>
        <v>1</v>
      </c>
    </row>
    <row r="220" spans="2:12" x14ac:dyDescent="0.3">
      <c r="B220">
        <f>Table3[[#This Row],[Alphabets]]+Table3[[#This Row],[Numbers]]+Table3[[#This Row],[Special Character]]</f>
        <v>15</v>
      </c>
      <c r="C220">
        <f>Table3[[#This Row],[Lowercase]]+Table3[[#This Row],[Uppercase]]</f>
        <v>3</v>
      </c>
      <c r="D220">
        <v>6</v>
      </c>
      <c r="E220">
        <v>0</v>
      </c>
      <c r="F220">
        <v>3</v>
      </c>
      <c r="G220">
        <v>6</v>
      </c>
      <c r="H220">
        <v>0</v>
      </c>
      <c r="I220">
        <v>1</v>
      </c>
      <c r="J220">
        <v>0</v>
      </c>
      <c r="K220">
        <v>1</v>
      </c>
      <c r="L220">
        <f>IF(AND(Table3[[#This Row],[Length]]&gt;=15, Table3[[#This Row],[Unique]]+Table3[[#This Row],[Randomize]]+J220+K220&gt;=2), 1, 0)</f>
        <v>1</v>
      </c>
    </row>
    <row r="221" spans="2:12" x14ac:dyDescent="0.3">
      <c r="B221">
        <f>Table3[[#This Row],[Alphabets]]+Table3[[#This Row],[Numbers]]+Table3[[#This Row],[Special Character]]</f>
        <v>22</v>
      </c>
      <c r="C221">
        <f>Table3[[#This Row],[Lowercase]]+Table3[[#This Row],[Uppercase]]</f>
        <v>14</v>
      </c>
      <c r="D221">
        <v>6</v>
      </c>
      <c r="E221">
        <v>6</v>
      </c>
      <c r="F221">
        <v>8</v>
      </c>
      <c r="G221">
        <v>2</v>
      </c>
      <c r="H221">
        <v>0</v>
      </c>
      <c r="I221">
        <v>1</v>
      </c>
      <c r="J221">
        <v>1</v>
      </c>
      <c r="K221">
        <v>0</v>
      </c>
      <c r="L221">
        <f>IF(AND(Table3[[#This Row],[Length]]&gt;=15, Table3[[#This Row],[Unique]]+Table3[[#This Row],[Randomize]]+J221+K221&gt;=2), 1, 0)</f>
        <v>1</v>
      </c>
    </row>
    <row r="222" spans="2:12" x14ac:dyDescent="0.3">
      <c r="B222">
        <f>Table3[[#This Row],[Alphabets]]+Table3[[#This Row],[Numbers]]+Table3[[#This Row],[Special Character]]</f>
        <v>14</v>
      </c>
      <c r="C222">
        <f>Table3[[#This Row],[Lowercase]]+Table3[[#This Row],[Uppercase]]</f>
        <v>10</v>
      </c>
      <c r="D222">
        <v>2</v>
      </c>
      <c r="E222">
        <v>10</v>
      </c>
      <c r="F222">
        <v>0</v>
      </c>
      <c r="G222">
        <v>2</v>
      </c>
      <c r="H222">
        <v>0</v>
      </c>
      <c r="I222">
        <v>1</v>
      </c>
      <c r="J222">
        <v>1</v>
      </c>
      <c r="K222">
        <v>1</v>
      </c>
      <c r="L222">
        <f>IF(AND(Table3[[#This Row],[Length]]&gt;=15, Table3[[#This Row],[Unique]]+Table3[[#This Row],[Randomize]]+J222+K222&gt;=2), 1, 0)</f>
        <v>0</v>
      </c>
    </row>
    <row r="223" spans="2:12" x14ac:dyDescent="0.3">
      <c r="B223">
        <f>Table3[[#This Row],[Alphabets]]+Table3[[#This Row],[Numbers]]+Table3[[#This Row],[Special Character]]</f>
        <v>18</v>
      </c>
      <c r="C223">
        <f>Table3[[#This Row],[Lowercase]]+Table3[[#This Row],[Uppercase]]</f>
        <v>11</v>
      </c>
      <c r="D223">
        <v>3</v>
      </c>
      <c r="E223">
        <v>5</v>
      </c>
      <c r="F223">
        <v>6</v>
      </c>
      <c r="G223">
        <v>4</v>
      </c>
      <c r="H223">
        <v>0</v>
      </c>
      <c r="I223">
        <v>1</v>
      </c>
      <c r="J223">
        <v>0</v>
      </c>
      <c r="K223">
        <v>1</v>
      </c>
      <c r="L223">
        <f>IF(AND(Table3[[#This Row],[Length]]&gt;=15, Table3[[#This Row],[Unique]]+Table3[[#This Row],[Randomize]]+J223+K223&gt;=2), 1, 0)</f>
        <v>1</v>
      </c>
    </row>
    <row r="224" spans="2:12" x14ac:dyDescent="0.3">
      <c r="B224">
        <f>Table3[[#This Row],[Alphabets]]+Table3[[#This Row],[Numbers]]+Table3[[#This Row],[Special Character]]</f>
        <v>16</v>
      </c>
      <c r="C224">
        <f>Table3[[#This Row],[Lowercase]]+Table3[[#This Row],[Uppercase]]</f>
        <v>5</v>
      </c>
      <c r="D224">
        <v>6</v>
      </c>
      <c r="E224">
        <v>4</v>
      </c>
      <c r="F224">
        <v>1</v>
      </c>
      <c r="G224">
        <v>5</v>
      </c>
      <c r="H224">
        <v>1</v>
      </c>
      <c r="I224">
        <v>1</v>
      </c>
      <c r="J224">
        <v>1</v>
      </c>
      <c r="K224">
        <v>1</v>
      </c>
      <c r="L224">
        <f>IF(AND(Table3[[#This Row],[Length]]&gt;=15, Table3[[#This Row],[Unique]]+Table3[[#This Row],[Randomize]]+J224+K224&gt;=2), 1, 0)</f>
        <v>1</v>
      </c>
    </row>
    <row r="225" spans="2:12" x14ac:dyDescent="0.3">
      <c r="B225">
        <f>Table3[[#This Row],[Alphabets]]+Table3[[#This Row],[Numbers]]+Table3[[#This Row],[Special Character]]</f>
        <v>12</v>
      </c>
      <c r="C225">
        <f>Table3[[#This Row],[Lowercase]]+Table3[[#This Row],[Uppercase]]</f>
        <v>10</v>
      </c>
      <c r="D225">
        <v>1</v>
      </c>
      <c r="E225">
        <v>3</v>
      </c>
      <c r="F225">
        <v>7</v>
      </c>
      <c r="G225">
        <v>1</v>
      </c>
      <c r="H225">
        <v>0</v>
      </c>
      <c r="I225">
        <v>1</v>
      </c>
      <c r="J225">
        <v>0</v>
      </c>
      <c r="K225">
        <v>0</v>
      </c>
      <c r="L225">
        <f>IF(AND(Table3[[#This Row],[Length]]&gt;=15, Table3[[#This Row],[Unique]]+Table3[[#This Row],[Randomize]]+J225+K225&gt;=2), 1, 0)</f>
        <v>0</v>
      </c>
    </row>
    <row r="226" spans="2:12" x14ac:dyDescent="0.3">
      <c r="B226">
        <f>Table3[[#This Row],[Alphabets]]+Table3[[#This Row],[Numbers]]+Table3[[#This Row],[Special Character]]</f>
        <v>15</v>
      </c>
      <c r="C226">
        <f>Table3[[#This Row],[Lowercase]]+Table3[[#This Row],[Uppercase]]</f>
        <v>3</v>
      </c>
      <c r="D226">
        <v>9</v>
      </c>
      <c r="E226">
        <v>0</v>
      </c>
      <c r="F226">
        <v>3</v>
      </c>
      <c r="G226">
        <v>3</v>
      </c>
      <c r="H226">
        <v>0</v>
      </c>
      <c r="I226">
        <v>1</v>
      </c>
      <c r="J226">
        <v>0</v>
      </c>
      <c r="K226">
        <v>1</v>
      </c>
      <c r="L226">
        <f>IF(AND(Table3[[#This Row],[Length]]&gt;=15, Table3[[#This Row],[Unique]]+Table3[[#This Row],[Randomize]]+J226+K226&gt;=2), 1, 0)</f>
        <v>1</v>
      </c>
    </row>
    <row r="227" spans="2:12" x14ac:dyDescent="0.3">
      <c r="B227">
        <f>Table3[[#This Row],[Alphabets]]+Table3[[#This Row],[Numbers]]+Table3[[#This Row],[Special Character]]</f>
        <v>30</v>
      </c>
      <c r="C227">
        <f>Table3[[#This Row],[Lowercase]]+Table3[[#This Row],[Uppercase]]</f>
        <v>15</v>
      </c>
      <c r="D227">
        <v>9</v>
      </c>
      <c r="E227">
        <v>9</v>
      </c>
      <c r="F227">
        <v>6</v>
      </c>
      <c r="G227">
        <v>6</v>
      </c>
      <c r="H227">
        <v>1</v>
      </c>
      <c r="I227">
        <v>1</v>
      </c>
      <c r="J227">
        <v>0</v>
      </c>
      <c r="K227">
        <v>0</v>
      </c>
      <c r="L227">
        <f>IF(AND(Table3[[#This Row],[Length]]&gt;=15, Table3[[#This Row],[Unique]]+Table3[[#This Row],[Randomize]]+J227+K227&gt;=2), 1, 0)</f>
        <v>1</v>
      </c>
    </row>
    <row r="228" spans="2:12" x14ac:dyDescent="0.3">
      <c r="B228">
        <f>Table3[[#This Row],[Alphabets]]+Table3[[#This Row],[Numbers]]+Table3[[#This Row],[Special Character]]</f>
        <v>22</v>
      </c>
      <c r="C228">
        <f>Table3[[#This Row],[Lowercase]]+Table3[[#This Row],[Uppercase]]</f>
        <v>14</v>
      </c>
      <c r="D228">
        <v>5</v>
      </c>
      <c r="E228">
        <v>4</v>
      </c>
      <c r="F228">
        <v>10</v>
      </c>
      <c r="G228">
        <v>3</v>
      </c>
      <c r="H228">
        <v>1</v>
      </c>
      <c r="I228">
        <v>1</v>
      </c>
      <c r="J228">
        <v>1</v>
      </c>
      <c r="K228">
        <v>0</v>
      </c>
      <c r="L228">
        <f>IF(AND(Table3[[#This Row],[Length]]&gt;=15, Table3[[#This Row],[Unique]]+Table3[[#This Row],[Randomize]]+J228+K228&gt;=2), 1, 0)</f>
        <v>1</v>
      </c>
    </row>
    <row r="229" spans="2:12" x14ac:dyDescent="0.3">
      <c r="B229">
        <f>Table3[[#This Row],[Alphabets]]+Table3[[#This Row],[Numbers]]+Table3[[#This Row],[Special Character]]</f>
        <v>14</v>
      </c>
      <c r="C229">
        <f>Table3[[#This Row],[Lowercase]]+Table3[[#This Row],[Uppercase]]</f>
        <v>8</v>
      </c>
      <c r="D229">
        <v>1</v>
      </c>
      <c r="E229">
        <v>5</v>
      </c>
      <c r="F229">
        <v>3</v>
      </c>
      <c r="G229">
        <v>5</v>
      </c>
      <c r="H229">
        <v>0</v>
      </c>
      <c r="I229">
        <v>1</v>
      </c>
      <c r="J229">
        <v>1</v>
      </c>
      <c r="K229">
        <v>1</v>
      </c>
      <c r="L229">
        <f>IF(AND(Table3[[#This Row],[Length]]&gt;=15, Table3[[#This Row],[Unique]]+Table3[[#This Row],[Randomize]]+J229+K229&gt;=2), 1, 0)</f>
        <v>0</v>
      </c>
    </row>
    <row r="230" spans="2:12" x14ac:dyDescent="0.3">
      <c r="B230">
        <f>Table3[[#This Row],[Alphabets]]+Table3[[#This Row],[Numbers]]+Table3[[#This Row],[Special Character]]</f>
        <v>14</v>
      </c>
      <c r="C230">
        <f>Table3[[#This Row],[Lowercase]]+Table3[[#This Row],[Uppercase]]</f>
        <v>7</v>
      </c>
      <c r="D230">
        <v>4</v>
      </c>
      <c r="E230">
        <v>5</v>
      </c>
      <c r="F230">
        <v>2</v>
      </c>
      <c r="G230">
        <v>3</v>
      </c>
      <c r="H230">
        <v>1</v>
      </c>
      <c r="I230">
        <v>1</v>
      </c>
      <c r="J230">
        <v>0</v>
      </c>
      <c r="K230">
        <v>0</v>
      </c>
      <c r="L230">
        <f>IF(AND(Table3[[#This Row],[Length]]&gt;=15, Table3[[#This Row],[Unique]]+Table3[[#This Row],[Randomize]]+J230+K230&gt;=2), 1, 0)</f>
        <v>0</v>
      </c>
    </row>
    <row r="231" spans="2:12" x14ac:dyDescent="0.3">
      <c r="B231">
        <f>Table3[[#This Row],[Alphabets]]+Table3[[#This Row],[Numbers]]+Table3[[#This Row],[Special Character]]</f>
        <v>16</v>
      </c>
      <c r="C231">
        <f>Table3[[#This Row],[Lowercase]]+Table3[[#This Row],[Uppercase]]</f>
        <v>6</v>
      </c>
      <c r="D231">
        <v>5</v>
      </c>
      <c r="E231">
        <v>2</v>
      </c>
      <c r="F231">
        <v>4</v>
      </c>
      <c r="G231">
        <v>5</v>
      </c>
      <c r="H231">
        <v>0</v>
      </c>
      <c r="I231">
        <v>1</v>
      </c>
      <c r="J231">
        <v>0</v>
      </c>
      <c r="K231">
        <v>1</v>
      </c>
      <c r="L231">
        <f>IF(AND(Table3[[#This Row],[Length]]&gt;=15, Table3[[#This Row],[Unique]]+Table3[[#This Row],[Randomize]]+J231+K231&gt;=2), 1, 0)</f>
        <v>1</v>
      </c>
    </row>
    <row r="232" spans="2:12" x14ac:dyDescent="0.3">
      <c r="B232">
        <f>Table3[[#This Row],[Alphabets]]+Table3[[#This Row],[Numbers]]+Table3[[#This Row],[Special Character]]</f>
        <v>11</v>
      </c>
      <c r="C232">
        <f>Table3[[#This Row],[Lowercase]]+Table3[[#This Row],[Uppercase]]</f>
        <v>10</v>
      </c>
      <c r="D232">
        <v>0</v>
      </c>
      <c r="E232">
        <v>4</v>
      </c>
      <c r="F232">
        <v>6</v>
      </c>
      <c r="G232">
        <v>1</v>
      </c>
      <c r="H232">
        <v>0</v>
      </c>
      <c r="I232">
        <v>1</v>
      </c>
      <c r="J232">
        <v>0</v>
      </c>
      <c r="K232">
        <v>0</v>
      </c>
      <c r="L232">
        <f>IF(AND(Table3[[#This Row],[Length]]&gt;=15, Table3[[#This Row],[Unique]]+Table3[[#This Row],[Randomize]]+J232+K232&gt;=2), 1, 0)</f>
        <v>0</v>
      </c>
    </row>
    <row r="233" spans="2:12" x14ac:dyDescent="0.3">
      <c r="B233">
        <f>Table3[[#This Row],[Alphabets]]+Table3[[#This Row],[Numbers]]+Table3[[#This Row],[Special Character]]</f>
        <v>13</v>
      </c>
      <c r="C233">
        <f>Table3[[#This Row],[Lowercase]]+Table3[[#This Row],[Uppercase]]</f>
        <v>12</v>
      </c>
      <c r="D233">
        <v>0</v>
      </c>
      <c r="E233">
        <v>3</v>
      </c>
      <c r="F233">
        <v>9</v>
      </c>
      <c r="G233">
        <v>1</v>
      </c>
      <c r="H233">
        <v>1</v>
      </c>
      <c r="I233">
        <v>1</v>
      </c>
      <c r="J233">
        <v>1</v>
      </c>
      <c r="K233">
        <v>1</v>
      </c>
      <c r="L233">
        <f>IF(AND(Table3[[#This Row],[Length]]&gt;=15, Table3[[#This Row],[Unique]]+Table3[[#This Row],[Randomize]]+J233+K233&gt;=2), 1, 0)</f>
        <v>0</v>
      </c>
    </row>
    <row r="234" spans="2:12" x14ac:dyDescent="0.3">
      <c r="B234">
        <f>Table3[[#This Row],[Alphabets]]+Table3[[#This Row],[Numbers]]+Table3[[#This Row],[Special Character]]</f>
        <v>18</v>
      </c>
      <c r="C234">
        <f>Table3[[#This Row],[Lowercase]]+Table3[[#This Row],[Uppercase]]</f>
        <v>11</v>
      </c>
      <c r="D234">
        <v>4</v>
      </c>
      <c r="E234">
        <v>3</v>
      </c>
      <c r="F234">
        <v>8</v>
      </c>
      <c r="G234">
        <v>3</v>
      </c>
      <c r="H234">
        <v>0</v>
      </c>
      <c r="I234">
        <v>1</v>
      </c>
      <c r="J234">
        <v>1</v>
      </c>
      <c r="K234">
        <v>0</v>
      </c>
      <c r="L234">
        <f>IF(AND(Table3[[#This Row],[Length]]&gt;=15, Table3[[#This Row],[Unique]]+Table3[[#This Row],[Randomize]]+J234+K234&gt;=2), 1, 0)</f>
        <v>1</v>
      </c>
    </row>
    <row r="235" spans="2:12" x14ac:dyDescent="0.3">
      <c r="B235">
        <f>Table3[[#This Row],[Alphabets]]+Table3[[#This Row],[Numbers]]+Table3[[#This Row],[Special Character]]</f>
        <v>13</v>
      </c>
      <c r="C235">
        <f>Table3[[#This Row],[Lowercase]]+Table3[[#This Row],[Uppercase]]</f>
        <v>10</v>
      </c>
      <c r="D235">
        <v>0</v>
      </c>
      <c r="E235">
        <v>5</v>
      </c>
      <c r="F235">
        <v>5</v>
      </c>
      <c r="G235">
        <v>3</v>
      </c>
      <c r="H235">
        <v>1</v>
      </c>
      <c r="I235">
        <v>1</v>
      </c>
      <c r="J235">
        <v>0</v>
      </c>
      <c r="K235">
        <v>1</v>
      </c>
      <c r="L235">
        <f>IF(AND(Table3[[#This Row],[Length]]&gt;=15, Table3[[#This Row],[Unique]]+Table3[[#This Row],[Randomize]]+J235+K235&gt;=2), 1, 0)</f>
        <v>0</v>
      </c>
    </row>
    <row r="236" spans="2:12" x14ac:dyDescent="0.3">
      <c r="B236">
        <f>Table3[[#This Row],[Alphabets]]+Table3[[#This Row],[Numbers]]+Table3[[#This Row],[Special Character]]</f>
        <v>14</v>
      </c>
      <c r="C236">
        <f>Table3[[#This Row],[Lowercase]]+Table3[[#This Row],[Uppercase]]</f>
        <v>9</v>
      </c>
      <c r="D236">
        <v>0</v>
      </c>
      <c r="E236">
        <v>4</v>
      </c>
      <c r="F236">
        <v>5</v>
      </c>
      <c r="G236">
        <v>5</v>
      </c>
      <c r="H236">
        <v>1</v>
      </c>
      <c r="I236">
        <v>1</v>
      </c>
      <c r="J236">
        <v>0</v>
      </c>
      <c r="K236">
        <v>0</v>
      </c>
      <c r="L236">
        <f>IF(AND(Table3[[#This Row],[Length]]&gt;=15, Table3[[#This Row],[Unique]]+Table3[[#This Row],[Randomize]]+J236+K236&gt;=2), 1, 0)</f>
        <v>0</v>
      </c>
    </row>
    <row r="237" spans="2:12" x14ac:dyDescent="0.3">
      <c r="B237">
        <f>Table3[[#This Row],[Alphabets]]+Table3[[#This Row],[Numbers]]+Table3[[#This Row],[Special Character]]</f>
        <v>14</v>
      </c>
      <c r="C237">
        <f>Table3[[#This Row],[Lowercase]]+Table3[[#This Row],[Uppercase]]</f>
        <v>7</v>
      </c>
      <c r="D237">
        <v>4</v>
      </c>
      <c r="E237">
        <v>1</v>
      </c>
      <c r="F237">
        <v>6</v>
      </c>
      <c r="G237">
        <v>3</v>
      </c>
      <c r="H237">
        <v>1</v>
      </c>
      <c r="I237">
        <v>1</v>
      </c>
      <c r="J237">
        <v>1</v>
      </c>
      <c r="K237">
        <v>0</v>
      </c>
      <c r="L237">
        <f>IF(AND(Table3[[#This Row],[Length]]&gt;=15, Table3[[#This Row],[Unique]]+Table3[[#This Row],[Randomize]]+J237+K237&gt;=2), 1, 0)</f>
        <v>0</v>
      </c>
    </row>
    <row r="238" spans="2:12" x14ac:dyDescent="0.3">
      <c r="B238">
        <f>Table3[[#This Row],[Alphabets]]+Table3[[#This Row],[Numbers]]+Table3[[#This Row],[Special Character]]</f>
        <v>7</v>
      </c>
      <c r="C238">
        <f>Table3[[#This Row],[Lowercase]]+Table3[[#This Row],[Uppercase]]</f>
        <v>2</v>
      </c>
      <c r="D238">
        <v>4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f>IF(AND(Table3[[#This Row],[Length]]&gt;=15, Table3[[#This Row],[Unique]]+Table3[[#This Row],[Randomize]]+J238+K238&gt;=2), 1, 0)</f>
        <v>0</v>
      </c>
    </row>
    <row r="239" spans="2:12" x14ac:dyDescent="0.3">
      <c r="B239">
        <f>Table3[[#This Row],[Alphabets]]+Table3[[#This Row],[Numbers]]+Table3[[#This Row],[Special Character]]</f>
        <v>15</v>
      </c>
      <c r="C239">
        <f>Table3[[#This Row],[Lowercase]]+Table3[[#This Row],[Uppercase]]</f>
        <v>5</v>
      </c>
      <c r="D239">
        <v>6</v>
      </c>
      <c r="E239">
        <v>5</v>
      </c>
      <c r="F239">
        <v>0</v>
      </c>
      <c r="G239">
        <v>4</v>
      </c>
      <c r="H239">
        <v>1</v>
      </c>
      <c r="I239">
        <v>1</v>
      </c>
      <c r="J239">
        <v>1</v>
      </c>
      <c r="K239">
        <v>0</v>
      </c>
      <c r="L239">
        <f>IF(AND(Table3[[#This Row],[Length]]&gt;=15, Table3[[#This Row],[Unique]]+Table3[[#This Row],[Randomize]]+J239+K239&gt;=2), 1, 0)</f>
        <v>1</v>
      </c>
    </row>
    <row r="240" spans="2:12" x14ac:dyDescent="0.3">
      <c r="B240">
        <f>Table3[[#This Row],[Alphabets]]+Table3[[#This Row],[Numbers]]+Table3[[#This Row],[Special Character]]</f>
        <v>21</v>
      </c>
      <c r="C240">
        <f>Table3[[#This Row],[Lowercase]]+Table3[[#This Row],[Uppercase]]</f>
        <v>15</v>
      </c>
      <c r="D240">
        <v>3</v>
      </c>
      <c r="E240">
        <v>9</v>
      </c>
      <c r="F240">
        <v>6</v>
      </c>
      <c r="G240">
        <v>3</v>
      </c>
      <c r="H240">
        <v>0</v>
      </c>
      <c r="I240">
        <v>1</v>
      </c>
      <c r="J240">
        <v>1</v>
      </c>
      <c r="K240">
        <v>0</v>
      </c>
      <c r="L240">
        <f>IF(AND(Table3[[#This Row],[Length]]&gt;=15, Table3[[#This Row],[Unique]]+Table3[[#This Row],[Randomize]]+J240+K240&gt;=2), 1, 0)</f>
        <v>1</v>
      </c>
    </row>
    <row r="241" spans="2:12" x14ac:dyDescent="0.3">
      <c r="B241">
        <f>Table3[[#This Row],[Alphabets]]+Table3[[#This Row],[Numbers]]+Table3[[#This Row],[Special Character]]</f>
        <v>20</v>
      </c>
      <c r="C241">
        <f>Table3[[#This Row],[Lowercase]]+Table3[[#This Row],[Uppercase]]</f>
        <v>8</v>
      </c>
      <c r="D241">
        <v>6</v>
      </c>
      <c r="E241">
        <v>7</v>
      </c>
      <c r="F241">
        <v>1</v>
      </c>
      <c r="G241">
        <v>6</v>
      </c>
      <c r="H241">
        <v>1</v>
      </c>
      <c r="I241">
        <v>1</v>
      </c>
      <c r="J241">
        <v>1</v>
      </c>
      <c r="K241">
        <v>0</v>
      </c>
      <c r="L241">
        <f>IF(AND(Table3[[#This Row],[Length]]&gt;=15, Table3[[#This Row],[Unique]]+Table3[[#This Row],[Randomize]]+J241+K241&gt;=2), 1, 0)</f>
        <v>1</v>
      </c>
    </row>
    <row r="242" spans="2:12" x14ac:dyDescent="0.3">
      <c r="B242">
        <f>Table3[[#This Row],[Alphabets]]+Table3[[#This Row],[Numbers]]+Table3[[#This Row],[Special Character]]</f>
        <v>24</v>
      </c>
      <c r="C242">
        <f>Table3[[#This Row],[Lowercase]]+Table3[[#This Row],[Uppercase]]</f>
        <v>16</v>
      </c>
      <c r="D242">
        <v>5</v>
      </c>
      <c r="E242">
        <v>6</v>
      </c>
      <c r="F242">
        <v>10</v>
      </c>
      <c r="G242">
        <v>3</v>
      </c>
      <c r="H242">
        <v>1</v>
      </c>
      <c r="I242">
        <v>1</v>
      </c>
      <c r="J242">
        <v>0</v>
      </c>
      <c r="K242">
        <v>0</v>
      </c>
      <c r="L242">
        <f>IF(AND(Table3[[#This Row],[Length]]&gt;=15, Table3[[#This Row],[Unique]]+Table3[[#This Row],[Randomize]]+J242+K242&gt;=2), 1, 0)</f>
        <v>1</v>
      </c>
    </row>
    <row r="243" spans="2:12" x14ac:dyDescent="0.3">
      <c r="B243">
        <f>Table3[[#This Row],[Alphabets]]+Table3[[#This Row],[Numbers]]+Table3[[#This Row],[Special Character]]</f>
        <v>11</v>
      </c>
      <c r="C243">
        <f>Table3[[#This Row],[Lowercase]]+Table3[[#This Row],[Uppercase]]</f>
        <v>5</v>
      </c>
      <c r="D243">
        <v>0</v>
      </c>
      <c r="E243">
        <v>3</v>
      </c>
      <c r="F243">
        <v>2</v>
      </c>
      <c r="G243">
        <v>6</v>
      </c>
      <c r="H243">
        <v>0</v>
      </c>
      <c r="I243">
        <v>1</v>
      </c>
      <c r="J243">
        <v>0</v>
      </c>
      <c r="K243">
        <v>0</v>
      </c>
      <c r="L243">
        <f>IF(AND(Table3[[#This Row],[Length]]&gt;=15, Table3[[#This Row],[Unique]]+Table3[[#This Row],[Randomize]]+J243+K243&gt;=2), 1, 0)</f>
        <v>0</v>
      </c>
    </row>
    <row r="244" spans="2:12" x14ac:dyDescent="0.3">
      <c r="B244">
        <f>Table3[[#This Row],[Alphabets]]+Table3[[#This Row],[Numbers]]+Table3[[#This Row],[Special Character]]</f>
        <v>22</v>
      </c>
      <c r="C244">
        <f>Table3[[#This Row],[Lowercase]]+Table3[[#This Row],[Uppercase]]</f>
        <v>11</v>
      </c>
      <c r="D244">
        <v>6</v>
      </c>
      <c r="E244">
        <v>10</v>
      </c>
      <c r="F244">
        <v>1</v>
      </c>
      <c r="G244">
        <v>5</v>
      </c>
      <c r="H244">
        <v>0</v>
      </c>
      <c r="I244">
        <v>1</v>
      </c>
      <c r="J244">
        <v>1</v>
      </c>
      <c r="K244">
        <v>0</v>
      </c>
      <c r="L244">
        <f>IF(AND(Table3[[#This Row],[Length]]&gt;=15, Table3[[#This Row],[Unique]]+Table3[[#This Row],[Randomize]]+J244+K244&gt;=2), 1, 0)</f>
        <v>1</v>
      </c>
    </row>
    <row r="245" spans="2:12" x14ac:dyDescent="0.3">
      <c r="B245">
        <f>Table3[[#This Row],[Alphabets]]+Table3[[#This Row],[Numbers]]+Table3[[#This Row],[Special Character]]</f>
        <v>16</v>
      </c>
      <c r="C245">
        <f>Table3[[#This Row],[Lowercase]]+Table3[[#This Row],[Uppercase]]</f>
        <v>4</v>
      </c>
      <c r="D245">
        <v>6</v>
      </c>
      <c r="E245">
        <v>0</v>
      </c>
      <c r="F245">
        <v>4</v>
      </c>
      <c r="G245">
        <v>6</v>
      </c>
      <c r="H245">
        <v>0</v>
      </c>
      <c r="I245">
        <v>1</v>
      </c>
      <c r="J245">
        <v>0</v>
      </c>
      <c r="K245">
        <v>1</v>
      </c>
      <c r="L245">
        <f>IF(AND(Table3[[#This Row],[Length]]&gt;=15, Table3[[#This Row],[Unique]]+Table3[[#This Row],[Randomize]]+J245+K245&gt;=2), 1, 0)</f>
        <v>1</v>
      </c>
    </row>
    <row r="246" spans="2:12" x14ac:dyDescent="0.3">
      <c r="B246">
        <f>Table3[[#This Row],[Alphabets]]+Table3[[#This Row],[Numbers]]+Table3[[#This Row],[Special Character]]</f>
        <v>14</v>
      </c>
      <c r="C246">
        <f>Table3[[#This Row],[Lowercase]]+Table3[[#This Row],[Uppercase]]</f>
        <v>5</v>
      </c>
      <c r="D246">
        <v>3</v>
      </c>
      <c r="E246">
        <v>2</v>
      </c>
      <c r="F246">
        <v>3</v>
      </c>
      <c r="G246">
        <v>6</v>
      </c>
      <c r="H246">
        <v>1</v>
      </c>
      <c r="I246">
        <v>1</v>
      </c>
      <c r="J246">
        <v>1</v>
      </c>
      <c r="K246">
        <v>0</v>
      </c>
      <c r="L246">
        <f>IF(AND(Table3[[#This Row],[Length]]&gt;=15, Table3[[#This Row],[Unique]]+Table3[[#This Row],[Randomize]]+J246+K246&gt;=2), 1, 0)</f>
        <v>0</v>
      </c>
    </row>
    <row r="247" spans="2:12" x14ac:dyDescent="0.3">
      <c r="B247">
        <f>Table3[[#This Row],[Alphabets]]+Table3[[#This Row],[Numbers]]+Table3[[#This Row],[Special Character]]</f>
        <v>18</v>
      </c>
      <c r="C247">
        <f>Table3[[#This Row],[Lowercase]]+Table3[[#This Row],[Uppercase]]</f>
        <v>12</v>
      </c>
      <c r="D247">
        <v>4</v>
      </c>
      <c r="E247">
        <v>8</v>
      </c>
      <c r="F247">
        <v>4</v>
      </c>
      <c r="G247">
        <v>2</v>
      </c>
      <c r="H247">
        <v>1</v>
      </c>
      <c r="I247">
        <v>1</v>
      </c>
      <c r="J247">
        <v>0</v>
      </c>
      <c r="K247">
        <v>0</v>
      </c>
      <c r="L247">
        <f>IF(AND(Table3[[#This Row],[Length]]&gt;=15, Table3[[#This Row],[Unique]]+Table3[[#This Row],[Randomize]]+J247+K247&gt;=2), 1, 0)</f>
        <v>1</v>
      </c>
    </row>
    <row r="248" spans="2:12" x14ac:dyDescent="0.3">
      <c r="B248">
        <f>Table3[[#This Row],[Alphabets]]+Table3[[#This Row],[Numbers]]+Table3[[#This Row],[Special Character]]</f>
        <v>13</v>
      </c>
      <c r="C248">
        <f>Table3[[#This Row],[Lowercase]]+Table3[[#This Row],[Uppercase]]</f>
        <v>11</v>
      </c>
      <c r="D248">
        <v>1</v>
      </c>
      <c r="E248">
        <v>8</v>
      </c>
      <c r="F248">
        <v>3</v>
      </c>
      <c r="G248">
        <v>1</v>
      </c>
      <c r="H248">
        <v>1</v>
      </c>
      <c r="I248">
        <v>1</v>
      </c>
      <c r="J248">
        <v>0</v>
      </c>
      <c r="K248">
        <v>1</v>
      </c>
      <c r="L248">
        <f>IF(AND(Table3[[#This Row],[Length]]&gt;=15, Table3[[#This Row],[Unique]]+Table3[[#This Row],[Randomize]]+J248+K248&gt;=2), 1, 0)</f>
        <v>0</v>
      </c>
    </row>
    <row r="249" spans="2:12" x14ac:dyDescent="0.3">
      <c r="B249">
        <f>Table3[[#This Row],[Alphabets]]+Table3[[#This Row],[Numbers]]+Table3[[#This Row],[Special Character]]</f>
        <v>31</v>
      </c>
      <c r="C249">
        <f>Table3[[#This Row],[Lowercase]]+Table3[[#This Row],[Uppercase]]</f>
        <v>18</v>
      </c>
      <c r="D249">
        <v>8</v>
      </c>
      <c r="E249">
        <v>10</v>
      </c>
      <c r="F249">
        <v>8</v>
      </c>
      <c r="G249">
        <v>5</v>
      </c>
      <c r="H249">
        <v>0</v>
      </c>
      <c r="I249">
        <v>1</v>
      </c>
      <c r="J249">
        <v>1</v>
      </c>
      <c r="K249">
        <v>1</v>
      </c>
      <c r="L249">
        <f>IF(AND(Table3[[#This Row],[Length]]&gt;=15, Table3[[#This Row],[Unique]]+Table3[[#This Row],[Randomize]]+J249+K249&gt;=2), 1, 0)</f>
        <v>1</v>
      </c>
    </row>
    <row r="250" spans="2:12" x14ac:dyDescent="0.3">
      <c r="B250">
        <f>Table3[[#This Row],[Alphabets]]+Table3[[#This Row],[Numbers]]+Table3[[#This Row],[Special Character]]</f>
        <v>17</v>
      </c>
      <c r="C250">
        <f>Table3[[#This Row],[Lowercase]]+Table3[[#This Row],[Uppercase]]</f>
        <v>10</v>
      </c>
      <c r="D250">
        <v>7</v>
      </c>
      <c r="E250">
        <v>1</v>
      </c>
      <c r="F250">
        <v>9</v>
      </c>
      <c r="G250">
        <v>0</v>
      </c>
      <c r="H250">
        <v>0</v>
      </c>
      <c r="I250">
        <v>1</v>
      </c>
      <c r="J250">
        <v>0</v>
      </c>
      <c r="K250">
        <v>1</v>
      </c>
      <c r="L250">
        <f>IF(AND(Table3[[#This Row],[Length]]&gt;=15, Table3[[#This Row],[Unique]]+Table3[[#This Row],[Randomize]]+J250+K250&gt;=2), 1, 0)</f>
        <v>1</v>
      </c>
    </row>
    <row r="251" spans="2:12" x14ac:dyDescent="0.3">
      <c r="B251">
        <f>Table3[[#This Row],[Alphabets]]+Table3[[#This Row],[Numbers]]+Table3[[#This Row],[Special Character]]</f>
        <v>13</v>
      </c>
      <c r="C251">
        <f>Table3[[#This Row],[Lowercase]]+Table3[[#This Row],[Uppercase]]</f>
        <v>6</v>
      </c>
      <c r="D251">
        <v>2</v>
      </c>
      <c r="E251">
        <v>1</v>
      </c>
      <c r="F251">
        <v>5</v>
      </c>
      <c r="G251">
        <v>5</v>
      </c>
      <c r="H251">
        <v>0</v>
      </c>
      <c r="I251">
        <v>1</v>
      </c>
      <c r="J251">
        <v>1</v>
      </c>
      <c r="K251">
        <v>1</v>
      </c>
      <c r="L251">
        <f>IF(AND(Table3[[#This Row],[Length]]&gt;=15, Table3[[#This Row],[Unique]]+Table3[[#This Row],[Randomize]]+J251+K251&gt;=2), 1, 0)</f>
        <v>0</v>
      </c>
    </row>
    <row r="252" spans="2:12" x14ac:dyDescent="0.3">
      <c r="B252">
        <f>Table3[[#This Row],[Alphabets]]+Table3[[#This Row],[Numbers]]+Table3[[#This Row],[Special Character]]</f>
        <v>23</v>
      </c>
      <c r="C252">
        <f>Table3[[#This Row],[Lowercase]]+Table3[[#This Row],[Uppercase]]</f>
        <v>11</v>
      </c>
      <c r="D252">
        <v>9</v>
      </c>
      <c r="E252">
        <v>10</v>
      </c>
      <c r="F252">
        <v>1</v>
      </c>
      <c r="G252">
        <v>3</v>
      </c>
      <c r="H252">
        <v>0</v>
      </c>
      <c r="I252">
        <v>1</v>
      </c>
      <c r="J252">
        <v>1</v>
      </c>
      <c r="K252">
        <v>1</v>
      </c>
      <c r="L252">
        <f>IF(AND(Table3[[#This Row],[Length]]&gt;=15, Table3[[#This Row],[Unique]]+Table3[[#This Row],[Randomize]]+J252+K252&gt;=2), 1, 0)</f>
        <v>1</v>
      </c>
    </row>
    <row r="253" spans="2:12" x14ac:dyDescent="0.3">
      <c r="B253">
        <f>Table3[[#This Row],[Alphabets]]+Table3[[#This Row],[Numbers]]+Table3[[#This Row],[Special Character]]</f>
        <v>19</v>
      </c>
      <c r="C253">
        <f>Table3[[#This Row],[Lowercase]]+Table3[[#This Row],[Uppercase]]</f>
        <v>6</v>
      </c>
      <c r="D253">
        <v>7</v>
      </c>
      <c r="E253">
        <v>4</v>
      </c>
      <c r="F253">
        <v>2</v>
      </c>
      <c r="G253">
        <v>6</v>
      </c>
      <c r="H253">
        <v>1</v>
      </c>
      <c r="I253">
        <v>1</v>
      </c>
      <c r="J253">
        <v>0</v>
      </c>
      <c r="K253">
        <v>0</v>
      </c>
      <c r="L253">
        <f>IF(AND(Table3[[#This Row],[Length]]&gt;=15, Table3[[#This Row],[Unique]]+Table3[[#This Row],[Randomize]]+J253+K253&gt;=2), 1, 0)</f>
        <v>1</v>
      </c>
    </row>
    <row r="254" spans="2:12" x14ac:dyDescent="0.3">
      <c r="B254">
        <f>Table3[[#This Row],[Alphabets]]+Table3[[#This Row],[Numbers]]+Table3[[#This Row],[Special Character]]</f>
        <v>12</v>
      </c>
      <c r="C254">
        <f>Table3[[#This Row],[Lowercase]]+Table3[[#This Row],[Uppercase]]</f>
        <v>11</v>
      </c>
      <c r="D254">
        <v>1</v>
      </c>
      <c r="E254">
        <v>9</v>
      </c>
      <c r="F254">
        <v>2</v>
      </c>
      <c r="G254">
        <v>0</v>
      </c>
      <c r="H254">
        <v>1</v>
      </c>
      <c r="I254">
        <v>1</v>
      </c>
      <c r="J254">
        <v>0</v>
      </c>
      <c r="K254">
        <v>0</v>
      </c>
      <c r="L254">
        <f>IF(AND(Table3[[#This Row],[Length]]&gt;=15, Table3[[#This Row],[Unique]]+Table3[[#This Row],[Randomize]]+J254+K254&gt;=2), 1, 0)</f>
        <v>0</v>
      </c>
    </row>
    <row r="255" spans="2:12" x14ac:dyDescent="0.3">
      <c r="B255">
        <f>Table3[[#This Row],[Alphabets]]+Table3[[#This Row],[Numbers]]+Table3[[#This Row],[Special Character]]</f>
        <v>17</v>
      </c>
      <c r="C255">
        <f>Table3[[#This Row],[Lowercase]]+Table3[[#This Row],[Uppercase]]</f>
        <v>8</v>
      </c>
      <c r="D255">
        <v>8</v>
      </c>
      <c r="E255">
        <v>1</v>
      </c>
      <c r="F255">
        <v>7</v>
      </c>
      <c r="G255">
        <v>1</v>
      </c>
      <c r="H255">
        <v>0</v>
      </c>
      <c r="I255">
        <v>1</v>
      </c>
      <c r="J255">
        <v>0</v>
      </c>
      <c r="K255">
        <v>0</v>
      </c>
      <c r="L255">
        <f>IF(AND(Table3[[#This Row],[Length]]&gt;=15, Table3[[#This Row],[Unique]]+Table3[[#This Row],[Randomize]]+J255+K255&gt;=2), 1, 0)</f>
        <v>0</v>
      </c>
    </row>
    <row r="256" spans="2:12" x14ac:dyDescent="0.3">
      <c r="B256">
        <f>Table3[[#This Row],[Alphabets]]+Table3[[#This Row],[Numbers]]+Table3[[#This Row],[Special Character]]</f>
        <v>27</v>
      </c>
      <c r="C256">
        <f>Table3[[#This Row],[Lowercase]]+Table3[[#This Row],[Uppercase]]</f>
        <v>18</v>
      </c>
      <c r="D256">
        <v>9</v>
      </c>
      <c r="E256">
        <v>10</v>
      </c>
      <c r="F256">
        <v>8</v>
      </c>
      <c r="G256">
        <v>0</v>
      </c>
      <c r="H256">
        <v>1</v>
      </c>
      <c r="I256">
        <v>1</v>
      </c>
      <c r="J256">
        <v>0</v>
      </c>
      <c r="K256">
        <v>0</v>
      </c>
      <c r="L256">
        <f>IF(AND(Table3[[#This Row],[Length]]&gt;=15, Table3[[#This Row],[Unique]]+Table3[[#This Row],[Randomize]]+J256+K256&gt;=2), 1, 0)</f>
        <v>1</v>
      </c>
    </row>
    <row r="257" spans="2:12" x14ac:dyDescent="0.3">
      <c r="B257">
        <f>Table3[[#This Row],[Alphabets]]+Table3[[#This Row],[Numbers]]+Table3[[#This Row],[Special Character]]</f>
        <v>9</v>
      </c>
      <c r="C257">
        <f>Table3[[#This Row],[Lowercase]]+Table3[[#This Row],[Uppercase]]</f>
        <v>4</v>
      </c>
      <c r="D257">
        <v>2</v>
      </c>
      <c r="E257">
        <v>0</v>
      </c>
      <c r="F257">
        <v>4</v>
      </c>
      <c r="G257">
        <v>3</v>
      </c>
      <c r="H257">
        <v>0</v>
      </c>
      <c r="I257">
        <v>1</v>
      </c>
      <c r="J257">
        <v>0</v>
      </c>
      <c r="K257">
        <v>1</v>
      </c>
      <c r="L257">
        <f>IF(AND(Table3[[#This Row],[Length]]&gt;=15, Table3[[#This Row],[Unique]]+Table3[[#This Row],[Randomize]]+J257+K257&gt;=2), 1, 0)</f>
        <v>0</v>
      </c>
    </row>
    <row r="258" spans="2:12" x14ac:dyDescent="0.3">
      <c r="B258">
        <f>Table3[[#This Row],[Alphabets]]+Table3[[#This Row],[Numbers]]+Table3[[#This Row],[Special Character]]</f>
        <v>13</v>
      </c>
      <c r="C258">
        <f>Table3[[#This Row],[Lowercase]]+Table3[[#This Row],[Uppercase]]</f>
        <v>6</v>
      </c>
      <c r="D258">
        <v>7</v>
      </c>
      <c r="E258">
        <v>4</v>
      </c>
      <c r="F258">
        <v>2</v>
      </c>
      <c r="G258">
        <v>0</v>
      </c>
      <c r="H258">
        <v>1</v>
      </c>
      <c r="I258">
        <v>1</v>
      </c>
      <c r="J258">
        <v>1</v>
      </c>
      <c r="K258">
        <v>1</v>
      </c>
      <c r="L258">
        <f>IF(AND(Table3[[#This Row],[Length]]&gt;=15, Table3[[#This Row],[Unique]]+Table3[[#This Row],[Randomize]]+J258+K258&gt;=2), 1, 0)</f>
        <v>0</v>
      </c>
    </row>
    <row r="259" spans="2:12" x14ac:dyDescent="0.3">
      <c r="B259">
        <f>Table3[[#This Row],[Alphabets]]+Table3[[#This Row],[Numbers]]+Table3[[#This Row],[Special Character]]</f>
        <v>17</v>
      </c>
      <c r="C259">
        <f>Table3[[#This Row],[Lowercase]]+Table3[[#This Row],[Uppercase]]</f>
        <v>11</v>
      </c>
      <c r="D259">
        <v>4</v>
      </c>
      <c r="E259">
        <v>8</v>
      </c>
      <c r="F259">
        <v>3</v>
      </c>
      <c r="G259">
        <v>2</v>
      </c>
      <c r="H259">
        <v>1</v>
      </c>
      <c r="I259">
        <v>1</v>
      </c>
      <c r="J259">
        <v>1</v>
      </c>
      <c r="K259">
        <v>0</v>
      </c>
      <c r="L259">
        <f>IF(AND(Table3[[#This Row],[Length]]&gt;=15, Table3[[#This Row],[Unique]]+Table3[[#This Row],[Randomize]]+J259+K259&gt;=2), 1, 0)</f>
        <v>1</v>
      </c>
    </row>
    <row r="260" spans="2:12" x14ac:dyDescent="0.3">
      <c r="B260">
        <f>Table3[[#This Row],[Alphabets]]+Table3[[#This Row],[Numbers]]+Table3[[#This Row],[Special Character]]</f>
        <v>13</v>
      </c>
      <c r="C260">
        <f>Table3[[#This Row],[Lowercase]]+Table3[[#This Row],[Uppercase]]</f>
        <v>12</v>
      </c>
      <c r="D260">
        <v>1</v>
      </c>
      <c r="E260">
        <v>3</v>
      </c>
      <c r="F260">
        <v>9</v>
      </c>
      <c r="G260">
        <v>0</v>
      </c>
      <c r="H260">
        <v>0</v>
      </c>
      <c r="I260">
        <v>1</v>
      </c>
      <c r="J260">
        <v>1</v>
      </c>
      <c r="K260">
        <v>1</v>
      </c>
      <c r="L260">
        <f>IF(AND(Table3[[#This Row],[Length]]&gt;=15, Table3[[#This Row],[Unique]]+Table3[[#This Row],[Randomize]]+J260+K260&gt;=2), 1, 0)</f>
        <v>0</v>
      </c>
    </row>
    <row r="261" spans="2:12" x14ac:dyDescent="0.3">
      <c r="B261">
        <f>Table3[[#This Row],[Alphabets]]+Table3[[#This Row],[Numbers]]+Table3[[#This Row],[Special Character]]</f>
        <v>14</v>
      </c>
      <c r="C261">
        <f>Table3[[#This Row],[Lowercase]]+Table3[[#This Row],[Uppercase]]</f>
        <v>2</v>
      </c>
      <c r="D261">
        <v>7</v>
      </c>
      <c r="E261">
        <v>1</v>
      </c>
      <c r="F261">
        <v>1</v>
      </c>
      <c r="G261">
        <v>5</v>
      </c>
      <c r="H261">
        <v>0</v>
      </c>
      <c r="I261">
        <v>1</v>
      </c>
      <c r="J261">
        <v>1</v>
      </c>
      <c r="K261">
        <v>1</v>
      </c>
      <c r="L261">
        <f>IF(AND(Table3[[#This Row],[Length]]&gt;=15, Table3[[#This Row],[Unique]]+Table3[[#This Row],[Randomize]]+J261+K261&gt;=2), 1, 0)</f>
        <v>0</v>
      </c>
    </row>
    <row r="262" spans="2:12" x14ac:dyDescent="0.3">
      <c r="B262">
        <f>Table3[[#This Row],[Alphabets]]+Table3[[#This Row],[Numbers]]+Table3[[#This Row],[Special Character]]</f>
        <v>13</v>
      </c>
      <c r="C262">
        <f>Table3[[#This Row],[Lowercase]]+Table3[[#This Row],[Uppercase]]</f>
        <v>0</v>
      </c>
      <c r="D262">
        <v>7</v>
      </c>
      <c r="E262">
        <v>0</v>
      </c>
      <c r="F262">
        <v>0</v>
      </c>
      <c r="G262">
        <v>6</v>
      </c>
      <c r="H262">
        <v>1</v>
      </c>
      <c r="I262">
        <v>1</v>
      </c>
      <c r="J262">
        <v>1</v>
      </c>
      <c r="K262">
        <v>0</v>
      </c>
      <c r="L262">
        <f>IF(AND(Table3[[#This Row],[Length]]&gt;=15, Table3[[#This Row],[Unique]]+Table3[[#This Row],[Randomize]]+J262+K262&gt;=2), 1, 0)</f>
        <v>0</v>
      </c>
    </row>
    <row r="263" spans="2:12" x14ac:dyDescent="0.3">
      <c r="B263">
        <f>Table3[[#This Row],[Alphabets]]+Table3[[#This Row],[Numbers]]+Table3[[#This Row],[Special Character]]</f>
        <v>18</v>
      </c>
      <c r="C263">
        <f>Table3[[#This Row],[Lowercase]]+Table3[[#This Row],[Uppercase]]</f>
        <v>12</v>
      </c>
      <c r="D263">
        <v>3</v>
      </c>
      <c r="E263">
        <v>10</v>
      </c>
      <c r="F263">
        <v>2</v>
      </c>
      <c r="G263">
        <v>3</v>
      </c>
      <c r="H263">
        <v>0</v>
      </c>
      <c r="I263">
        <v>1</v>
      </c>
      <c r="J263">
        <v>0</v>
      </c>
      <c r="K263">
        <v>1</v>
      </c>
      <c r="L263">
        <f>IF(AND(Table3[[#This Row],[Length]]&gt;=15, Table3[[#This Row],[Unique]]+Table3[[#This Row],[Randomize]]+J263+K263&gt;=2), 1, 0)</f>
        <v>1</v>
      </c>
    </row>
    <row r="264" spans="2:12" x14ac:dyDescent="0.3">
      <c r="B264">
        <f>Table3[[#This Row],[Alphabets]]+Table3[[#This Row],[Numbers]]+Table3[[#This Row],[Special Character]]</f>
        <v>12</v>
      </c>
      <c r="C264">
        <f>Table3[[#This Row],[Lowercase]]+Table3[[#This Row],[Uppercase]]</f>
        <v>4</v>
      </c>
      <c r="D264">
        <v>8</v>
      </c>
      <c r="E264">
        <v>0</v>
      </c>
      <c r="F264">
        <v>4</v>
      </c>
      <c r="G264">
        <v>0</v>
      </c>
      <c r="H264">
        <v>0</v>
      </c>
      <c r="I264">
        <v>1</v>
      </c>
      <c r="J264">
        <v>0</v>
      </c>
      <c r="K264">
        <v>1</v>
      </c>
      <c r="L264">
        <f>IF(AND(Table3[[#This Row],[Length]]&gt;=15, Table3[[#This Row],[Unique]]+Table3[[#This Row],[Randomize]]+J264+K264&gt;=2), 1, 0)</f>
        <v>0</v>
      </c>
    </row>
    <row r="265" spans="2:12" x14ac:dyDescent="0.3">
      <c r="B265">
        <f>Table3[[#This Row],[Alphabets]]+Table3[[#This Row],[Numbers]]+Table3[[#This Row],[Special Character]]</f>
        <v>16</v>
      </c>
      <c r="C265">
        <f>Table3[[#This Row],[Lowercase]]+Table3[[#This Row],[Uppercase]]</f>
        <v>12</v>
      </c>
      <c r="D265">
        <v>2</v>
      </c>
      <c r="E265">
        <v>2</v>
      </c>
      <c r="F265">
        <v>10</v>
      </c>
      <c r="G265">
        <v>2</v>
      </c>
      <c r="H265">
        <v>0</v>
      </c>
      <c r="I265">
        <v>1</v>
      </c>
      <c r="J265">
        <v>0</v>
      </c>
      <c r="K265">
        <v>0</v>
      </c>
      <c r="L265">
        <f>IF(AND(Table3[[#This Row],[Length]]&gt;=15, Table3[[#This Row],[Unique]]+Table3[[#This Row],[Randomize]]+J265+K265&gt;=2), 1, 0)</f>
        <v>0</v>
      </c>
    </row>
    <row r="266" spans="2:12" x14ac:dyDescent="0.3">
      <c r="B266">
        <f>Table3[[#This Row],[Alphabets]]+Table3[[#This Row],[Numbers]]+Table3[[#This Row],[Special Character]]</f>
        <v>19</v>
      </c>
      <c r="C266">
        <f>Table3[[#This Row],[Lowercase]]+Table3[[#This Row],[Uppercase]]</f>
        <v>9</v>
      </c>
      <c r="D266">
        <v>9</v>
      </c>
      <c r="E266">
        <v>5</v>
      </c>
      <c r="F266">
        <v>4</v>
      </c>
      <c r="G266">
        <v>1</v>
      </c>
      <c r="H266">
        <v>1</v>
      </c>
      <c r="I266">
        <v>1</v>
      </c>
      <c r="J266">
        <v>1</v>
      </c>
      <c r="K266">
        <v>1</v>
      </c>
      <c r="L266">
        <f>IF(AND(Table3[[#This Row],[Length]]&gt;=15, Table3[[#This Row],[Unique]]+Table3[[#This Row],[Randomize]]+J266+K266&gt;=2), 1, 0)</f>
        <v>1</v>
      </c>
    </row>
    <row r="267" spans="2:12" x14ac:dyDescent="0.3">
      <c r="B267">
        <f>Table3[[#This Row],[Alphabets]]+Table3[[#This Row],[Numbers]]+Table3[[#This Row],[Special Character]]</f>
        <v>8</v>
      </c>
      <c r="C267">
        <f>Table3[[#This Row],[Lowercase]]+Table3[[#This Row],[Uppercase]]</f>
        <v>3</v>
      </c>
      <c r="D267">
        <v>4</v>
      </c>
      <c r="E267">
        <v>3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1</v>
      </c>
      <c r="L267">
        <f>IF(AND(Table3[[#This Row],[Length]]&gt;=15, Table3[[#This Row],[Unique]]+Table3[[#This Row],[Randomize]]+J267+K267&gt;=2), 1, 0)</f>
        <v>0</v>
      </c>
    </row>
    <row r="268" spans="2:12" x14ac:dyDescent="0.3">
      <c r="B268">
        <f>Table3[[#This Row],[Alphabets]]+Table3[[#This Row],[Numbers]]+Table3[[#This Row],[Special Character]]</f>
        <v>15</v>
      </c>
      <c r="C268">
        <f>Table3[[#This Row],[Lowercase]]+Table3[[#This Row],[Uppercase]]</f>
        <v>8</v>
      </c>
      <c r="D268">
        <v>1</v>
      </c>
      <c r="E268">
        <v>1</v>
      </c>
      <c r="F268">
        <v>7</v>
      </c>
      <c r="G268">
        <v>6</v>
      </c>
      <c r="H268">
        <v>1</v>
      </c>
      <c r="I268">
        <v>1</v>
      </c>
      <c r="J268">
        <v>0</v>
      </c>
      <c r="K268">
        <v>1</v>
      </c>
      <c r="L268">
        <f>IF(AND(Table3[[#This Row],[Length]]&gt;=15, Table3[[#This Row],[Unique]]+Table3[[#This Row],[Randomize]]+J268+K268&gt;=2), 1, 0)</f>
        <v>1</v>
      </c>
    </row>
    <row r="269" spans="2:12" x14ac:dyDescent="0.3">
      <c r="B269">
        <f>Table3[[#This Row],[Alphabets]]+Table3[[#This Row],[Numbers]]+Table3[[#This Row],[Special Character]]</f>
        <v>9</v>
      </c>
      <c r="C269">
        <f>Table3[[#This Row],[Lowercase]]+Table3[[#This Row],[Uppercase]]</f>
        <v>4</v>
      </c>
      <c r="D269">
        <v>4</v>
      </c>
      <c r="E269">
        <v>0</v>
      </c>
      <c r="F269">
        <v>4</v>
      </c>
      <c r="G269">
        <v>1</v>
      </c>
      <c r="H269">
        <v>1</v>
      </c>
      <c r="I269">
        <v>1</v>
      </c>
      <c r="J269">
        <v>1</v>
      </c>
      <c r="K269">
        <v>1</v>
      </c>
      <c r="L269">
        <f>IF(AND(Table3[[#This Row],[Length]]&gt;=15, Table3[[#This Row],[Unique]]+Table3[[#This Row],[Randomize]]+J269+K269&gt;=2), 1, 0)</f>
        <v>0</v>
      </c>
    </row>
    <row r="270" spans="2:12" x14ac:dyDescent="0.3">
      <c r="B270">
        <f>Table3[[#This Row],[Alphabets]]+Table3[[#This Row],[Numbers]]+Table3[[#This Row],[Special Character]]</f>
        <v>12</v>
      </c>
      <c r="C270">
        <f>Table3[[#This Row],[Lowercase]]+Table3[[#This Row],[Uppercase]]</f>
        <v>6</v>
      </c>
      <c r="D270">
        <v>3</v>
      </c>
      <c r="E270">
        <v>3</v>
      </c>
      <c r="F270">
        <v>3</v>
      </c>
      <c r="G270">
        <v>3</v>
      </c>
      <c r="H270">
        <v>1</v>
      </c>
      <c r="I270">
        <v>1</v>
      </c>
      <c r="J270">
        <v>1</v>
      </c>
      <c r="K270">
        <v>0</v>
      </c>
      <c r="L270">
        <f>IF(AND(Table3[[#This Row],[Length]]&gt;=15, Table3[[#This Row],[Unique]]+Table3[[#This Row],[Randomize]]+J270+K270&gt;=2), 1, 0)</f>
        <v>0</v>
      </c>
    </row>
    <row r="271" spans="2:12" x14ac:dyDescent="0.3">
      <c r="B271">
        <f>Table3[[#This Row],[Alphabets]]+Table3[[#This Row],[Numbers]]+Table3[[#This Row],[Special Character]]</f>
        <v>20</v>
      </c>
      <c r="C271">
        <f>Table3[[#This Row],[Lowercase]]+Table3[[#This Row],[Uppercase]]</f>
        <v>12</v>
      </c>
      <c r="D271">
        <v>8</v>
      </c>
      <c r="E271">
        <v>10</v>
      </c>
      <c r="F271">
        <v>2</v>
      </c>
      <c r="G271">
        <v>0</v>
      </c>
      <c r="H271">
        <v>1</v>
      </c>
      <c r="I271">
        <v>1</v>
      </c>
      <c r="J271">
        <v>0</v>
      </c>
      <c r="K271">
        <v>1</v>
      </c>
      <c r="L271">
        <f>IF(AND(Table3[[#This Row],[Length]]&gt;=15, Table3[[#This Row],[Unique]]+Table3[[#This Row],[Randomize]]+J271+K271&gt;=2), 1, 0)</f>
        <v>1</v>
      </c>
    </row>
    <row r="272" spans="2:12" x14ac:dyDescent="0.3">
      <c r="B272">
        <f>Table3[[#This Row],[Alphabets]]+Table3[[#This Row],[Numbers]]+Table3[[#This Row],[Special Character]]</f>
        <v>15</v>
      </c>
      <c r="C272">
        <f>Table3[[#This Row],[Lowercase]]+Table3[[#This Row],[Uppercase]]</f>
        <v>8</v>
      </c>
      <c r="D272">
        <v>6</v>
      </c>
      <c r="E272">
        <v>1</v>
      </c>
      <c r="F272">
        <v>7</v>
      </c>
      <c r="G272">
        <v>1</v>
      </c>
      <c r="H272">
        <v>0</v>
      </c>
      <c r="I272">
        <v>1</v>
      </c>
      <c r="J272">
        <v>1</v>
      </c>
      <c r="K272">
        <v>0</v>
      </c>
      <c r="L272">
        <f>IF(AND(Table3[[#This Row],[Length]]&gt;=15, Table3[[#This Row],[Unique]]+Table3[[#This Row],[Randomize]]+J272+K272&gt;=2), 1, 0)</f>
        <v>1</v>
      </c>
    </row>
    <row r="273" spans="2:12" x14ac:dyDescent="0.3">
      <c r="B273">
        <f>Table3[[#This Row],[Alphabets]]+Table3[[#This Row],[Numbers]]+Table3[[#This Row],[Special Character]]</f>
        <v>11</v>
      </c>
      <c r="C273">
        <f>Table3[[#This Row],[Lowercase]]+Table3[[#This Row],[Uppercase]]</f>
        <v>5</v>
      </c>
      <c r="D273">
        <v>4</v>
      </c>
      <c r="E273">
        <v>5</v>
      </c>
      <c r="F273">
        <v>0</v>
      </c>
      <c r="G273">
        <v>2</v>
      </c>
      <c r="H273">
        <v>0</v>
      </c>
      <c r="I273">
        <v>1</v>
      </c>
      <c r="J273">
        <v>1</v>
      </c>
      <c r="K273">
        <v>0</v>
      </c>
      <c r="L273">
        <f>IF(AND(Table3[[#This Row],[Length]]&gt;=15, Table3[[#This Row],[Unique]]+Table3[[#This Row],[Randomize]]+J273+K273&gt;=2), 1, 0)</f>
        <v>0</v>
      </c>
    </row>
    <row r="274" spans="2:12" x14ac:dyDescent="0.3">
      <c r="B274">
        <f>Table3[[#This Row],[Alphabets]]+Table3[[#This Row],[Numbers]]+Table3[[#This Row],[Special Character]]</f>
        <v>21</v>
      </c>
      <c r="C274">
        <f>Table3[[#This Row],[Lowercase]]+Table3[[#This Row],[Uppercase]]</f>
        <v>8</v>
      </c>
      <c r="D274">
        <v>9</v>
      </c>
      <c r="E274">
        <v>6</v>
      </c>
      <c r="F274">
        <v>2</v>
      </c>
      <c r="G274">
        <v>4</v>
      </c>
      <c r="H274">
        <v>1</v>
      </c>
      <c r="I274">
        <v>1</v>
      </c>
      <c r="J274">
        <v>1</v>
      </c>
      <c r="K274">
        <v>1</v>
      </c>
      <c r="L274">
        <f>IF(AND(Table3[[#This Row],[Length]]&gt;=15, Table3[[#This Row],[Unique]]+Table3[[#This Row],[Randomize]]+J274+K274&gt;=2), 1, 0)</f>
        <v>1</v>
      </c>
    </row>
    <row r="275" spans="2:12" x14ac:dyDescent="0.3">
      <c r="B275">
        <f>Table3[[#This Row],[Alphabets]]+Table3[[#This Row],[Numbers]]+Table3[[#This Row],[Special Character]]</f>
        <v>22</v>
      </c>
      <c r="C275">
        <f>Table3[[#This Row],[Lowercase]]+Table3[[#This Row],[Uppercase]]</f>
        <v>10</v>
      </c>
      <c r="D275">
        <v>9</v>
      </c>
      <c r="E275">
        <v>0</v>
      </c>
      <c r="F275">
        <v>10</v>
      </c>
      <c r="G275">
        <v>3</v>
      </c>
      <c r="H275">
        <v>1</v>
      </c>
      <c r="I275">
        <v>1</v>
      </c>
      <c r="J275">
        <v>0</v>
      </c>
      <c r="K275">
        <v>1</v>
      </c>
      <c r="L275">
        <f>IF(AND(Table3[[#This Row],[Length]]&gt;=15, Table3[[#This Row],[Unique]]+Table3[[#This Row],[Randomize]]+J275+K275&gt;=2), 1, 0)</f>
        <v>1</v>
      </c>
    </row>
    <row r="276" spans="2:12" x14ac:dyDescent="0.3">
      <c r="B276">
        <f>Table3[[#This Row],[Alphabets]]+Table3[[#This Row],[Numbers]]+Table3[[#This Row],[Special Character]]</f>
        <v>8</v>
      </c>
      <c r="C276">
        <f>Table3[[#This Row],[Lowercase]]+Table3[[#This Row],[Uppercase]]</f>
        <v>6</v>
      </c>
      <c r="D276">
        <v>1</v>
      </c>
      <c r="E276">
        <v>6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1</v>
      </c>
      <c r="L276">
        <f>IF(AND(Table3[[#This Row],[Length]]&gt;=15, Table3[[#This Row],[Unique]]+Table3[[#This Row],[Randomize]]+J276+K276&gt;=2), 1, 0)</f>
        <v>0</v>
      </c>
    </row>
    <row r="277" spans="2:12" x14ac:dyDescent="0.3">
      <c r="B277">
        <f>Table3[[#This Row],[Alphabets]]+Table3[[#This Row],[Numbers]]+Table3[[#This Row],[Special Character]]</f>
        <v>22</v>
      </c>
      <c r="C277">
        <f>Table3[[#This Row],[Lowercase]]+Table3[[#This Row],[Uppercase]]</f>
        <v>16</v>
      </c>
      <c r="D277">
        <v>1</v>
      </c>
      <c r="E277">
        <v>10</v>
      </c>
      <c r="F277">
        <v>6</v>
      </c>
      <c r="G277">
        <v>5</v>
      </c>
      <c r="H277">
        <v>0</v>
      </c>
      <c r="I277">
        <v>1</v>
      </c>
      <c r="J277">
        <v>1</v>
      </c>
      <c r="K277">
        <v>0</v>
      </c>
      <c r="L277">
        <f>IF(AND(Table3[[#This Row],[Length]]&gt;=15, Table3[[#This Row],[Unique]]+Table3[[#This Row],[Randomize]]+J277+K277&gt;=2), 1, 0)</f>
        <v>1</v>
      </c>
    </row>
    <row r="278" spans="2:12" x14ac:dyDescent="0.3">
      <c r="B278">
        <f>Table3[[#This Row],[Alphabets]]+Table3[[#This Row],[Numbers]]+Table3[[#This Row],[Special Character]]</f>
        <v>21</v>
      </c>
      <c r="C278">
        <f>Table3[[#This Row],[Lowercase]]+Table3[[#This Row],[Uppercase]]</f>
        <v>9</v>
      </c>
      <c r="D278">
        <v>6</v>
      </c>
      <c r="E278">
        <v>4</v>
      </c>
      <c r="F278">
        <v>5</v>
      </c>
      <c r="G278">
        <v>6</v>
      </c>
      <c r="H278">
        <v>0</v>
      </c>
      <c r="I278">
        <v>1</v>
      </c>
      <c r="J278">
        <v>0</v>
      </c>
      <c r="K278">
        <v>0</v>
      </c>
      <c r="L278">
        <f>IF(AND(Table3[[#This Row],[Length]]&gt;=15, Table3[[#This Row],[Unique]]+Table3[[#This Row],[Randomize]]+J278+K278&gt;=2), 1, 0)</f>
        <v>0</v>
      </c>
    </row>
    <row r="279" spans="2:12" x14ac:dyDescent="0.3">
      <c r="B279">
        <f>Table3[[#This Row],[Alphabets]]+Table3[[#This Row],[Numbers]]+Table3[[#This Row],[Special Character]]</f>
        <v>27</v>
      </c>
      <c r="C279">
        <f>Table3[[#This Row],[Lowercase]]+Table3[[#This Row],[Uppercase]]</f>
        <v>19</v>
      </c>
      <c r="D279">
        <v>2</v>
      </c>
      <c r="E279">
        <v>10</v>
      </c>
      <c r="F279">
        <v>9</v>
      </c>
      <c r="G279">
        <v>6</v>
      </c>
      <c r="H279">
        <v>0</v>
      </c>
      <c r="I279">
        <v>1</v>
      </c>
      <c r="J279">
        <v>1</v>
      </c>
      <c r="K279">
        <v>0</v>
      </c>
      <c r="L279">
        <f>IF(AND(Table3[[#This Row],[Length]]&gt;=15, Table3[[#This Row],[Unique]]+Table3[[#This Row],[Randomize]]+J279+K279&gt;=2), 1, 0)</f>
        <v>1</v>
      </c>
    </row>
    <row r="280" spans="2:12" x14ac:dyDescent="0.3">
      <c r="B280">
        <f>Table3[[#This Row],[Alphabets]]+Table3[[#This Row],[Numbers]]+Table3[[#This Row],[Special Character]]</f>
        <v>26</v>
      </c>
      <c r="C280">
        <f>Table3[[#This Row],[Lowercase]]+Table3[[#This Row],[Uppercase]]</f>
        <v>16</v>
      </c>
      <c r="D280">
        <v>9</v>
      </c>
      <c r="E280">
        <v>9</v>
      </c>
      <c r="F280">
        <v>7</v>
      </c>
      <c r="G280">
        <v>1</v>
      </c>
      <c r="H280">
        <v>0</v>
      </c>
      <c r="I280">
        <v>1</v>
      </c>
      <c r="J280">
        <v>1</v>
      </c>
      <c r="K280">
        <v>1</v>
      </c>
      <c r="L280">
        <f>IF(AND(Table3[[#This Row],[Length]]&gt;=15, Table3[[#This Row],[Unique]]+Table3[[#This Row],[Randomize]]+J280+K280&gt;=2), 1, 0)</f>
        <v>1</v>
      </c>
    </row>
    <row r="281" spans="2:12" x14ac:dyDescent="0.3">
      <c r="B281">
        <f>Table3[[#This Row],[Alphabets]]+Table3[[#This Row],[Numbers]]+Table3[[#This Row],[Special Character]]</f>
        <v>12</v>
      </c>
      <c r="C281">
        <f>Table3[[#This Row],[Lowercase]]+Table3[[#This Row],[Uppercase]]</f>
        <v>10</v>
      </c>
      <c r="D281">
        <v>2</v>
      </c>
      <c r="E281">
        <v>7</v>
      </c>
      <c r="F281">
        <v>3</v>
      </c>
      <c r="G281">
        <v>0</v>
      </c>
      <c r="H281">
        <v>0</v>
      </c>
      <c r="I281">
        <v>1</v>
      </c>
      <c r="J281">
        <v>1</v>
      </c>
      <c r="K281">
        <v>0</v>
      </c>
      <c r="L281">
        <f>IF(AND(Table3[[#This Row],[Length]]&gt;=15, Table3[[#This Row],[Unique]]+Table3[[#This Row],[Randomize]]+J281+K281&gt;=2), 1, 0)</f>
        <v>0</v>
      </c>
    </row>
    <row r="282" spans="2:12" x14ac:dyDescent="0.3">
      <c r="B282">
        <f>Table3[[#This Row],[Alphabets]]+Table3[[#This Row],[Numbers]]+Table3[[#This Row],[Special Character]]</f>
        <v>24</v>
      </c>
      <c r="C282">
        <f>Table3[[#This Row],[Lowercase]]+Table3[[#This Row],[Uppercase]]</f>
        <v>16</v>
      </c>
      <c r="D282">
        <v>5</v>
      </c>
      <c r="E282">
        <v>9</v>
      </c>
      <c r="F282">
        <v>7</v>
      </c>
      <c r="G282">
        <v>3</v>
      </c>
      <c r="H282">
        <v>1</v>
      </c>
      <c r="I282">
        <v>1</v>
      </c>
      <c r="J282">
        <v>1</v>
      </c>
      <c r="K282">
        <v>1</v>
      </c>
      <c r="L282">
        <f>IF(AND(Table3[[#This Row],[Length]]&gt;=15, Table3[[#This Row],[Unique]]+Table3[[#This Row],[Randomize]]+J282+K282&gt;=2), 1, 0)</f>
        <v>1</v>
      </c>
    </row>
    <row r="283" spans="2:12" x14ac:dyDescent="0.3">
      <c r="B283">
        <f>Table3[[#This Row],[Alphabets]]+Table3[[#This Row],[Numbers]]+Table3[[#This Row],[Special Character]]</f>
        <v>14</v>
      </c>
      <c r="C283">
        <f>Table3[[#This Row],[Lowercase]]+Table3[[#This Row],[Uppercase]]</f>
        <v>9</v>
      </c>
      <c r="D283">
        <v>5</v>
      </c>
      <c r="E283">
        <v>1</v>
      </c>
      <c r="F283">
        <v>8</v>
      </c>
      <c r="G283">
        <v>0</v>
      </c>
      <c r="H283">
        <v>1</v>
      </c>
      <c r="I283">
        <v>1</v>
      </c>
      <c r="J283">
        <v>0</v>
      </c>
      <c r="K283">
        <v>0</v>
      </c>
      <c r="L283">
        <f>IF(AND(Table3[[#This Row],[Length]]&gt;=15, Table3[[#This Row],[Unique]]+Table3[[#This Row],[Randomize]]+J283+K283&gt;=2), 1, 0)</f>
        <v>0</v>
      </c>
    </row>
    <row r="284" spans="2:12" x14ac:dyDescent="0.3">
      <c r="B284">
        <f>Table3[[#This Row],[Alphabets]]+Table3[[#This Row],[Numbers]]+Table3[[#This Row],[Special Character]]</f>
        <v>9</v>
      </c>
      <c r="C284">
        <f>Table3[[#This Row],[Lowercase]]+Table3[[#This Row],[Uppercase]]</f>
        <v>3</v>
      </c>
      <c r="D284">
        <v>5</v>
      </c>
      <c r="E284">
        <v>1</v>
      </c>
      <c r="F284">
        <v>2</v>
      </c>
      <c r="G284">
        <v>1</v>
      </c>
      <c r="H284">
        <v>1</v>
      </c>
      <c r="I284">
        <v>1</v>
      </c>
      <c r="J284">
        <v>0</v>
      </c>
      <c r="K284">
        <v>1</v>
      </c>
      <c r="L284">
        <f>IF(AND(Table3[[#This Row],[Length]]&gt;=15, Table3[[#This Row],[Unique]]+Table3[[#This Row],[Randomize]]+J284+K284&gt;=2), 1, 0)</f>
        <v>0</v>
      </c>
    </row>
    <row r="285" spans="2:12" x14ac:dyDescent="0.3">
      <c r="B285">
        <f>Table3[[#This Row],[Alphabets]]+Table3[[#This Row],[Numbers]]+Table3[[#This Row],[Special Character]]</f>
        <v>16</v>
      </c>
      <c r="C285">
        <f>Table3[[#This Row],[Lowercase]]+Table3[[#This Row],[Uppercase]]</f>
        <v>10</v>
      </c>
      <c r="D285">
        <v>3</v>
      </c>
      <c r="E285">
        <v>6</v>
      </c>
      <c r="F285">
        <v>4</v>
      </c>
      <c r="G285">
        <v>3</v>
      </c>
      <c r="H285">
        <v>1</v>
      </c>
      <c r="I285">
        <v>1</v>
      </c>
      <c r="J285">
        <v>0</v>
      </c>
      <c r="K285">
        <v>1</v>
      </c>
      <c r="L285">
        <f>IF(AND(Table3[[#This Row],[Length]]&gt;=15, Table3[[#This Row],[Unique]]+Table3[[#This Row],[Randomize]]+J285+K285&gt;=2), 1, 0)</f>
        <v>1</v>
      </c>
    </row>
    <row r="286" spans="2:12" x14ac:dyDescent="0.3">
      <c r="B286">
        <f>Table3[[#This Row],[Alphabets]]+Table3[[#This Row],[Numbers]]+Table3[[#This Row],[Special Character]]</f>
        <v>22</v>
      </c>
      <c r="C286">
        <f>Table3[[#This Row],[Lowercase]]+Table3[[#This Row],[Uppercase]]</f>
        <v>8</v>
      </c>
      <c r="D286">
        <v>9</v>
      </c>
      <c r="E286">
        <v>2</v>
      </c>
      <c r="F286">
        <v>6</v>
      </c>
      <c r="G286">
        <v>5</v>
      </c>
      <c r="H286">
        <v>0</v>
      </c>
      <c r="I286">
        <v>1</v>
      </c>
      <c r="J286">
        <v>1</v>
      </c>
      <c r="K286">
        <v>0</v>
      </c>
      <c r="L286">
        <f>IF(AND(Table3[[#This Row],[Length]]&gt;=15, Table3[[#This Row],[Unique]]+Table3[[#This Row],[Randomize]]+J286+K286&gt;=2), 1, 0)</f>
        <v>1</v>
      </c>
    </row>
    <row r="287" spans="2:12" x14ac:dyDescent="0.3">
      <c r="B287">
        <f>Table3[[#This Row],[Alphabets]]+Table3[[#This Row],[Numbers]]+Table3[[#This Row],[Special Character]]</f>
        <v>14</v>
      </c>
      <c r="C287">
        <f>Table3[[#This Row],[Lowercase]]+Table3[[#This Row],[Uppercase]]</f>
        <v>5</v>
      </c>
      <c r="D287">
        <v>5</v>
      </c>
      <c r="E287">
        <v>0</v>
      </c>
      <c r="F287">
        <v>5</v>
      </c>
      <c r="G287">
        <v>4</v>
      </c>
      <c r="H287">
        <v>0</v>
      </c>
      <c r="I287">
        <v>1</v>
      </c>
      <c r="J287">
        <v>1</v>
      </c>
      <c r="K287">
        <v>1</v>
      </c>
      <c r="L287">
        <f>IF(AND(Table3[[#This Row],[Length]]&gt;=15, Table3[[#This Row],[Unique]]+Table3[[#This Row],[Randomize]]+J287+K287&gt;=2), 1, 0)</f>
        <v>0</v>
      </c>
    </row>
    <row r="288" spans="2:12" x14ac:dyDescent="0.3">
      <c r="B288">
        <f>Table3[[#This Row],[Alphabets]]+Table3[[#This Row],[Numbers]]+Table3[[#This Row],[Special Character]]</f>
        <v>14</v>
      </c>
      <c r="C288">
        <f>Table3[[#This Row],[Lowercase]]+Table3[[#This Row],[Uppercase]]</f>
        <v>2</v>
      </c>
      <c r="D288">
        <v>7</v>
      </c>
      <c r="E288">
        <v>0</v>
      </c>
      <c r="F288">
        <v>2</v>
      </c>
      <c r="G288">
        <v>5</v>
      </c>
      <c r="H288">
        <v>0</v>
      </c>
      <c r="I288">
        <v>1</v>
      </c>
      <c r="J288">
        <v>0</v>
      </c>
      <c r="K288">
        <v>0</v>
      </c>
      <c r="L288">
        <f>IF(AND(Table3[[#This Row],[Length]]&gt;=15, Table3[[#This Row],[Unique]]+Table3[[#This Row],[Randomize]]+J288+K288&gt;=2), 1, 0)</f>
        <v>0</v>
      </c>
    </row>
    <row r="289" spans="2:12" x14ac:dyDescent="0.3">
      <c r="B289">
        <f>Table3[[#This Row],[Alphabets]]+Table3[[#This Row],[Numbers]]+Table3[[#This Row],[Special Character]]</f>
        <v>21</v>
      </c>
      <c r="C289">
        <f>Table3[[#This Row],[Lowercase]]+Table3[[#This Row],[Uppercase]]</f>
        <v>11</v>
      </c>
      <c r="D289">
        <v>7</v>
      </c>
      <c r="E289">
        <v>6</v>
      </c>
      <c r="F289">
        <v>5</v>
      </c>
      <c r="G289">
        <v>3</v>
      </c>
      <c r="H289">
        <v>0</v>
      </c>
      <c r="I289">
        <v>1</v>
      </c>
      <c r="J289">
        <v>0</v>
      </c>
      <c r="K289">
        <v>1</v>
      </c>
      <c r="L289">
        <f>IF(AND(Table3[[#This Row],[Length]]&gt;=15, Table3[[#This Row],[Unique]]+Table3[[#This Row],[Randomize]]+J289+K289&gt;=2), 1, 0)</f>
        <v>1</v>
      </c>
    </row>
    <row r="290" spans="2:12" x14ac:dyDescent="0.3">
      <c r="B290">
        <f>Table3[[#This Row],[Alphabets]]+Table3[[#This Row],[Numbers]]+Table3[[#This Row],[Special Character]]</f>
        <v>18</v>
      </c>
      <c r="C290">
        <f>Table3[[#This Row],[Lowercase]]+Table3[[#This Row],[Uppercase]]</f>
        <v>14</v>
      </c>
      <c r="D290">
        <v>0</v>
      </c>
      <c r="E290">
        <v>7</v>
      </c>
      <c r="F290">
        <v>7</v>
      </c>
      <c r="G290">
        <v>4</v>
      </c>
      <c r="H290">
        <v>0</v>
      </c>
      <c r="I290">
        <v>1</v>
      </c>
      <c r="J290">
        <v>1</v>
      </c>
      <c r="K290">
        <v>0</v>
      </c>
      <c r="L290">
        <f>IF(AND(Table3[[#This Row],[Length]]&gt;=15, Table3[[#This Row],[Unique]]+Table3[[#This Row],[Randomize]]+J290+K290&gt;=2), 1, 0)</f>
        <v>1</v>
      </c>
    </row>
    <row r="291" spans="2:12" x14ac:dyDescent="0.3">
      <c r="B291">
        <f>Table3[[#This Row],[Alphabets]]+Table3[[#This Row],[Numbers]]+Table3[[#This Row],[Special Character]]</f>
        <v>19</v>
      </c>
      <c r="C291">
        <f>Table3[[#This Row],[Lowercase]]+Table3[[#This Row],[Uppercase]]</f>
        <v>15</v>
      </c>
      <c r="D291">
        <v>2</v>
      </c>
      <c r="E291">
        <v>5</v>
      </c>
      <c r="F291">
        <v>10</v>
      </c>
      <c r="G291">
        <v>2</v>
      </c>
      <c r="H291">
        <v>0</v>
      </c>
      <c r="I291">
        <v>1</v>
      </c>
      <c r="J291">
        <v>1</v>
      </c>
      <c r="K291">
        <v>0</v>
      </c>
      <c r="L291">
        <f>IF(AND(Table3[[#This Row],[Length]]&gt;=15, Table3[[#This Row],[Unique]]+Table3[[#This Row],[Randomize]]+J291+K291&gt;=2), 1, 0)</f>
        <v>1</v>
      </c>
    </row>
    <row r="292" spans="2:12" x14ac:dyDescent="0.3">
      <c r="B292">
        <f>Table3[[#This Row],[Alphabets]]+Table3[[#This Row],[Numbers]]+Table3[[#This Row],[Special Character]]</f>
        <v>15</v>
      </c>
      <c r="C292">
        <f>Table3[[#This Row],[Lowercase]]+Table3[[#This Row],[Uppercase]]</f>
        <v>9</v>
      </c>
      <c r="D292">
        <v>2</v>
      </c>
      <c r="E292">
        <v>1</v>
      </c>
      <c r="F292">
        <v>8</v>
      </c>
      <c r="G292">
        <v>4</v>
      </c>
      <c r="H292">
        <v>1</v>
      </c>
      <c r="I292">
        <v>1</v>
      </c>
      <c r="J292">
        <v>0</v>
      </c>
      <c r="K292">
        <v>1</v>
      </c>
      <c r="L292">
        <f>IF(AND(Table3[[#This Row],[Length]]&gt;=15, Table3[[#This Row],[Unique]]+Table3[[#This Row],[Randomize]]+J292+K292&gt;=2), 1, 0)</f>
        <v>1</v>
      </c>
    </row>
    <row r="293" spans="2:12" x14ac:dyDescent="0.3">
      <c r="B293">
        <f>Table3[[#This Row],[Alphabets]]+Table3[[#This Row],[Numbers]]+Table3[[#This Row],[Special Character]]</f>
        <v>5</v>
      </c>
      <c r="C293">
        <f>Table3[[#This Row],[Lowercase]]+Table3[[#This Row],[Uppercase]]</f>
        <v>4</v>
      </c>
      <c r="D293">
        <v>0</v>
      </c>
      <c r="E293">
        <v>2</v>
      </c>
      <c r="F293">
        <v>2</v>
      </c>
      <c r="G293">
        <v>1</v>
      </c>
      <c r="H293">
        <v>0</v>
      </c>
      <c r="I293">
        <v>1</v>
      </c>
      <c r="J293">
        <v>0</v>
      </c>
      <c r="K293">
        <v>1</v>
      </c>
      <c r="L293">
        <f>IF(AND(Table3[[#This Row],[Length]]&gt;=15, Table3[[#This Row],[Unique]]+Table3[[#This Row],[Randomize]]+J293+K293&gt;=2), 1, 0)</f>
        <v>0</v>
      </c>
    </row>
    <row r="294" spans="2:12" x14ac:dyDescent="0.3">
      <c r="B294">
        <f>Table3[[#This Row],[Alphabets]]+Table3[[#This Row],[Numbers]]+Table3[[#This Row],[Special Character]]</f>
        <v>21</v>
      </c>
      <c r="C294">
        <f>Table3[[#This Row],[Lowercase]]+Table3[[#This Row],[Uppercase]]</f>
        <v>13</v>
      </c>
      <c r="D294">
        <v>3</v>
      </c>
      <c r="E294">
        <v>10</v>
      </c>
      <c r="F294">
        <v>3</v>
      </c>
      <c r="G294">
        <v>5</v>
      </c>
      <c r="H294">
        <v>1</v>
      </c>
      <c r="I294">
        <v>1</v>
      </c>
      <c r="J294">
        <v>1</v>
      </c>
      <c r="K294">
        <v>0</v>
      </c>
      <c r="L294">
        <f>IF(AND(Table3[[#This Row],[Length]]&gt;=15, Table3[[#This Row],[Unique]]+Table3[[#This Row],[Randomize]]+J294+K294&gt;=2), 1, 0)</f>
        <v>1</v>
      </c>
    </row>
    <row r="295" spans="2:12" x14ac:dyDescent="0.3">
      <c r="B295">
        <f>Table3[[#This Row],[Alphabets]]+Table3[[#This Row],[Numbers]]+Table3[[#This Row],[Special Character]]</f>
        <v>14</v>
      </c>
      <c r="C295">
        <f>Table3[[#This Row],[Lowercase]]+Table3[[#This Row],[Uppercase]]</f>
        <v>4</v>
      </c>
      <c r="D295">
        <v>8</v>
      </c>
      <c r="E295">
        <v>2</v>
      </c>
      <c r="F295">
        <v>2</v>
      </c>
      <c r="G295">
        <v>2</v>
      </c>
      <c r="H295">
        <v>1</v>
      </c>
      <c r="I295">
        <v>1</v>
      </c>
      <c r="J295">
        <v>0</v>
      </c>
      <c r="K295">
        <v>1</v>
      </c>
      <c r="L295">
        <f>IF(AND(Table3[[#This Row],[Length]]&gt;=15, Table3[[#This Row],[Unique]]+Table3[[#This Row],[Randomize]]+J295+K295&gt;=2), 1, 0)</f>
        <v>0</v>
      </c>
    </row>
    <row r="296" spans="2:12" x14ac:dyDescent="0.3">
      <c r="B296">
        <f>Table3[[#This Row],[Alphabets]]+Table3[[#This Row],[Numbers]]+Table3[[#This Row],[Special Character]]</f>
        <v>15</v>
      </c>
      <c r="C296">
        <f>Table3[[#This Row],[Lowercase]]+Table3[[#This Row],[Uppercase]]</f>
        <v>7</v>
      </c>
      <c r="D296">
        <v>4</v>
      </c>
      <c r="E296">
        <v>4</v>
      </c>
      <c r="F296">
        <v>3</v>
      </c>
      <c r="G296">
        <v>4</v>
      </c>
      <c r="H296">
        <v>1</v>
      </c>
      <c r="I296">
        <v>1</v>
      </c>
      <c r="J296">
        <v>1</v>
      </c>
      <c r="K296">
        <v>1</v>
      </c>
      <c r="L296">
        <f>IF(AND(Table3[[#This Row],[Length]]&gt;=15, Table3[[#This Row],[Unique]]+Table3[[#This Row],[Randomize]]+J296+K296&gt;=2), 1, 0)</f>
        <v>1</v>
      </c>
    </row>
    <row r="297" spans="2:12" x14ac:dyDescent="0.3">
      <c r="B297">
        <f>Table3[[#This Row],[Alphabets]]+Table3[[#This Row],[Numbers]]+Table3[[#This Row],[Special Character]]</f>
        <v>25</v>
      </c>
      <c r="C297">
        <f>Table3[[#This Row],[Lowercase]]+Table3[[#This Row],[Uppercase]]</f>
        <v>11</v>
      </c>
      <c r="D297">
        <v>8</v>
      </c>
      <c r="E297">
        <v>7</v>
      </c>
      <c r="F297">
        <v>4</v>
      </c>
      <c r="G297">
        <v>6</v>
      </c>
      <c r="H297">
        <v>1</v>
      </c>
      <c r="I297">
        <v>1</v>
      </c>
      <c r="J297">
        <v>1</v>
      </c>
      <c r="K297">
        <v>1</v>
      </c>
      <c r="L297">
        <f>IF(AND(Table3[[#This Row],[Length]]&gt;=15, Table3[[#This Row],[Unique]]+Table3[[#This Row],[Randomize]]+J297+K297&gt;=2), 1, 0)</f>
        <v>1</v>
      </c>
    </row>
    <row r="298" spans="2:12" x14ac:dyDescent="0.3">
      <c r="B298">
        <f>Table3[[#This Row],[Alphabets]]+Table3[[#This Row],[Numbers]]+Table3[[#This Row],[Special Character]]</f>
        <v>24</v>
      </c>
      <c r="C298">
        <f>Table3[[#This Row],[Lowercase]]+Table3[[#This Row],[Uppercase]]</f>
        <v>10</v>
      </c>
      <c r="D298">
        <v>9</v>
      </c>
      <c r="E298">
        <v>9</v>
      </c>
      <c r="F298">
        <v>1</v>
      </c>
      <c r="G298">
        <v>5</v>
      </c>
      <c r="H298">
        <v>1</v>
      </c>
      <c r="I298">
        <v>1</v>
      </c>
      <c r="J298">
        <v>0</v>
      </c>
      <c r="K298">
        <v>1</v>
      </c>
      <c r="L298">
        <f>IF(AND(Table3[[#This Row],[Length]]&gt;=15, Table3[[#This Row],[Unique]]+Table3[[#This Row],[Randomize]]+J298+K298&gt;=2), 1, 0)</f>
        <v>1</v>
      </c>
    </row>
    <row r="299" spans="2:12" x14ac:dyDescent="0.3">
      <c r="B299">
        <f>Table3[[#This Row],[Alphabets]]+Table3[[#This Row],[Numbers]]+Table3[[#This Row],[Special Character]]</f>
        <v>19</v>
      </c>
      <c r="C299">
        <f>Table3[[#This Row],[Lowercase]]+Table3[[#This Row],[Uppercase]]</f>
        <v>17</v>
      </c>
      <c r="D299">
        <v>2</v>
      </c>
      <c r="E299">
        <v>9</v>
      </c>
      <c r="F299">
        <v>8</v>
      </c>
      <c r="G299">
        <v>0</v>
      </c>
      <c r="H299">
        <v>1</v>
      </c>
      <c r="I299">
        <v>1</v>
      </c>
      <c r="J299">
        <v>0</v>
      </c>
      <c r="K299">
        <v>1</v>
      </c>
      <c r="L299">
        <f>IF(AND(Table3[[#This Row],[Length]]&gt;=15, Table3[[#This Row],[Unique]]+Table3[[#This Row],[Randomize]]+J299+K299&gt;=2), 1, 0)</f>
        <v>1</v>
      </c>
    </row>
    <row r="300" spans="2:12" x14ac:dyDescent="0.3">
      <c r="B300">
        <f>Table3[[#This Row],[Alphabets]]+Table3[[#This Row],[Numbers]]+Table3[[#This Row],[Special Character]]</f>
        <v>13</v>
      </c>
      <c r="C300">
        <f>Table3[[#This Row],[Lowercase]]+Table3[[#This Row],[Uppercase]]</f>
        <v>3</v>
      </c>
      <c r="D300">
        <v>6</v>
      </c>
      <c r="E300">
        <v>1</v>
      </c>
      <c r="F300">
        <v>2</v>
      </c>
      <c r="G300">
        <v>4</v>
      </c>
      <c r="H300">
        <v>0</v>
      </c>
      <c r="I300">
        <v>1</v>
      </c>
      <c r="J300">
        <v>0</v>
      </c>
      <c r="K300">
        <v>0</v>
      </c>
      <c r="L300">
        <f>IF(AND(Table3[[#This Row],[Length]]&gt;=15, Table3[[#This Row],[Unique]]+Table3[[#This Row],[Randomize]]+J300+K300&gt;=2), 1, 0)</f>
        <v>0</v>
      </c>
    </row>
    <row r="301" spans="2:12" x14ac:dyDescent="0.3">
      <c r="B301">
        <f>Table3[[#This Row],[Alphabets]]+Table3[[#This Row],[Numbers]]+Table3[[#This Row],[Special Character]]</f>
        <v>14</v>
      </c>
      <c r="C301">
        <f>Table3[[#This Row],[Lowercase]]+Table3[[#This Row],[Uppercase]]</f>
        <v>12</v>
      </c>
      <c r="D301">
        <v>2</v>
      </c>
      <c r="E301">
        <v>2</v>
      </c>
      <c r="F301">
        <v>10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f>IF(AND(Table3[[#This Row],[Length]]&gt;=15, Table3[[#This Row],[Unique]]+Table3[[#This Row],[Randomize]]+J301+K301&gt;=2), 1, 0)</f>
        <v>0</v>
      </c>
    </row>
    <row r="302" spans="2:12" x14ac:dyDescent="0.3">
      <c r="B302">
        <f>Table3[[#This Row],[Alphabets]]+Table3[[#This Row],[Numbers]]+Table3[[#This Row],[Special Character]]</f>
        <v>23</v>
      </c>
      <c r="C302">
        <f>Table3[[#This Row],[Lowercase]]+Table3[[#This Row],[Uppercase]]</f>
        <v>13</v>
      </c>
      <c r="D302">
        <v>4</v>
      </c>
      <c r="E302">
        <v>7</v>
      </c>
      <c r="F302">
        <v>6</v>
      </c>
      <c r="G302">
        <v>6</v>
      </c>
      <c r="H302">
        <v>0</v>
      </c>
      <c r="I302">
        <v>1</v>
      </c>
      <c r="J302">
        <v>0</v>
      </c>
      <c r="K302">
        <v>0</v>
      </c>
      <c r="L302">
        <f>IF(AND(Table3[[#This Row],[Length]]&gt;=15, Table3[[#This Row],[Unique]]+Table3[[#This Row],[Randomize]]+J302+K302&gt;=2), 1, 0)</f>
        <v>0</v>
      </c>
    </row>
    <row r="303" spans="2:12" x14ac:dyDescent="0.3">
      <c r="B303">
        <f>Table3[[#This Row],[Alphabets]]+Table3[[#This Row],[Numbers]]+Table3[[#This Row],[Special Character]]</f>
        <v>16</v>
      </c>
      <c r="C303">
        <f>Table3[[#This Row],[Lowercase]]+Table3[[#This Row],[Uppercase]]</f>
        <v>10</v>
      </c>
      <c r="D303">
        <v>6</v>
      </c>
      <c r="E303">
        <v>3</v>
      </c>
      <c r="F303">
        <v>7</v>
      </c>
      <c r="G303">
        <v>0</v>
      </c>
      <c r="H303">
        <v>0</v>
      </c>
      <c r="I303">
        <v>1</v>
      </c>
      <c r="J303">
        <v>0</v>
      </c>
      <c r="K303">
        <v>0</v>
      </c>
      <c r="L303">
        <f>IF(AND(Table3[[#This Row],[Length]]&gt;=15, Table3[[#This Row],[Unique]]+Table3[[#This Row],[Randomize]]+J303+K303&gt;=2), 1, 0)</f>
        <v>0</v>
      </c>
    </row>
    <row r="304" spans="2:12" x14ac:dyDescent="0.3">
      <c r="B304">
        <f>Table3[[#This Row],[Alphabets]]+Table3[[#This Row],[Numbers]]+Table3[[#This Row],[Special Character]]</f>
        <v>24</v>
      </c>
      <c r="C304">
        <f>Table3[[#This Row],[Lowercase]]+Table3[[#This Row],[Uppercase]]</f>
        <v>19</v>
      </c>
      <c r="D304">
        <v>2</v>
      </c>
      <c r="E304">
        <v>9</v>
      </c>
      <c r="F304">
        <v>10</v>
      </c>
      <c r="G304">
        <v>3</v>
      </c>
      <c r="H304">
        <v>0</v>
      </c>
      <c r="I304">
        <v>1</v>
      </c>
      <c r="J304">
        <v>1</v>
      </c>
      <c r="K304">
        <v>1</v>
      </c>
      <c r="L304">
        <f>IF(AND(Table3[[#This Row],[Length]]&gt;=15, Table3[[#This Row],[Unique]]+Table3[[#This Row],[Randomize]]+J304+K304&gt;=2), 1, 0)</f>
        <v>1</v>
      </c>
    </row>
    <row r="305" spans="2:12" x14ac:dyDescent="0.3">
      <c r="B305">
        <f>Table3[[#This Row],[Alphabets]]+Table3[[#This Row],[Numbers]]+Table3[[#This Row],[Special Character]]</f>
        <v>27</v>
      </c>
      <c r="C305">
        <f>Table3[[#This Row],[Lowercase]]+Table3[[#This Row],[Uppercase]]</f>
        <v>18</v>
      </c>
      <c r="D305">
        <v>5</v>
      </c>
      <c r="E305">
        <v>10</v>
      </c>
      <c r="F305">
        <v>8</v>
      </c>
      <c r="G305">
        <v>4</v>
      </c>
      <c r="H305">
        <v>1</v>
      </c>
      <c r="I305">
        <v>1</v>
      </c>
      <c r="J305">
        <v>1</v>
      </c>
      <c r="K305">
        <v>1</v>
      </c>
      <c r="L305">
        <f>IF(AND(Table3[[#This Row],[Length]]&gt;=15, Table3[[#This Row],[Unique]]+Table3[[#This Row],[Randomize]]+J305+K305&gt;=2), 1, 0)</f>
        <v>1</v>
      </c>
    </row>
    <row r="306" spans="2:12" x14ac:dyDescent="0.3">
      <c r="B306">
        <f>Table3[[#This Row],[Alphabets]]+Table3[[#This Row],[Numbers]]+Table3[[#This Row],[Special Character]]</f>
        <v>19</v>
      </c>
      <c r="C306">
        <f>Table3[[#This Row],[Lowercase]]+Table3[[#This Row],[Uppercase]]</f>
        <v>13</v>
      </c>
      <c r="D306">
        <v>0</v>
      </c>
      <c r="E306">
        <v>8</v>
      </c>
      <c r="F306">
        <v>5</v>
      </c>
      <c r="G306">
        <v>6</v>
      </c>
      <c r="H306">
        <v>0</v>
      </c>
      <c r="I306">
        <v>1</v>
      </c>
      <c r="J306">
        <v>1</v>
      </c>
      <c r="K306">
        <v>1</v>
      </c>
      <c r="L306">
        <f>IF(AND(Table3[[#This Row],[Length]]&gt;=15, Table3[[#This Row],[Unique]]+Table3[[#This Row],[Randomize]]+J306+K306&gt;=2), 1, 0)</f>
        <v>1</v>
      </c>
    </row>
    <row r="307" spans="2:12" x14ac:dyDescent="0.3">
      <c r="B307">
        <f>Table3[[#This Row],[Alphabets]]+Table3[[#This Row],[Numbers]]+Table3[[#This Row],[Special Character]]</f>
        <v>7</v>
      </c>
      <c r="C307">
        <f>Table3[[#This Row],[Lowercase]]+Table3[[#This Row],[Uppercase]]</f>
        <v>6</v>
      </c>
      <c r="D307">
        <v>0</v>
      </c>
      <c r="E307">
        <v>1</v>
      </c>
      <c r="F307">
        <v>5</v>
      </c>
      <c r="G307">
        <v>1</v>
      </c>
      <c r="H307">
        <v>1</v>
      </c>
      <c r="I307">
        <v>1</v>
      </c>
      <c r="J307">
        <v>0</v>
      </c>
      <c r="K307">
        <v>0</v>
      </c>
      <c r="L307">
        <f>IF(AND(Table3[[#This Row],[Length]]&gt;=15, Table3[[#This Row],[Unique]]+Table3[[#This Row],[Randomize]]+J307+K307&gt;=2), 1, 0)</f>
        <v>0</v>
      </c>
    </row>
    <row r="308" spans="2:12" x14ac:dyDescent="0.3">
      <c r="B308">
        <f>Table3[[#This Row],[Alphabets]]+Table3[[#This Row],[Numbers]]+Table3[[#This Row],[Special Character]]</f>
        <v>20</v>
      </c>
      <c r="C308">
        <f>Table3[[#This Row],[Lowercase]]+Table3[[#This Row],[Uppercase]]</f>
        <v>7</v>
      </c>
      <c r="D308">
        <v>7</v>
      </c>
      <c r="E308">
        <v>5</v>
      </c>
      <c r="F308">
        <v>2</v>
      </c>
      <c r="G308">
        <v>6</v>
      </c>
      <c r="H308">
        <v>0</v>
      </c>
      <c r="I308">
        <v>1</v>
      </c>
      <c r="J308">
        <v>1</v>
      </c>
      <c r="K308">
        <v>0</v>
      </c>
      <c r="L308">
        <f>IF(AND(Table3[[#This Row],[Length]]&gt;=15, Table3[[#This Row],[Unique]]+Table3[[#This Row],[Randomize]]+J308+K308&gt;=2), 1, 0)</f>
        <v>1</v>
      </c>
    </row>
    <row r="309" spans="2:12" x14ac:dyDescent="0.3">
      <c r="B309">
        <f>Table3[[#This Row],[Alphabets]]+Table3[[#This Row],[Numbers]]+Table3[[#This Row],[Special Character]]</f>
        <v>22</v>
      </c>
      <c r="C309">
        <f>Table3[[#This Row],[Lowercase]]+Table3[[#This Row],[Uppercase]]</f>
        <v>17</v>
      </c>
      <c r="D309">
        <v>2</v>
      </c>
      <c r="E309">
        <v>9</v>
      </c>
      <c r="F309">
        <v>8</v>
      </c>
      <c r="G309">
        <v>3</v>
      </c>
      <c r="H309">
        <v>1</v>
      </c>
      <c r="I309">
        <v>1</v>
      </c>
      <c r="J309">
        <v>1</v>
      </c>
      <c r="K309">
        <v>0</v>
      </c>
      <c r="L309">
        <f>IF(AND(Table3[[#This Row],[Length]]&gt;=15, Table3[[#This Row],[Unique]]+Table3[[#This Row],[Randomize]]+J309+K309&gt;=2), 1, 0)</f>
        <v>1</v>
      </c>
    </row>
    <row r="310" spans="2:12" x14ac:dyDescent="0.3">
      <c r="B310">
        <f>Table3[[#This Row],[Alphabets]]+Table3[[#This Row],[Numbers]]+Table3[[#This Row],[Special Character]]</f>
        <v>10</v>
      </c>
      <c r="C310">
        <f>Table3[[#This Row],[Lowercase]]+Table3[[#This Row],[Uppercase]]</f>
        <v>5</v>
      </c>
      <c r="D310">
        <v>2</v>
      </c>
      <c r="E310">
        <v>1</v>
      </c>
      <c r="F310">
        <v>4</v>
      </c>
      <c r="G310">
        <v>3</v>
      </c>
      <c r="H310">
        <v>1</v>
      </c>
      <c r="I310">
        <v>1</v>
      </c>
      <c r="J310">
        <v>0</v>
      </c>
      <c r="K310">
        <v>1</v>
      </c>
      <c r="L310">
        <f>IF(AND(Table3[[#This Row],[Length]]&gt;=15, Table3[[#This Row],[Unique]]+Table3[[#This Row],[Randomize]]+J310+K310&gt;=2), 1, 0)</f>
        <v>0</v>
      </c>
    </row>
    <row r="311" spans="2:12" x14ac:dyDescent="0.3">
      <c r="B311">
        <f>Table3[[#This Row],[Alphabets]]+Table3[[#This Row],[Numbers]]+Table3[[#This Row],[Special Character]]</f>
        <v>17</v>
      </c>
      <c r="C311">
        <f>Table3[[#This Row],[Lowercase]]+Table3[[#This Row],[Uppercase]]</f>
        <v>8</v>
      </c>
      <c r="D311">
        <v>5</v>
      </c>
      <c r="E311">
        <v>1</v>
      </c>
      <c r="F311">
        <v>7</v>
      </c>
      <c r="G311">
        <v>4</v>
      </c>
      <c r="H311">
        <v>0</v>
      </c>
      <c r="I311">
        <v>1</v>
      </c>
      <c r="J311">
        <v>1</v>
      </c>
      <c r="K311">
        <v>0</v>
      </c>
      <c r="L311">
        <f>IF(AND(Table3[[#This Row],[Length]]&gt;=15, Table3[[#This Row],[Unique]]+Table3[[#This Row],[Randomize]]+J311+K311&gt;=2), 1, 0)</f>
        <v>1</v>
      </c>
    </row>
    <row r="312" spans="2:12" x14ac:dyDescent="0.3">
      <c r="B312">
        <f>Table3[[#This Row],[Alphabets]]+Table3[[#This Row],[Numbers]]+Table3[[#This Row],[Special Character]]</f>
        <v>11</v>
      </c>
      <c r="C312">
        <f>Table3[[#This Row],[Lowercase]]+Table3[[#This Row],[Uppercase]]</f>
        <v>1</v>
      </c>
      <c r="D312">
        <v>9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1</v>
      </c>
      <c r="L312">
        <f>IF(AND(Table3[[#This Row],[Length]]&gt;=15, Table3[[#This Row],[Unique]]+Table3[[#This Row],[Randomize]]+J312+K312&gt;=2), 1, 0)</f>
        <v>0</v>
      </c>
    </row>
    <row r="313" spans="2:12" x14ac:dyDescent="0.3">
      <c r="B313">
        <f>Table3[[#This Row],[Alphabets]]+Table3[[#This Row],[Numbers]]+Table3[[#This Row],[Special Character]]</f>
        <v>14</v>
      </c>
      <c r="C313">
        <f>Table3[[#This Row],[Lowercase]]+Table3[[#This Row],[Uppercase]]</f>
        <v>8</v>
      </c>
      <c r="D313">
        <v>6</v>
      </c>
      <c r="E313">
        <v>2</v>
      </c>
      <c r="F313">
        <v>6</v>
      </c>
      <c r="G313">
        <v>0</v>
      </c>
      <c r="H313">
        <v>0</v>
      </c>
      <c r="I313">
        <v>1</v>
      </c>
      <c r="J313">
        <v>0</v>
      </c>
      <c r="K313">
        <v>0</v>
      </c>
      <c r="L313">
        <f>IF(AND(Table3[[#This Row],[Length]]&gt;=15, Table3[[#This Row],[Unique]]+Table3[[#This Row],[Randomize]]+J313+K313&gt;=2), 1, 0)</f>
        <v>0</v>
      </c>
    </row>
    <row r="314" spans="2:12" x14ac:dyDescent="0.3">
      <c r="B314">
        <f>Table3[[#This Row],[Alphabets]]+Table3[[#This Row],[Numbers]]+Table3[[#This Row],[Special Character]]</f>
        <v>11</v>
      </c>
      <c r="C314">
        <f>Table3[[#This Row],[Lowercase]]+Table3[[#This Row],[Uppercase]]</f>
        <v>4</v>
      </c>
      <c r="D314">
        <v>7</v>
      </c>
      <c r="E314">
        <v>3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0</v>
      </c>
      <c r="L314">
        <f>IF(AND(Table3[[#This Row],[Length]]&gt;=15, Table3[[#This Row],[Unique]]+Table3[[#This Row],[Randomize]]+J314+K314&gt;=2), 1, 0)</f>
        <v>0</v>
      </c>
    </row>
    <row r="315" spans="2:12" x14ac:dyDescent="0.3">
      <c r="B315">
        <f>Table3[[#This Row],[Alphabets]]+Table3[[#This Row],[Numbers]]+Table3[[#This Row],[Special Character]]</f>
        <v>26</v>
      </c>
      <c r="C315">
        <f>Table3[[#This Row],[Lowercase]]+Table3[[#This Row],[Uppercase]]</f>
        <v>13</v>
      </c>
      <c r="D315">
        <v>9</v>
      </c>
      <c r="E315">
        <v>3</v>
      </c>
      <c r="F315">
        <v>10</v>
      </c>
      <c r="G315">
        <v>4</v>
      </c>
      <c r="H315">
        <v>1</v>
      </c>
      <c r="I315">
        <v>1</v>
      </c>
      <c r="J315">
        <v>1</v>
      </c>
      <c r="K315">
        <v>0</v>
      </c>
      <c r="L315">
        <f>IF(AND(Table3[[#This Row],[Length]]&gt;=15, Table3[[#This Row],[Unique]]+Table3[[#This Row],[Randomize]]+J315+K315&gt;=2), 1, 0)</f>
        <v>1</v>
      </c>
    </row>
    <row r="316" spans="2:12" x14ac:dyDescent="0.3">
      <c r="B316">
        <f>Table3[[#This Row],[Alphabets]]+Table3[[#This Row],[Numbers]]+Table3[[#This Row],[Special Character]]</f>
        <v>16</v>
      </c>
      <c r="C316">
        <f>Table3[[#This Row],[Lowercase]]+Table3[[#This Row],[Uppercase]]</f>
        <v>11</v>
      </c>
      <c r="D316">
        <v>5</v>
      </c>
      <c r="E316">
        <v>1</v>
      </c>
      <c r="F316">
        <v>10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f>IF(AND(Table3[[#This Row],[Length]]&gt;=15, Table3[[#This Row],[Unique]]+Table3[[#This Row],[Randomize]]+J316+K316&gt;=2), 1, 0)</f>
        <v>0</v>
      </c>
    </row>
    <row r="317" spans="2:12" x14ac:dyDescent="0.3">
      <c r="B317">
        <f>Table3[[#This Row],[Alphabets]]+Table3[[#This Row],[Numbers]]+Table3[[#This Row],[Special Character]]</f>
        <v>28</v>
      </c>
      <c r="C317">
        <f>Table3[[#This Row],[Lowercase]]+Table3[[#This Row],[Uppercase]]</f>
        <v>17</v>
      </c>
      <c r="D317">
        <v>5</v>
      </c>
      <c r="E317">
        <v>10</v>
      </c>
      <c r="F317">
        <v>7</v>
      </c>
      <c r="G317">
        <v>6</v>
      </c>
      <c r="H317">
        <v>1</v>
      </c>
      <c r="I317">
        <v>1</v>
      </c>
      <c r="J317">
        <v>1</v>
      </c>
      <c r="K317">
        <v>0</v>
      </c>
      <c r="L317">
        <f>IF(AND(Table3[[#This Row],[Length]]&gt;=15, Table3[[#This Row],[Unique]]+Table3[[#This Row],[Randomize]]+J317+K317&gt;=2), 1, 0)</f>
        <v>1</v>
      </c>
    </row>
    <row r="318" spans="2:12" x14ac:dyDescent="0.3">
      <c r="B318">
        <f>Table3[[#This Row],[Alphabets]]+Table3[[#This Row],[Numbers]]+Table3[[#This Row],[Special Character]]</f>
        <v>18</v>
      </c>
      <c r="C318">
        <f>Table3[[#This Row],[Lowercase]]+Table3[[#This Row],[Uppercase]]</f>
        <v>14</v>
      </c>
      <c r="D318">
        <v>1</v>
      </c>
      <c r="E318">
        <v>5</v>
      </c>
      <c r="F318">
        <v>9</v>
      </c>
      <c r="G318">
        <v>3</v>
      </c>
      <c r="H318">
        <v>0</v>
      </c>
      <c r="I318">
        <v>1</v>
      </c>
      <c r="J318">
        <v>1</v>
      </c>
      <c r="K318">
        <v>0</v>
      </c>
      <c r="L318">
        <f>IF(AND(Table3[[#This Row],[Length]]&gt;=15, Table3[[#This Row],[Unique]]+Table3[[#This Row],[Randomize]]+J318+K318&gt;=2), 1, 0)</f>
        <v>1</v>
      </c>
    </row>
    <row r="319" spans="2:12" x14ac:dyDescent="0.3">
      <c r="B319">
        <f>Table3[[#This Row],[Alphabets]]+Table3[[#This Row],[Numbers]]+Table3[[#This Row],[Special Character]]</f>
        <v>25</v>
      </c>
      <c r="C319">
        <f>Table3[[#This Row],[Lowercase]]+Table3[[#This Row],[Uppercase]]</f>
        <v>17</v>
      </c>
      <c r="D319">
        <v>3</v>
      </c>
      <c r="E319">
        <v>10</v>
      </c>
      <c r="F319">
        <v>7</v>
      </c>
      <c r="G319">
        <v>5</v>
      </c>
      <c r="H319">
        <v>0</v>
      </c>
      <c r="I319">
        <v>1</v>
      </c>
      <c r="J319">
        <v>1</v>
      </c>
      <c r="K319">
        <v>1</v>
      </c>
      <c r="L319">
        <f>IF(AND(Table3[[#This Row],[Length]]&gt;=15, Table3[[#This Row],[Unique]]+Table3[[#This Row],[Randomize]]+J319+K319&gt;=2), 1, 0)</f>
        <v>1</v>
      </c>
    </row>
    <row r="320" spans="2:12" x14ac:dyDescent="0.3">
      <c r="B320">
        <f>Table3[[#This Row],[Alphabets]]+Table3[[#This Row],[Numbers]]+Table3[[#This Row],[Special Character]]</f>
        <v>9</v>
      </c>
      <c r="C320">
        <f>Table3[[#This Row],[Lowercase]]+Table3[[#This Row],[Uppercase]]</f>
        <v>2</v>
      </c>
      <c r="D320">
        <v>3</v>
      </c>
      <c r="E320">
        <v>2</v>
      </c>
      <c r="F320">
        <v>0</v>
      </c>
      <c r="G320">
        <v>4</v>
      </c>
      <c r="H320">
        <v>0</v>
      </c>
      <c r="I320">
        <v>1</v>
      </c>
      <c r="J320">
        <v>0</v>
      </c>
      <c r="K320">
        <v>0</v>
      </c>
      <c r="L320">
        <f>IF(AND(Table3[[#This Row],[Length]]&gt;=15, Table3[[#This Row],[Unique]]+Table3[[#This Row],[Randomize]]+J320+K320&gt;=2), 1, 0)</f>
        <v>0</v>
      </c>
    </row>
    <row r="321" spans="2:12" x14ac:dyDescent="0.3">
      <c r="B321">
        <f>Table3[[#This Row],[Alphabets]]+Table3[[#This Row],[Numbers]]+Table3[[#This Row],[Special Character]]</f>
        <v>20</v>
      </c>
      <c r="C321">
        <f>Table3[[#This Row],[Lowercase]]+Table3[[#This Row],[Uppercase]]</f>
        <v>12</v>
      </c>
      <c r="D321">
        <v>4</v>
      </c>
      <c r="E321">
        <v>7</v>
      </c>
      <c r="F321">
        <v>5</v>
      </c>
      <c r="G321">
        <v>4</v>
      </c>
      <c r="H321">
        <v>1</v>
      </c>
      <c r="I321">
        <v>1</v>
      </c>
      <c r="J321">
        <v>1</v>
      </c>
      <c r="K321">
        <v>0</v>
      </c>
      <c r="L321">
        <f>IF(AND(Table3[[#This Row],[Length]]&gt;=15, Table3[[#This Row],[Unique]]+Table3[[#This Row],[Randomize]]+J321+K321&gt;=2), 1, 0)</f>
        <v>1</v>
      </c>
    </row>
    <row r="322" spans="2:12" x14ac:dyDescent="0.3">
      <c r="B322">
        <f>Table3[[#This Row],[Alphabets]]+Table3[[#This Row],[Numbers]]+Table3[[#This Row],[Special Character]]</f>
        <v>17</v>
      </c>
      <c r="C322">
        <f>Table3[[#This Row],[Lowercase]]+Table3[[#This Row],[Uppercase]]</f>
        <v>8</v>
      </c>
      <c r="D322">
        <v>6</v>
      </c>
      <c r="E322">
        <v>0</v>
      </c>
      <c r="F322">
        <v>8</v>
      </c>
      <c r="G322">
        <v>3</v>
      </c>
      <c r="H322">
        <v>1</v>
      </c>
      <c r="I322">
        <v>1</v>
      </c>
      <c r="J322">
        <v>1</v>
      </c>
      <c r="K322">
        <v>1</v>
      </c>
      <c r="L322">
        <f>IF(AND(Table3[[#This Row],[Length]]&gt;=15, Table3[[#This Row],[Unique]]+Table3[[#This Row],[Randomize]]+J322+K322&gt;=2), 1, 0)</f>
        <v>1</v>
      </c>
    </row>
    <row r="323" spans="2:12" x14ac:dyDescent="0.3">
      <c r="B323">
        <f>Table3[[#This Row],[Alphabets]]+Table3[[#This Row],[Numbers]]+Table3[[#This Row],[Special Character]]</f>
        <v>18</v>
      </c>
      <c r="C323">
        <f>Table3[[#This Row],[Lowercase]]+Table3[[#This Row],[Uppercase]]</f>
        <v>11</v>
      </c>
      <c r="D323">
        <v>6</v>
      </c>
      <c r="E323">
        <v>2</v>
      </c>
      <c r="F323">
        <v>9</v>
      </c>
      <c r="G323">
        <v>1</v>
      </c>
      <c r="H323">
        <v>1</v>
      </c>
      <c r="I323">
        <v>1</v>
      </c>
      <c r="J323">
        <v>1</v>
      </c>
      <c r="K323">
        <v>1</v>
      </c>
      <c r="L323">
        <f>IF(AND(Table3[[#This Row],[Length]]&gt;=15, Table3[[#This Row],[Unique]]+Table3[[#This Row],[Randomize]]+J323+K323&gt;=2), 1, 0)</f>
        <v>1</v>
      </c>
    </row>
    <row r="324" spans="2:12" x14ac:dyDescent="0.3">
      <c r="B324">
        <f>Table3[[#This Row],[Alphabets]]+Table3[[#This Row],[Numbers]]+Table3[[#This Row],[Special Character]]</f>
        <v>7</v>
      </c>
      <c r="C324">
        <f>Table3[[#This Row],[Lowercase]]+Table3[[#This Row],[Uppercase]]</f>
        <v>3</v>
      </c>
      <c r="D324">
        <v>0</v>
      </c>
      <c r="E324">
        <v>3</v>
      </c>
      <c r="F324">
        <v>0</v>
      </c>
      <c r="G324">
        <v>4</v>
      </c>
      <c r="H324">
        <v>1</v>
      </c>
      <c r="I324">
        <v>1</v>
      </c>
      <c r="J324">
        <v>0</v>
      </c>
      <c r="K324">
        <v>0</v>
      </c>
      <c r="L324">
        <f>IF(AND(Table3[[#This Row],[Length]]&gt;=15, Table3[[#This Row],[Unique]]+Table3[[#This Row],[Randomize]]+J324+K324&gt;=2), 1, 0)</f>
        <v>0</v>
      </c>
    </row>
    <row r="325" spans="2:12" x14ac:dyDescent="0.3">
      <c r="B325">
        <f>Table3[[#This Row],[Alphabets]]+Table3[[#This Row],[Numbers]]+Table3[[#This Row],[Special Character]]</f>
        <v>22</v>
      </c>
      <c r="C325">
        <f>Table3[[#This Row],[Lowercase]]+Table3[[#This Row],[Uppercase]]</f>
        <v>12</v>
      </c>
      <c r="D325">
        <v>6</v>
      </c>
      <c r="E325">
        <v>6</v>
      </c>
      <c r="F325">
        <v>6</v>
      </c>
      <c r="G325">
        <v>4</v>
      </c>
      <c r="H325">
        <v>0</v>
      </c>
      <c r="I325">
        <v>1</v>
      </c>
      <c r="J325">
        <v>1</v>
      </c>
      <c r="K325">
        <v>0</v>
      </c>
      <c r="L325">
        <f>IF(AND(Table3[[#This Row],[Length]]&gt;=15, Table3[[#This Row],[Unique]]+Table3[[#This Row],[Randomize]]+J325+K325&gt;=2), 1, 0)</f>
        <v>1</v>
      </c>
    </row>
    <row r="326" spans="2:12" x14ac:dyDescent="0.3">
      <c r="B326">
        <f>Table3[[#This Row],[Alphabets]]+Table3[[#This Row],[Numbers]]+Table3[[#This Row],[Special Character]]</f>
        <v>16</v>
      </c>
      <c r="C326">
        <f>Table3[[#This Row],[Lowercase]]+Table3[[#This Row],[Uppercase]]</f>
        <v>11</v>
      </c>
      <c r="D326">
        <v>4</v>
      </c>
      <c r="E326">
        <v>6</v>
      </c>
      <c r="F326">
        <v>5</v>
      </c>
      <c r="G326">
        <v>1</v>
      </c>
      <c r="H326">
        <v>0</v>
      </c>
      <c r="I326">
        <v>1</v>
      </c>
      <c r="J326">
        <v>1</v>
      </c>
      <c r="K326">
        <v>0</v>
      </c>
      <c r="L326">
        <f>IF(AND(Table3[[#This Row],[Length]]&gt;=15, Table3[[#This Row],[Unique]]+Table3[[#This Row],[Randomize]]+J326+K326&gt;=2), 1, 0)</f>
        <v>1</v>
      </c>
    </row>
    <row r="327" spans="2:12" x14ac:dyDescent="0.3">
      <c r="B327">
        <f>Table3[[#This Row],[Alphabets]]+Table3[[#This Row],[Numbers]]+Table3[[#This Row],[Special Character]]</f>
        <v>24</v>
      </c>
      <c r="C327">
        <f>Table3[[#This Row],[Lowercase]]+Table3[[#This Row],[Uppercase]]</f>
        <v>12</v>
      </c>
      <c r="D327">
        <v>9</v>
      </c>
      <c r="E327">
        <v>7</v>
      </c>
      <c r="F327">
        <v>5</v>
      </c>
      <c r="G327">
        <v>3</v>
      </c>
      <c r="H327">
        <v>1</v>
      </c>
      <c r="I327">
        <v>1</v>
      </c>
      <c r="J327">
        <v>0</v>
      </c>
      <c r="K327">
        <v>0</v>
      </c>
      <c r="L327">
        <f>IF(AND(Table3[[#This Row],[Length]]&gt;=15, Table3[[#This Row],[Unique]]+Table3[[#This Row],[Randomize]]+J327+K327&gt;=2), 1, 0)</f>
        <v>1</v>
      </c>
    </row>
    <row r="328" spans="2:12" x14ac:dyDescent="0.3">
      <c r="B328">
        <f>Table3[[#This Row],[Alphabets]]+Table3[[#This Row],[Numbers]]+Table3[[#This Row],[Special Character]]</f>
        <v>11</v>
      </c>
      <c r="C328">
        <f>Table3[[#This Row],[Lowercase]]+Table3[[#This Row],[Uppercase]]</f>
        <v>7</v>
      </c>
      <c r="D328">
        <v>1</v>
      </c>
      <c r="E328">
        <v>6</v>
      </c>
      <c r="F328">
        <v>1</v>
      </c>
      <c r="G328">
        <v>3</v>
      </c>
      <c r="H328">
        <v>1</v>
      </c>
      <c r="I328">
        <v>1</v>
      </c>
      <c r="J328">
        <v>0</v>
      </c>
      <c r="K328">
        <v>1</v>
      </c>
      <c r="L328">
        <f>IF(AND(Table3[[#This Row],[Length]]&gt;=15, Table3[[#This Row],[Unique]]+Table3[[#This Row],[Randomize]]+J328+K328&gt;=2), 1, 0)</f>
        <v>0</v>
      </c>
    </row>
    <row r="329" spans="2:12" x14ac:dyDescent="0.3">
      <c r="B329">
        <f>Table3[[#This Row],[Alphabets]]+Table3[[#This Row],[Numbers]]+Table3[[#This Row],[Special Character]]</f>
        <v>12</v>
      </c>
      <c r="C329">
        <f>Table3[[#This Row],[Lowercase]]+Table3[[#This Row],[Uppercase]]</f>
        <v>5</v>
      </c>
      <c r="D329">
        <v>7</v>
      </c>
      <c r="E329">
        <v>4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</v>
      </c>
      <c r="L329">
        <f>IF(AND(Table3[[#This Row],[Length]]&gt;=15, Table3[[#This Row],[Unique]]+Table3[[#This Row],[Randomize]]+J329+K329&gt;=2), 1, 0)</f>
        <v>0</v>
      </c>
    </row>
    <row r="330" spans="2:12" x14ac:dyDescent="0.3">
      <c r="B330">
        <f>Table3[[#This Row],[Alphabets]]+Table3[[#This Row],[Numbers]]+Table3[[#This Row],[Special Character]]</f>
        <v>30</v>
      </c>
      <c r="C330">
        <f>Table3[[#This Row],[Lowercase]]+Table3[[#This Row],[Uppercase]]</f>
        <v>17</v>
      </c>
      <c r="D330">
        <v>9</v>
      </c>
      <c r="E330">
        <v>10</v>
      </c>
      <c r="F330">
        <v>7</v>
      </c>
      <c r="G330">
        <v>4</v>
      </c>
      <c r="H330">
        <v>1</v>
      </c>
      <c r="I330">
        <v>0</v>
      </c>
      <c r="J330">
        <v>0</v>
      </c>
      <c r="K330">
        <v>0</v>
      </c>
      <c r="L330">
        <f>IF(AND(Table3[[#This Row],[Length]]&gt;=15, Table3[[#This Row],[Unique]]+Table3[[#This Row],[Randomize]]+J330+K330&gt;=2), 1, 0)</f>
        <v>0</v>
      </c>
    </row>
    <row r="331" spans="2:12" x14ac:dyDescent="0.3">
      <c r="B331">
        <f>Table3[[#This Row],[Alphabets]]+Table3[[#This Row],[Numbers]]+Table3[[#This Row],[Special Character]]</f>
        <v>16</v>
      </c>
      <c r="C331">
        <f>Table3[[#This Row],[Lowercase]]+Table3[[#This Row],[Uppercase]]</f>
        <v>11</v>
      </c>
      <c r="D331">
        <v>5</v>
      </c>
      <c r="E331">
        <v>10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f>IF(AND(Table3[[#This Row],[Length]]&gt;=15, Table3[[#This Row],[Unique]]+Table3[[#This Row],[Randomize]]+J331+K331&gt;=2), 1, 0)</f>
        <v>0</v>
      </c>
    </row>
    <row r="332" spans="2:12" x14ac:dyDescent="0.3">
      <c r="B332">
        <f>Table3[[#This Row],[Alphabets]]+Table3[[#This Row],[Numbers]]+Table3[[#This Row],[Special Character]]</f>
        <v>13</v>
      </c>
      <c r="C332">
        <f>Table3[[#This Row],[Lowercase]]+Table3[[#This Row],[Uppercase]]</f>
        <v>7</v>
      </c>
      <c r="D332">
        <v>6</v>
      </c>
      <c r="E332">
        <v>4</v>
      </c>
      <c r="F332">
        <v>3</v>
      </c>
      <c r="G332">
        <v>0</v>
      </c>
      <c r="H332">
        <v>1</v>
      </c>
      <c r="I332">
        <v>0</v>
      </c>
      <c r="J332">
        <v>1</v>
      </c>
      <c r="K332">
        <v>0</v>
      </c>
      <c r="L332">
        <f>IF(AND(Table3[[#This Row],[Length]]&gt;=15, Table3[[#This Row],[Unique]]+Table3[[#This Row],[Randomize]]+J332+K332&gt;=2), 1, 0)</f>
        <v>0</v>
      </c>
    </row>
    <row r="333" spans="2:12" x14ac:dyDescent="0.3">
      <c r="B333">
        <f>Table3[[#This Row],[Alphabets]]+Table3[[#This Row],[Numbers]]+Table3[[#This Row],[Special Character]]</f>
        <v>17</v>
      </c>
      <c r="C333">
        <f>Table3[[#This Row],[Lowercase]]+Table3[[#This Row],[Uppercase]]</f>
        <v>13</v>
      </c>
      <c r="D333">
        <v>0</v>
      </c>
      <c r="E333">
        <v>6</v>
      </c>
      <c r="F333">
        <v>7</v>
      </c>
      <c r="G333">
        <v>4</v>
      </c>
      <c r="H333">
        <v>1</v>
      </c>
      <c r="I333">
        <v>0</v>
      </c>
      <c r="J333">
        <v>0</v>
      </c>
      <c r="K333">
        <v>1</v>
      </c>
      <c r="L333">
        <f>IF(AND(Table3[[#This Row],[Length]]&gt;=15, Table3[[#This Row],[Unique]]+Table3[[#This Row],[Randomize]]+J333+K333&gt;=2), 1, 0)</f>
        <v>1</v>
      </c>
    </row>
    <row r="334" spans="2:12" x14ac:dyDescent="0.3">
      <c r="B334">
        <f>Table3[[#This Row],[Alphabets]]+Table3[[#This Row],[Numbers]]+Table3[[#This Row],[Special Character]]</f>
        <v>20</v>
      </c>
      <c r="C334">
        <f>Table3[[#This Row],[Lowercase]]+Table3[[#This Row],[Uppercase]]</f>
        <v>10</v>
      </c>
      <c r="D334">
        <v>6</v>
      </c>
      <c r="E334">
        <v>2</v>
      </c>
      <c r="F334">
        <v>8</v>
      </c>
      <c r="G334">
        <v>4</v>
      </c>
      <c r="H334">
        <v>1</v>
      </c>
      <c r="I334">
        <v>0</v>
      </c>
      <c r="J334">
        <v>1</v>
      </c>
      <c r="K334">
        <v>0</v>
      </c>
      <c r="L334">
        <f>IF(AND(Table3[[#This Row],[Length]]&gt;=15, Table3[[#This Row],[Unique]]+Table3[[#This Row],[Randomize]]+J334+K334&gt;=2), 1, 0)</f>
        <v>1</v>
      </c>
    </row>
    <row r="335" spans="2:12" x14ac:dyDescent="0.3">
      <c r="B335">
        <f>Table3[[#This Row],[Alphabets]]+Table3[[#This Row],[Numbers]]+Table3[[#This Row],[Special Character]]</f>
        <v>12</v>
      </c>
      <c r="C335">
        <f>Table3[[#This Row],[Lowercase]]+Table3[[#This Row],[Uppercase]]</f>
        <v>9</v>
      </c>
      <c r="D335">
        <v>3</v>
      </c>
      <c r="E335">
        <v>9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>
        <f>IF(AND(Table3[[#This Row],[Length]]&gt;=15, Table3[[#This Row],[Unique]]+Table3[[#This Row],[Randomize]]+J335+K335&gt;=2), 1, 0)</f>
        <v>0</v>
      </c>
    </row>
    <row r="336" spans="2:12" x14ac:dyDescent="0.3">
      <c r="B336">
        <f>Table3[[#This Row],[Alphabets]]+Table3[[#This Row],[Numbers]]+Table3[[#This Row],[Special Character]]</f>
        <v>15</v>
      </c>
      <c r="C336">
        <f>Table3[[#This Row],[Lowercase]]+Table3[[#This Row],[Uppercase]]</f>
        <v>10</v>
      </c>
      <c r="D336">
        <v>0</v>
      </c>
      <c r="E336">
        <v>9</v>
      </c>
      <c r="F336">
        <v>1</v>
      </c>
      <c r="G336">
        <v>5</v>
      </c>
      <c r="H336">
        <v>1</v>
      </c>
      <c r="I336">
        <v>0</v>
      </c>
      <c r="J336">
        <v>0</v>
      </c>
      <c r="K336">
        <v>1</v>
      </c>
      <c r="L336">
        <f>IF(AND(Table3[[#This Row],[Length]]&gt;=15, Table3[[#This Row],[Unique]]+Table3[[#This Row],[Randomize]]+J336+K336&gt;=2), 1, 0)</f>
        <v>1</v>
      </c>
    </row>
    <row r="337" spans="2:12" x14ac:dyDescent="0.3">
      <c r="B337">
        <f>Table3[[#This Row],[Alphabets]]+Table3[[#This Row],[Numbers]]+Table3[[#This Row],[Special Character]]</f>
        <v>16</v>
      </c>
      <c r="C337">
        <f>Table3[[#This Row],[Lowercase]]+Table3[[#This Row],[Uppercase]]</f>
        <v>8</v>
      </c>
      <c r="D337">
        <v>6</v>
      </c>
      <c r="E337">
        <v>1</v>
      </c>
      <c r="F337">
        <v>7</v>
      </c>
      <c r="G337">
        <v>2</v>
      </c>
      <c r="H337">
        <v>0</v>
      </c>
      <c r="I337">
        <v>0</v>
      </c>
      <c r="J337">
        <v>0</v>
      </c>
      <c r="K337">
        <v>0</v>
      </c>
      <c r="L337">
        <f>IF(AND(Table3[[#This Row],[Length]]&gt;=15, Table3[[#This Row],[Unique]]+Table3[[#This Row],[Randomize]]+J337+K337&gt;=2), 1, 0)</f>
        <v>0</v>
      </c>
    </row>
    <row r="338" spans="2:12" x14ac:dyDescent="0.3">
      <c r="B338">
        <f>Table3[[#This Row],[Alphabets]]+Table3[[#This Row],[Numbers]]+Table3[[#This Row],[Special Character]]</f>
        <v>22</v>
      </c>
      <c r="C338">
        <f>Table3[[#This Row],[Lowercase]]+Table3[[#This Row],[Uppercase]]</f>
        <v>8</v>
      </c>
      <c r="D338">
        <v>8</v>
      </c>
      <c r="E338">
        <v>1</v>
      </c>
      <c r="F338">
        <v>7</v>
      </c>
      <c r="G338">
        <v>6</v>
      </c>
      <c r="H338">
        <v>1</v>
      </c>
      <c r="I338">
        <v>0</v>
      </c>
      <c r="J338">
        <v>0</v>
      </c>
      <c r="K338">
        <v>1</v>
      </c>
      <c r="L338">
        <f>IF(AND(Table3[[#This Row],[Length]]&gt;=15, Table3[[#This Row],[Unique]]+Table3[[#This Row],[Randomize]]+J338+K338&gt;=2), 1, 0)</f>
        <v>1</v>
      </c>
    </row>
    <row r="339" spans="2:12" x14ac:dyDescent="0.3">
      <c r="B339">
        <f>Table3[[#This Row],[Alphabets]]+Table3[[#This Row],[Numbers]]+Table3[[#This Row],[Special Character]]</f>
        <v>24</v>
      </c>
      <c r="C339">
        <f>Table3[[#This Row],[Lowercase]]+Table3[[#This Row],[Uppercase]]</f>
        <v>17</v>
      </c>
      <c r="D339">
        <v>6</v>
      </c>
      <c r="E339">
        <v>9</v>
      </c>
      <c r="F339">
        <v>8</v>
      </c>
      <c r="G339">
        <v>1</v>
      </c>
      <c r="H339">
        <v>1</v>
      </c>
      <c r="I339">
        <v>0</v>
      </c>
      <c r="J339">
        <v>1</v>
      </c>
      <c r="K339">
        <v>0</v>
      </c>
      <c r="L339">
        <f>IF(AND(Table3[[#This Row],[Length]]&gt;=15, Table3[[#This Row],[Unique]]+Table3[[#This Row],[Randomize]]+J339+K339&gt;=2), 1, 0)</f>
        <v>1</v>
      </c>
    </row>
    <row r="340" spans="2:12" x14ac:dyDescent="0.3">
      <c r="B340">
        <f>Table3[[#This Row],[Alphabets]]+Table3[[#This Row],[Numbers]]+Table3[[#This Row],[Special Character]]</f>
        <v>16</v>
      </c>
      <c r="C340">
        <f>Table3[[#This Row],[Lowercase]]+Table3[[#This Row],[Uppercase]]</f>
        <v>6</v>
      </c>
      <c r="D340">
        <v>5</v>
      </c>
      <c r="E340">
        <v>0</v>
      </c>
      <c r="F340">
        <v>6</v>
      </c>
      <c r="G340">
        <v>5</v>
      </c>
      <c r="H340">
        <v>1</v>
      </c>
      <c r="I340">
        <v>0</v>
      </c>
      <c r="J340">
        <v>0</v>
      </c>
      <c r="K340">
        <v>0</v>
      </c>
      <c r="L340">
        <f>IF(AND(Table3[[#This Row],[Length]]&gt;=15, Table3[[#This Row],[Unique]]+Table3[[#This Row],[Randomize]]+J340+K340&gt;=2), 1, 0)</f>
        <v>0</v>
      </c>
    </row>
    <row r="341" spans="2:12" x14ac:dyDescent="0.3">
      <c r="B341">
        <f>Table3[[#This Row],[Alphabets]]+Table3[[#This Row],[Numbers]]+Table3[[#This Row],[Special Character]]</f>
        <v>23</v>
      </c>
      <c r="C341">
        <f>Table3[[#This Row],[Lowercase]]+Table3[[#This Row],[Uppercase]]</f>
        <v>16</v>
      </c>
      <c r="D341">
        <v>5</v>
      </c>
      <c r="E341">
        <v>9</v>
      </c>
      <c r="F341">
        <v>7</v>
      </c>
      <c r="G341">
        <v>2</v>
      </c>
      <c r="H341">
        <v>1</v>
      </c>
      <c r="I341">
        <v>0</v>
      </c>
      <c r="J341">
        <v>1</v>
      </c>
      <c r="K341">
        <v>0</v>
      </c>
      <c r="L341">
        <f>IF(AND(Table3[[#This Row],[Length]]&gt;=15, Table3[[#This Row],[Unique]]+Table3[[#This Row],[Randomize]]+J341+K341&gt;=2), 1, 0)</f>
        <v>1</v>
      </c>
    </row>
    <row r="342" spans="2:12" x14ac:dyDescent="0.3">
      <c r="B342">
        <f>Table3[[#This Row],[Alphabets]]+Table3[[#This Row],[Numbers]]+Table3[[#This Row],[Special Character]]</f>
        <v>15</v>
      </c>
      <c r="C342">
        <f>Table3[[#This Row],[Lowercase]]+Table3[[#This Row],[Uppercase]]</f>
        <v>9</v>
      </c>
      <c r="D342">
        <v>2</v>
      </c>
      <c r="E342">
        <v>2</v>
      </c>
      <c r="F342">
        <v>7</v>
      </c>
      <c r="G342">
        <v>4</v>
      </c>
      <c r="H342">
        <v>1</v>
      </c>
      <c r="I342">
        <v>0</v>
      </c>
      <c r="J342">
        <v>1</v>
      </c>
      <c r="K342">
        <v>0</v>
      </c>
      <c r="L342">
        <f>IF(AND(Table3[[#This Row],[Length]]&gt;=15, Table3[[#This Row],[Unique]]+Table3[[#This Row],[Randomize]]+J342+K342&gt;=2), 1, 0)</f>
        <v>1</v>
      </c>
    </row>
    <row r="343" spans="2:12" x14ac:dyDescent="0.3">
      <c r="B343">
        <f>Table3[[#This Row],[Alphabets]]+Table3[[#This Row],[Numbers]]+Table3[[#This Row],[Special Character]]</f>
        <v>16</v>
      </c>
      <c r="C343">
        <f>Table3[[#This Row],[Lowercase]]+Table3[[#This Row],[Uppercase]]</f>
        <v>5</v>
      </c>
      <c r="D343">
        <v>9</v>
      </c>
      <c r="E343">
        <v>4</v>
      </c>
      <c r="F343">
        <v>1</v>
      </c>
      <c r="G343">
        <v>2</v>
      </c>
      <c r="H343">
        <v>1</v>
      </c>
      <c r="I343">
        <v>0</v>
      </c>
      <c r="J343">
        <v>1</v>
      </c>
      <c r="K343">
        <v>1</v>
      </c>
      <c r="L343">
        <f>IF(AND(Table3[[#This Row],[Length]]&gt;=15, Table3[[#This Row],[Unique]]+Table3[[#This Row],[Randomize]]+J343+K343&gt;=2), 1, 0)</f>
        <v>1</v>
      </c>
    </row>
    <row r="344" spans="2:12" x14ac:dyDescent="0.3">
      <c r="B344">
        <f>Table3[[#This Row],[Alphabets]]+Table3[[#This Row],[Numbers]]+Table3[[#This Row],[Special Character]]</f>
        <v>17</v>
      </c>
      <c r="C344">
        <f>Table3[[#This Row],[Lowercase]]+Table3[[#This Row],[Uppercase]]</f>
        <v>9</v>
      </c>
      <c r="D344">
        <v>4</v>
      </c>
      <c r="E344">
        <v>7</v>
      </c>
      <c r="F344">
        <v>2</v>
      </c>
      <c r="G344">
        <v>4</v>
      </c>
      <c r="H344">
        <v>0</v>
      </c>
      <c r="I344">
        <v>0</v>
      </c>
      <c r="J344">
        <v>1</v>
      </c>
      <c r="K344">
        <v>0</v>
      </c>
      <c r="L344">
        <f>IF(AND(Table3[[#This Row],[Length]]&gt;=15, Table3[[#This Row],[Unique]]+Table3[[#This Row],[Randomize]]+J344+K344&gt;=2), 1, 0)</f>
        <v>0</v>
      </c>
    </row>
    <row r="345" spans="2:12" x14ac:dyDescent="0.3">
      <c r="B345">
        <f>Table3[[#This Row],[Alphabets]]+Table3[[#This Row],[Numbers]]+Table3[[#This Row],[Special Character]]</f>
        <v>23</v>
      </c>
      <c r="C345">
        <f>Table3[[#This Row],[Lowercase]]+Table3[[#This Row],[Uppercase]]</f>
        <v>11</v>
      </c>
      <c r="D345">
        <v>6</v>
      </c>
      <c r="E345">
        <v>7</v>
      </c>
      <c r="F345">
        <v>4</v>
      </c>
      <c r="G345">
        <v>6</v>
      </c>
      <c r="H345">
        <v>1</v>
      </c>
      <c r="I345">
        <v>0</v>
      </c>
      <c r="J345">
        <v>0</v>
      </c>
      <c r="K345">
        <v>1</v>
      </c>
      <c r="L345">
        <f>IF(AND(Table3[[#This Row],[Length]]&gt;=15, Table3[[#This Row],[Unique]]+Table3[[#This Row],[Randomize]]+J345+K345&gt;=2), 1, 0)</f>
        <v>1</v>
      </c>
    </row>
    <row r="346" spans="2:12" x14ac:dyDescent="0.3">
      <c r="B346">
        <f>Table3[[#This Row],[Alphabets]]+Table3[[#This Row],[Numbers]]+Table3[[#This Row],[Special Character]]</f>
        <v>12</v>
      </c>
      <c r="C346">
        <f>Table3[[#This Row],[Lowercase]]+Table3[[#This Row],[Uppercase]]</f>
        <v>8</v>
      </c>
      <c r="D346">
        <v>2</v>
      </c>
      <c r="E346">
        <v>3</v>
      </c>
      <c r="F346">
        <v>5</v>
      </c>
      <c r="G346">
        <v>2</v>
      </c>
      <c r="H346">
        <v>1</v>
      </c>
      <c r="I346">
        <v>0</v>
      </c>
      <c r="J346">
        <v>0</v>
      </c>
      <c r="K346">
        <v>1</v>
      </c>
      <c r="L346">
        <f>IF(AND(Table3[[#This Row],[Length]]&gt;=15, Table3[[#This Row],[Unique]]+Table3[[#This Row],[Randomize]]+J346+K346&gt;=2), 1, 0)</f>
        <v>0</v>
      </c>
    </row>
    <row r="347" spans="2:12" x14ac:dyDescent="0.3">
      <c r="B347">
        <f>Table3[[#This Row],[Alphabets]]+Table3[[#This Row],[Numbers]]+Table3[[#This Row],[Special Character]]</f>
        <v>19</v>
      </c>
      <c r="C347">
        <f>Table3[[#This Row],[Lowercase]]+Table3[[#This Row],[Uppercase]]</f>
        <v>12</v>
      </c>
      <c r="D347">
        <v>6</v>
      </c>
      <c r="E347">
        <v>10</v>
      </c>
      <c r="F347">
        <v>2</v>
      </c>
      <c r="G347">
        <v>1</v>
      </c>
      <c r="H347">
        <v>1</v>
      </c>
      <c r="I347">
        <v>0</v>
      </c>
      <c r="J347">
        <v>1</v>
      </c>
      <c r="K347">
        <v>1</v>
      </c>
      <c r="L347">
        <f>IF(AND(Table3[[#This Row],[Length]]&gt;=15, Table3[[#This Row],[Unique]]+Table3[[#This Row],[Randomize]]+J347+K347&gt;=2), 1, 0)</f>
        <v>1</v>
      </c>
    </row>
    <row r="348" spans="2:12" x14ac:dyDescent="0.3">
      <c r="B348">
        <f>Table3[[#This Row],[Alphabets]]+Table3[[#This Row],[Numbers]]+Table3[[#This Row],[Special Character]]</f>
        <v>16</v>
      </c>
      <c r="C348">
        <f>Table3[[#This Row],[Lowercase]]+Table3[[#This Row],[Uppercase]]</f>
        <v>9</v>
      </c>
      <c r="D348">
        <v>5</v>
      </c>
      <c r="E348">
        <v>4</v>
      </c>
      <c r="F348">
        <v>5</v>
      </c>
      <c r="G348">
        <v>2</v>
      </c>
      <c r="H348">
        <v>0</v>
      </c>
      <c r="I348">
        <v>0</v>
      </c>
      <c r="J348">
        <v>0</v>
      </c>
      <c r="K348">
        <v>1</v>
      </c>
      <c r="L348">
        <f>IF(AND(Table3[[#This Row],[Length]]&gt;=15, Table3[[#This Row],[Unique]]+Table3[[#This Row],[Randomize]]+J348+K348&gt;=2), 1, 0)</f>
        <v>0</v>
      </c>
    </row>
    <row r="349" spans="2:12" x14ac:dyDescent="0.3">
      <c r="B349">
        <f>Table3[[#This Row],[Alphabets]]+Table3[[#This Row],[Numbers]]+Table3[[#This Row],[Special Character]]</f>
        <v>23</v>
      </c>
      <c r="C349">
        <f>Table3[[#This Row],[Lowercase]]+Table3[[#This Row],[Uppercase]]</f>
        <v>13</v>
      </c>
      <c r="D349">
        <v>7</v>
      </c>
      <c r="E349">
        <v>4</v>
      </c>
      <c r="F349">
        <v>9</v>
      </c>
      <c r="G349">
        <v>3</v>
      </c>
      <c r="H349">
        <v>1</v>
      </c>
      <c r="I349">
        <v>0</v>
      </c>
      <c r="J349">
        <v>1</v>
      </c>
      <c r="K349">
        <v>0</v>
      </c>
      <c r="L349">
        <f>IF(AND(Table3[[#This Row],[Length]]&gt;=15, Table3[[#This Row],[Unique]]+Table3[[#This Row],[Randomize]]+J349+K349&gt;=2), 1, 0)</f>
        <v>1</v>
      </c>
    </row>
    <row r="350" spans="2:12" x14ac:dyDescent="0.3">
      <c r="B350">
        <f>Table3[[#This Row],[Alphabets]]+Table3[[#This Row],[Numbers]]+Table3[[#This Row],[Special Character]]</f>
        <v>10</v>
      </c>
      <c r="C350">
        <f>Table3[[#This Row],[Lowercase]]+Table3[[#This Row],[Uppercase]]</f>
        <v>6</v>
      </c>
      <c r="D350">
        <v>0</v>
      </c>
      <c r="E350">
        <v>0</v>
      </c>
      <c r="F350">
        <v>6</v>
      </c>
      <c r="G350">
        <v>4</v>
      </c>
      <c r="H350">
        <v>1</v>
      </c>
      <c r="I350">
        <v>0</v>
      </c>
      <c r="J350">
        <v>0</v>
      </c>
      <c r="K350">
        <v>0</v>
      </c>
      <c r="L350">
        <f>IF(AND(Table3[[#This Row],[Length]]&gt;=15, Table3[[#This Row],[Unique]]+Table3[[#This Row],[Randomize]]+J350+K350&gt;=2), 1, 0)</f>
        <v>0</v>
      </c>
    </row>
    <row r="351" spans="2:12" x14ac:dyDescent="0.3">
      <c r="B351">
        <f>Table3[[#This Row],[Alphabets]]+Table3[[#This Row],[Numbers]]+Table3[[#This Row],[Special Character]]</f>
        <v>20</v>
      </c>
      <c r="C351">
        <f>Table3[[#This Row],[Lowercase]]+Table3[[#This Row],[Uppercase]]</f>
        <v>16</v>
      </c>
      <c r="D351">
        <v>0</v>
      </c>
      <c r="E351">
        <v>9</v>
      </c>
      <c r="F351">
        <v>7</v>
      </c>
      <c r="G351">
        <v>4</v>
      </c>
      <c r="H351">
        <v>0</v>
      </c>
      <c r="I351">
        <v>0</v>
      </c>
      <c r="J351">
        <v>0</v>
      </c>
      <c r="K351">
        <v>1</v>
      </c>
      <c r="L351">
        <f>IF(AND(Table3[[#This Row],[Length]]&gt;=15, Table3[[#This Row],[Unique]]+Table3[[#This Row],[Randomize]]+J351+K351&gt;=2), 1, 0)</f>
        <v>0</v>
      </c>
    </row>
    <row r="352" spans="2:12" x14ac:dyDescent="0.3">
      <c r="B352">
        <f>Table3[[#This Row],[Alphabets]]+Table3[[#This Row],[Numbers]]+Table3[[#This Row],[Special Character]]</f>
        <v>17</v>
      </c>
      <c r="C352">
        <f>Table3[[#This Row],[Lowercase]]+Table3[[#This Row],[Uppercase]]</f>
        <v>13</v>
      </c>
      <c r="D352">
        <v>4</v>
      </c>
      <c r="E352">
        <v>5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1</v>
      </c>
      <c r="L352">
        <f>IF(AND(Table3[[#This Row],[Length]]&gt;=15, Table3[[#This Row],[Unique]]+Table3[[#This Row],[Randomize]]+J352+K352&gt;=2), 1, 0)</f>
        <v>0</v>
      </c>
    </row>
    <row r="353" spans="2:12" x14ac:dyDescent="0.3">
      <c r="B353">
        <f>Table3[[#This Row],[Alphabets]]+Table3[[#This Row],[Numbers]]+Table3[[#This Row],[Special Character]]</f>
        <v>19</v>
      </c>
      <c r="C353">
        <f>Table3[[#This Row],[Lowercase]]+Table3[[#This Row],[Uppercase]]</f>
        <v>16</v>
      </c>
      <c r="D353">
        <v>3</v>
      </c>
      <c r="E353">
        <v>9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1</v>
      </c>
      <c r="L353">
        <f>IF(AND(Table3[[#This Row],[Length]]&gt;=15, Table3[[#This Row],[Unique]]+Table3[[#This Row],[Randomize]]+J353+K353&gt;=2), 1, 0)</f>
        <v>0</v>
      </c>
    </row>
    <row r="354" spans="2:12" x14ac:dyDescent="0.3">
      <c r="B354">
        <f>Table3[[#This Row],[Alphabets]]+Table3[[#This Row],[Numbers]]+Table3[[#This Row],[Special Character]]</f>
        <v>18</v>
      </c>
      <c r="C354">
        <f>Table3[[#This Row],[Lowercase]]+Table3[[#This Row],[Uppercase]]</f>
        <v>13</v>
      </c>
      <c r="D354">
        <v>2</v>
      </c>
      <c r="E354">
        <v>7</v>
      </c>
      <c r="F354">
        <v>6</v>
      </c>
      <c r="G354">
        <v>3</v>
      </c>
      <c r="H354">
        <v>1</v>
      </c>
      <c r="I354">
        <v>0</v>
      </c>
      <c r="J354">
        <v>1</v>
      </c>
      <c r="K354">
        <v>0</v>
      </c>
      <c r="L354">
        <f>IF(AND(Table3[[#This Row],[Length]]&gt;=15, Table3[[#This Row],[Unique]]+Table3[[#This Row],[Randomize]]+J354+K354&gt;=2), 1, 0)</f>
        <v>1</v>
      </c>
    </row>
    <row r="355" spans="2:12" x14ac:dyDescent="0.3">
      <c r="B355">
        <f>Table3[[#This Row],[Alphabets]]+Table3[[#This Row],[Numbers]]+Table3[[#This Row],[Special Character]]</f>
        <v>20</v>
      </c>
      <c r="C355">
        <f>Table3[[#This Row],[Lowercase]]+Table3[[#This Row],[Uppercase]]</f>
        <v>9</v>
      </c>
      <c r="D355">
        <v>5</v>
      </c>
      <c r="E355">
        <v>9</v>
      </c>
      <c r="F355">
        <v>0</v>
      </c>
      <c r="G355">
        <v>6</v>
      </c>
      <c r="H355">
        <v>0</v>
      </c>
      <c r="I355">
        <v>0</v>
      </c>
      <c r="J355">
        <v>0</v>
      </c>
      <c r="K355">
        <v>1</v>
      </c>
      <c r="L355">
        <f>IF(AND(Table3[[#This Row],[Length]]&gt;=15, Table3[[#This Row],[Unique]]+Table3[[#This Row],[Randomize]]+J355+K355&gt;=2), 1, 0)</f>
        <v>0</v>
      </c>
    </row>
    <row r="356" spans="2:12" x14ac:dyDescent="0.3">
      <c r="B356">
        <f>Table3[[#This Row],[Alphabets]]+Table3[[#This Row],[Numbers]]+Table3[[#This Row],[Special Character]]</f>
        <v>22</v>
      </c>
      <c r="C356">
        <f>Table3[[#This Row],[Lowercase]]+Table3[[#This Row],[Uppercase]]</f>
        <v>15</v>
      </c>
      <c r="D356">
        <v>1</v>
      </c>
      <c r="E356">
        <v>10</v>
      </c>
      <c r="F356">
        <v>5</v>
      </c>
      <c r="G356">
        <v>6</v>
      </c>
      <c r="H356">
        <v>1</v>
      </c>
      <c r="I356">
        <v>0</v>
      </c>
      <c r="J356">
        <v>0</v>
      </c>
      <c r="K356">
        <v>0</v>
      </c>
      <c r="L356">
        <f>IF(AND(Table3[[#This Row],[Length]]&gt;=15, Table3[[#This Row],[Unique]]+Table3[[#This Row],[Randomize]]+J356+K356&gt;=2), 1, 0)</f>
        <v>0</v>
      </c>
    </row>
    <row r="357" spans="2:12" x14ac:dyDescent="0.3">
      <c r="B357">
        <f>Table3[[#This Row],[Alphabets]]+Table3[[#This Row],[Numbers]]+Table3[[#This Row],[Special Character]]</f>
        <v>27</v>
      </c>
      <c r="C357">
        <f>Table3[[#This Row],[Lowercase]]+Table3[[#This Row],[Uppercase]]</f>
        <v>19</v>
      </c>
      <c r="D357">
        <v>6</v>
      </c>
      <c r="E357">
        <v>10</v>
      </c>
      <c r="F357">
        <v>9</v>
      </c>
      <c r="G357">
        <v>2</v>
      </c>
      <c r="H357">
        <v>0</v>
      </c>
      <c r="I357">
        <v>0</v>
      </c>
      <c r="J357">
        <v>0</v>
      </c>
      <c r="K357">
        <v>0</v>
      </c>
      <c r="L357">
        <f>IF(AND(Table3[[#This Row],[Length]]&gt;=15, Table3[[#This Row],[Unique]]+Table3[[#This Row],[Randomize]]+J357+K357&gt;=2), 1, 0)</f>
        <v>0</v>
      </c>
    </row>
    <row r="358" spans="2:12" x14ac:dyDescent="0.3">
      <c r="B358">
        <f>Table3[[#This Row],[Alphabets]]+Table3[[#This Row],[Numbers]]+Table3[[#This Row],[Special Character]]</f>
        <v>15</v>
      </c>
      <c r="C358">
        <f>Table3[[#This Row],[Lowercase]]+Table3[[#This Row],[Uppercase]]</f>
        <v>10</v>
      </c>
      <c r="D358">
        <v>0</v>
      </c>
      <c r="E358">
        <v>10</v>
      </c>
      <c r="F358">
        <v>0</v>
      </c>
      <c r="G358">
        <v>5</v>
      </c>
      <c r="H358">
        <v>1</v>
      </c>
      <c r="I358">
        <v>0</v>
      </c>
      <c r="J358">
        <v>1</v>
      </c>
      <c r="K358">
        <v>0</v>
      </c>
      <c r="L358">
        <f>IF(AND(Table3[[#This Row],[Length]]&gt;=15, Table3[[#This Row],[Unique]]+Table3[[#This Row],[Randomize]]+J358+K358&gt;=2), 1, 0)</f>
        <v>1</v>
      </c>
    </row>
    <row r="359" spans="2:12" x14ac:dyDescent="0.3">
      <c r="B359">
        <f>Table3[[#This Row],[Alphabets]]+Table3[[#This Row],[Numbers]]+Table3[[#This Row],[Special Character]]</f>
        <v>3</v>
      </c>
      <c r="C359">
        <f>Table3[[#This Row],[Lowercase]]+Table3[[#This Row],[Uppercase]]</f>
        <v>3</v>
      </c>
      <c r="D359">
        <v>0</v>
      </c>
      <c r="E359">
        <v>2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  <c r="L359">
        <f>IF(AND(Table3[[#This Row],[Length]]&gt;=15, Table3[[#This Row],[Unique]]+Table3[[#This Row],[Randomize]]+J359+K359&gt;=2), 1, 0)</f>
        <v>0</v>
      </c>
    </row>
    <row r="360" spans="2:12" x14ac:dyDescent="0.3">
      <c r="B360">
        <f>Table3[[#This Row],[Alphabets]]+Table3[[#This Row],[Numbers]]+Table3[[#This Row],[Special Character]]</f>
        <v>23</v>
      </c>
      <c r="C360">
        <f>Table3[[#This Row],[Lowercase]]+Table3[[#This Row],[Uppercase]]</f>
        <v>10</v>
      </c>
      <c r="D360">
        <v>9</v>
      </c>
      <c r="E360">
        <v>1</v>
      </c>
      <c r="F360">
        <v>9</v>
      </c>
      <c r="G360">
        <v>4</v>
      </c>
      <c r="H360">
        <v>1</v>
      </c>
      <c r="I360">
        <v>0</v>
      </c>
      <c r="J360">
        <v>1</v>
      </c>
      <c r="K360">
        <v>0</v>
      </c>
      <c r="L360">
        <f>IF(AND(Table3[[#This Row],[Length]]&gt;=15, Table3[[#This Row],[Unique]]+Table3[[#This Row],[Randomize]]+J360+K360&gt;=2), 1, 0)</f>
        <v>1</v>
      </c>
    </row>
    <row r="361" spans="2:12" x14ac:dyDescent="0.3">
      <c r="B361">
        <f>Table3[[#This Row],[Alphabets]]+Table3[[#This Row],[Numbers]]+Table3[[#This Row],[Special Character]]</f>
        <v>13</v>
      </c>
      <c r="C361">
        <f>Table3[[#This Row],[Lowercase]]+Table3[[#This Row],[Uppercase]]</f>
        <v>7</v>
      </c>
      <c r="D361">
        <v>0</v>
      </c>
      <c r="E361">
        <v>2</v>
      </c>
      <c r="F361">
        <v>5</v>
      </c>
      <c r="G361">
        <v>6</v>
      </c>
      <c r="H361">
        <v>0</v>
      </c>
      <c r="I361">
        <v>0</v>
      </c>
      <c r="J361">
        <v>0</v>
      </c>
      <c r="K361">
        <v>0</v>
      </c>
      <c r="L361">
        <f>IF(AND(Table3[[#This Row],[Length]]&gt;=15, Table3[[#This Row],[Unique]]+Table3[[#This Row],[Randomize]]+J361+K361&gt;=2), 1, 0)</f>
        <v>0</v>
      </c>
    </row>
    <row r="362" spans="2:12" x14ac:dyDescent="0.3">
      <c r="B362">
        <f>Table3[[#This Row],[Alphabets]]+Table3[[#This Row],[Numbers]]+Table3[[#This Row],[Special Character]]</f>
        <v>12</v>
      </c>
      <c r="C362">
        <f>Table3[[#This Row],[Lowercase]]+Table3[[#This Row],[Uppercase]]</f>
        <v>10</v>
      </c>
      <c r="D362">
        <v>1</v>
      </c>
      <c r="E362">
        <v>8</v>
      </c>
      <c r="F362">
        <v>2</v>
      </c>
      <c r="G362">
        <v>1</v>
      </c>
      <c r="H362">
        <v>1</v>
      </c>
      <c r="I362">
        <v>0</v>
      </c>
      <c r="J362">
        <v>1</v>
      </c>
      <c r="K362">
        <v>0</v>
      </c>
      <c r="L362">
        <f>IF(AND(Table3[[#This Row],[Length]]&gt;=15, Table3[[#This Row],[Unique]]+Table3[[#This Row],[Randomize]]+J362+K362&gt;=2), 1, 0)</f>
        <v>0</v>
      </c>
    </row>
    <row r="363" spans="2:12" x14ac:dyDescent="0.3">
      <c r="B363">
        <f>Table3[[#This Row],[Alphabets]]+Table3[[#This Row],[Numbers]]+Table3[[#This Row],[Special Character]]</f>
        <v>27</v>
      </c>
      <c r="C363">
        <f>Table3[[#This Row],[Lowercase]]+Table3[[#This Row],[Uppercase]]</f>
        <v>20</v>
      </c>
      <c r="D363">
        <v>4</v>
      </c>
      <c r="E363">
        <v>10</v>
      </c>
      <c r="F363">
        <v>10</v>
      </c>
      <c r="G363">
        <v>3</v>
      </c>
      <c r="H363">
        <v>1</v>
      </c>
      <c r="I363">
        <v>0</v>
      </c>
      <c r="J363">
        <v>1</v>
      </c>
      <c r="K363">
        <v>1</v>
      </c>
      <c r="L363">
        <f>IF(AND(Table3[[#This Row],[Length]]&gt;=15, Table3[[#This Row],[Unique]]+Table3[[#This Row],[Randomize]]+J363+K363&gt;=2), 1, 0)</f>
        <v>1</v>
      </c>
    </row>
    <row r="364" spans="2:12" x14ac:dyDescent="0.3">
      <c r="B364">
        <f>Table3[[#This Row],[Alphabets]]+Table3[[#This Row],[Numbers]]+Table3[[#This Row],[Special Character]]</f>
        <v>16</v>
      </c>
      <c r="C364">
        <f>Table3[[#This Row],[Lowercase]]+Table3[[#This Row],[Uppercase]]</f>
        <v>12</v>
      </c>
      <c r="D364">
        <v>3</v>
      </c>
      <c r="E364">
        <v>2</v>
      </c>
      <c r="F364">
        <v>10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f>IF(AND(Table3[[#This Row],[Length]]&gt;=15, Table3[[#This Row],[Unique]]+Table3[[#This Row],[Randomize]]+J364+K364&gt;=2), 1, 0)</f>
        <v>0</v>
      </c>
    </row>
    <row r="365" spans="2:12" x14ac:dyDescent="0.3">
      <c r="B365">
        <f>Table3[[#This Row],[Alphabets]]+Table3[[#This Row],[Numbers]]+Table3[[#This Row],[Special Character]]</f>
        <v>21</v>
      </c>
      <c r="C365">
        <f>Table3[[#This Row],[Lowercase]]+Table3[[#This Row],[Uppercase]]</f>
        <v>8</v>
      </c>
      <c r="D365">
        <v>9</v>
      </c>
      <c r="E365">
        <v>6</v>
      </c>
      <c r="F365">
        <v>2</v>
      </c>
      <c r="G365">
        <v>4</v>
      </c>
      <c r="H365">
        <v>1</v>
      </c>
      <c r="I365">
        <v>0</v>
      </c>
      <c r="J365">
        <v>0</v>
      </c>
      <c r="K365">
        <v>1</v>
      </c>
      <c r="L365">
        <f>IF(AND(Table3[[#This Row],[Length]]&gt;=15, Table3[[#This Row],[Unique]]+Table3[[#This Row],[Randomize]]+J365+K365&gt;=2), 1, 0)</f>
        <v>1</v>
      </c>
    </row>
    <row r="366" spans="2:12" x14ac:dyDescent="0.3">
      <c r="B366">
        <f>Table3[[#This Row],[Alphabets]]+Table3[[#This Row],[Numbers]]+Table3[[#This Row],[Special Character]]</f>
        <v>13</v>
      </c>
      <c r="C366">
        <f>Table3[[#This Row],[Lowercase]]+Table3[[#This Row],[Uppercase]]</f>
        <v>8</v>
      </c>
      <c r="D366">
        <v>0</v>
      </c>
      <c r="E366">
        <v>2</v>
      </c>
      <c r="F366">
        <v>6</v>
      </c>
      <c r="G366">
        <v>5</v>
      </c>
      <c r="H366">
        <v>0</v>
      </c>
      <c r="I366">
        <v>0</v>
      </c>
      <c r="J366">
        <v>1</v>
      </c>
      <c r="K366">
        <v>1</v>
      </c>
      <c r="L366">
        <f>IF(AND(Table3[[#This Row],[Length]]&gt;=15, Table3[[#This Row],[Unique]]+Table3[[#This Row],[Randomize]]+J366+K366&gt;=2), 1, 0)</f>
        <v>0</v>
      </c>
    </row>
    <row r="367" spans="2:12" x14ac:dyDescent="0.3">
      <c r="B367">
        <f>Table3[[#This Row],[Alphabets]]+Table3[[#This Row],[Numbers]]+Table3[[#This Row],[Special Character]]</f>
        <v>21</v>
      </c>
      <c r="C367">
        <f>Table3[[#This Row],[Lowercase]]+Table3[[#This Row],[Uppercase]]</f>
        <v>8</v>
      </c>
      <c r="D367">
        <v>7</v>
      </c>
      <c r="E367">
        <v>8</v>
      </c>
      <c r="F367">
        <v>0</v>
      </c>
      <c r="G367">
        <v>6</v>
      </c>
      <c r="H367">
        <v>0</v>
      </c>
      <c r="I367">
        <v>0</v>
      </c>
      <c r="J367">
        <v>1</v>
      </c>
      <c r="K367">
        <v>1</v>
      </c>
      <c r="L367">
        <f>IF(AND(Table3[[#This Row],[Length]]&gt;=15, Table3[[#This Row],[Unique]]+Table3[[#This Row],[Randomize]]+J367+K367&gt;=2), 1, 0)</f>
        <v>1</v>
      </c>
    </row>
    <row r="368" spans="2:12" x14ac:dyDescent="0.3">
      <c r="B368">
        <f>Table3[[#This Row],[Alphabets]]+Table3[[#This Row],[Numbers]]+Table3[[#This Row],[Special Character]]</f>
        <v>13</v>
      </c>
      <c r="C368">
        <f>Table3[[#This Row],[Lowercase]]+Table3[[#This Row],[Uppercase]]</f>
        <v>7</v>
      </c>
      <c r="D368">
        <v>5</v>
      </c>
      <c r="E368">
        <v>6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1</v>
      </c>
      <c r="L368">
        <f>IF(AND(Table3[[#This Row],[Length]]&gt;=15, Table3[[#This Row],[Unique]]+Table3[[#This Row],[Randomize]]+J368+K368&gt;=2), 1, 0)</f>
        <v>0</v>
      </c>
    </row>
    <row r="369" spans="2:12" x14ac:dyDescent="0.3">
      <c r="B369">
        <f>Table3[[#This Row],[Alphabets]]+Table3[[#This Row],[Numbers]]+Table3[[#This Row],[Special Character]]</f>
        <v>13</v>
      </c>
      <c r="C369">
        <f>Table3[[#This Row],[Lowercase]]+Table3[[#This Row],[Uppercase]]</f>
        <v>6</v>
      </c>
      <c r="D369">
        <v>1</v>
      </c>
      <c r="E369">
        <v>0</v>
      </c>
      <c r="F369">
        <v>6</v>
      </c>
      <c r="G369">
        <v>6</v>
      </c>
      <c r="H369">
        <v>0</v>
      </c>
      <c r="I369">
        <v>0</v>
      </c>
      <c r="J369">
        <v>1</v>
      </c>
      <c r="K369">
        <v>0</v>
      </c>
      <c r="L369">
        <f>IF(AND(Table3[[#This Row],[Length]]&gt;=15, Table3[[#This Row],[Unique]]+Table3[[#This Row],[Randomize]]+J369+K369&gt;=2), 1, 0)</f>
        <v>0</v>
      </c>
    </row>
    <row r="370" spans="2:12" x14ac:dyDescent="0.3">
      <c r="B370">
        <f>Table3[[#This Row],[Alphabets]]+Table3[[#This Row],[Numbers]]+Table3[[#This Row],[Special Character]]</f>
        <v>22</v>
      </c>
      <c r="C370">
        <f>Table3[[#This Row],[Lowercase]]+Table3[[#This Row],[Uppercase]]</f>
        <v>10</v>
      </c>
      <c r="D370">
        <v>7</v>
      </c>
      <c r="E370">
        <v>3</v>
      </c>
      <c r="F370">
        <v>7</v>
      </c>
      <c r="G370">
        <v>5</v>
      </c>
      <c r="H370">
        <v>1</v>
      </c>
      <c r="I370">
        <v>0</v>
      </c>
      <c r="J370">
        <v>1</v>
      </c>
      <c r="K370">
        <v>0</v>
      </c>
      <c r="L370">
        <f>IF(AND(Table3[[#This Row],[Length]]&gt;=15, Table3[[#This Row],[Unique]]+Table3[[#This Row],[Randomize]]+J370+K370&gt;=2), 1, 0)</f>
        <v>1</v>
      </c>
    </row>
    <row r="371" spans="2:12" x14ac:dyDescent="0.3">
      <c r="B371">
        <f>Table3[[#This Row],[Alphabets]]+Table3[[#This Row],[Numbers]]+Table3[[#This Row],[Special Character]]</f>
        <v>23</v>
      </c>
      <c r="C371">
        <f>Table3[[#This Row],[Lowercase]]+Table3[[#This Row],[Uppercase]]</f>
        <v>11</v>
      </c>
      <c r="D371">
        <v>8</v>
      </c>
      <c r="E371">
        <v>3</v>
      </c>
      <c r="F371">
        <v>8</v>
      </c>
      <c r="G371">
        <v>4</v>
      </c>
      <c r="H371">
        <v>1</v>
      </c>
      <c r="I371">
        <v>0</v>
      </c>
      <c r="J371">
        <v>0</v>
      </c>
      <c r="K371">
        <v>0</v>
      </c>
      <c r="L371">
        <f>IF(AND(Table3[[#This Row],[Length]]&gt;=15, Table3[[#This Row],[Unique]]+Table3[[#This Row],[Randomize]]+J371+K371&gt;=2), 1, 0)</f>
        <v>0</v>
      </c>
    </row>
    <row r="372" spans="2:12" x14ac:dyDescent="0.3">
      <c r="B372">
        <f>Table3[[#This Row],[Alphabets]]+Table3[[#This Row],[Numbers]]+Table3[[#This Row],[Special Character]]</f>
        <v>13</v>
      </c>
      <c r="C372">
        <f>Table3[[#This Row],[Lowercase]]+Table3[[#This Row],[Uppercase]]</f>
        <v>10</v>
      </c>
      <c r="D372">
        <v>3</v>
      </c>
      <c r="E372">
        <v>9</v>
      </c>
      <c r="F372">
        <v>1</v>
      </c>
      <c r="G372">
        <v>0</v>
      </c>
      <c r="H372">
        <v>0</v>
      </c>
      <c r="I372">
        <v>0</v>
      </c>
      <c r="J372">
        <v>1</v>
      </c>
      <c r="K372">
        <v>1</v>
      </c>
      <c r="L372">
        <f>IF(AND(Table3[[#This Row],[Length]]&gt;=15, Table3[[#This Row],[Unique]]+Table3[[#This Row],[Randomize]]+J372+K372&gt;=2), 1, 0)</f>
        <v>0</v>
      </c>
    </row>
    <row r="373" spans="2:12" x14ac:dyDescent="0.3">
      <c r="B373">
        <f>Table3[[#This Row],[Alphabets]]+Table3[[#This Row],[Numbers]]+Table3[[#This Row],[Special Character]]</f>
        <v>22</v>
      </c>
      <c r="C373">
        <f>Table3[[#This Row],[Lowercase]]+Table3[[#This Row],[Uppercase]]</f>
        <v>8</v>
      </c>
      <c r="D373">
        <v>8</v>
      </c>
      <c r="E373">
        <v>8</v>
      </c>
      <c r="F373">
        <v>0</v>
      </c>
      <c r="G373">
        <v>6</v>
      </c>
      <c r="H373">
        <v>1</v>
      </c>
      <c r="I373">
        <v>0</v>
      </c>
      <c r="J373">
        <v>0</v>
      </c>
      <c r="K373">
        <v>0</v>
      </c>
      <c r="L373">
        <f>IF(AND(Table3[[#This Row],[Length]]&gt;=15, Table3[[#This Row],[Unique]]+Table3[[#This Row],[Randomize]]+J373+K373&gt;=2), 1, 0)</f>
        <v>0</v>
      </c>
    </row>
    <row r="374" spans="2:12" x14ac:dyDescent="0.3">
      <c r="B374">
        <f>Table3[[#This Row],[Alphabets]]+Table3[[#This Row],[Numbers]]+Table3[[#This Row],[Special Character]]</f>
        <v>24</v>
      </c>
      <c r="C374">
        <f>Table3[[#This Row],[Lowercase]]+Table3[[#This Row],[Uppercase]]</f>
        <v>16</v>
      </c>
      <c r="D374">
        <v>3</v>
      </c>
      <c r="E374">
        <v>8</v>
      </c>
      <c r="F374">
        <v>8</v>
      </c>
      <c r="G374">
        <v>5</v>
      </c>
      <c r="H374">
        <v>1</v>
      </c>
      <c r="I374">
        <v>0</v>
      </c>
      <c r="J374">
        <v>0</v>
      </c>
      <c r="K374">
        <v>1</v>
      </c>
      <c r="L374">
        <f>IF(AND(Table3[[#This Row],[Length]]&gt;=15, Table3[[#This Row],[Unique]]+Table3[[#This Row],[Randomize]]+J374+K374&gt;=2), 1, 0)</f>
        <v>1</v>
      </c>
    </row>
    <row r="375" spans="2:12" x14ac:dyDescent="0.3">
      <c r="B375">
        <f>Table3[[#This Row],[Alphabets]]+Table3[[#This Row],[Numbers]]+Table3[[#This Row],[Special Character]]</f>
        <v>22</v>
      </c>
      <c r="C375">
        <f>Table3[[#This Row],[Lowercase]]+Table3[[#This Row],[Uppercase]]</f>
        <v>11</v>
      </c>
      <c r="D375">
        <v>7</v>
      </c>
      <c r="E375">
        <v>3</v>
      </c>
      <c r="F375">
        <v>8</v>
      </c>
      <c r="G375">
        <v>4</v>
      </c>
      <c r="H375">
        <v>0</v>
      </c>
      <c r="I375">
        <v>0</v>
      </c>
      <c r="J375">
        <v>1</v>
      </c>
      <c r="K375">
        <v>0</v>
      </c>
      <c r="L375">
        <f>IF(AND(Table3[[#This Row],[Length]]&gt;=15, Table3[[#This Row],[Unique]]+Table3[[#This Row],[Randomize]]+J375+K375&gt;=2), 1, 0)</f>
        <v>0</v>
      </c>
    </row>
    <row r="376" spans="2:12" x14ac:dyDescent="0.3">
      <c r="B376">
        <f>Table3[[#This Row],[Alphabets]]+Table3[[#This Row],[Numbers]]+Table3[[#This Row],[Special Character]]</f>
        <v>17</v>
      </c>
      <c r="C376">
        <f>Table3[[#This Row],[Lowercase]]+Table3[[#This Row],[Uppercase]]</f>
        <v>10</v>
      </c>
      <c r="D376">
        <v>4</v>
      </c>
      <c r="E376">
        <v>6</v>
      </c>
      <c r="F376">
        <v>4</v>
      </c>
      <c r="G376">
        <v>3</v>
      </c>
      <c r="H376">
        <v>1</v>
      </c>
      <c r="I376">
        <v>0</v>
      </c>
      <c r="J376">
        <v>1</v>
      </c>
      <c r="K376">
        <v>0</v>
      </c>
      <c r="L376">
        <f>IF(AND(Table3[[#This Row],[Length]]&gt;=15, Table3[[#This Row],[Unique]]+Table3[[#This Row],[Randomize]]+J376+K376&gt;=2), 1, 0)</f>
        <v>1</v>
      </c>
    </row>
    <row r="377" spans="2:12" x14ac:dyDescent="0.3">
      <c r="B377">
        <f>Table3[[#This Row],[Alphabets]]+Table3[[#This Row],[Numbers]]+Table3[[#This Row],[Special Character]]</f>
        <v>27</v>
      </c>
      <c r="C377">
        <f>Table3[[#This Row],[Lowercase]]+Table3[[#This Row],[Uppercase]]</f>
        <v>16</v>
      </c>
      <c r="D377">
        <v>7</v>
      </c>
      <c r="E377">
        <v>6</v>
      </c>
      <c r="F377">
        <v>10</v>
      </c>
      <c r="G377">
        <v>4</v>
      </c>
      <c r="H377">
        <v>1</v>
      </c>
      <c r="I377">
        <v>0</v>
      </c>
      <c r="J377">
        <v>0</v>
      </c>
      <c r="K377">
        <v>0</v>
      </c>
      <c r="L377">
        <f>IF(AND(Table3[[#This Row],[Length]]&gt;=15, Table3[[#This Row],[Unique]]+Table3[[#This Row],[Randomize]]+J377+K377&gt;=2), 1, 0)</f>
        <v>0</v>
      </c>
    </row>
    <row r="378" spans="2:12" x14ac:dyDescent="0.3">
      <c r="B378">
        <f>Table3[[#This Row],[Alphabets]]+Table3[[#This Row],[Numbers]]+Table3[[#This Row],[Special Character]]</f>
        <v>15</v>
      </c>
      <c r="C378">
        <f>Table3[[#This Row],[Lowercase]]+Table3[[#This Row],[Uppercase]]</f>
        <v>6</v>
      </c>
      <c r="D378">
        <v>8</v>
      </c>
      <c r="E378">
        <v>3</v>
      </c>
      <c r="F378">
        <v>3</v>
      </c>
      <c r="G378">
        <v>1</v>
      </c>
      <c r="H378">
        <v>1</v>
      </c>
      <c r="I378">
        <v>0</v>
      </c>
      <c r="J378">
        <v>1</v>
      </c>
      <c r="K378">
        <v>0</v>
      </c>
      <c r="L378">
        <f>IF(AND(Table3[[#This Row],[Length]]&gt;=15, Table3[[#This Row],[Unique]]+Table3[[#This Row],[Randomize]]+J378+K378&gt;=2), 1, 0)</f>
        <v>1</v>
      </c>
    </row>
    <row r="379" spans="2:12" x14ac:dyDescent="0.3">
      <c r="B379">
        <f>Table3[[#This Row],[Alphabets]]+Table3[[#This Row],[Numbers]]+Table3[[#This Row],[Special Character]]</f>
        <v>11</v>
      </c>
      <c r="C379">
        <f>Table3[[#This Row],[Lowercase]]+Table3[[#This Row],[Uppercase]]</f>
        <v>10</v>
      </c>
      <c r="D379">
        <v>1</v>
      </c>
      <c r="E379">
        <v>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f>IF(AND(Table3[[#This Row],[Length]]&gt;=15, Table3[[#This Row],[Unique]]+Table3[[#This Row],[Randomize]]+J379+K379&gt;=2), 1, 0)</f>
        <v>0</v>
      </c>
    </row>
    <row r="380" spans="2:12" x14ac:dyDescent="0.3">
      <c r="B380">
        <f>Table3[[#This Row],[Alphabets]]+Table3[[#This Row],[Numbers]]+Table3[[#This Row],[Special Character]]</f>
        <v>16</v>
      </c>
      <c r="C380">
        <f>Table3[[#This Row],[Lowercase]]+Table3[[#This Row],[Uppercase]]</f>
        <v>5</v>
      </c>
      <c r="D380">
        <v>7</v>
      </c>
      <c r="E380">
        <v>4</v>
      </c>
      <c r="F380">
        <v>1</v>
      </c>
      <c r="G380">
        <v>4</v>
      </c>
      <c r="H380">
        <v>0</v>
      </c>
      <c r="I380">
        <v>0</v>
      </c>
      <c r="J380">
        <v>1</v>
      </c>
      <c r="K380">
        <v>1</v>
      </c>
      <c r="L380">
        <f>IF(AND(Table3[[#This Row],[Length]]&gt;=15, Table3[[#This Row],[Unique]]+Table3[[#This Row],[Randomize]]+J380+K380&gt;=2), 1, 0)</f>
        <v>1</v>
      </c>
    </row>
    <row r="381" spans="2:12" x14ac:dyDescent="0.3">
      <c r="B381">
        <f>Table3[[#This Row],[Alphabets]]+Table3[[#This Row],[Numbers]]+Table3[[#This Row],[Special Character]]</f>
        <v>19</v>
      </c>
      <c r="C381">
        <f>Table3[[#This Row],[Lowercase]]+Table3[[#This Row],[Uppercase]]</f>
        <v>15</v>
      </c>
      <c r="D381">
        <v>4</v>
      </c>
      <c r="E381">
        <v>9</v>
      </c>
      <c r="F381">
        <v>6</v>
      </c>
      <c r="G381">
        <v>0</v>
      </c>
      <c r="H381">
        <v>0</v>
      </c>
      <c r="I381">
        <v>0</v>
      </c>
      <c r="J381">
        <v>1</v>
      </c>
      <c r="K381">
        <v>1</v>
      </c>
      <c r="L381">
        <f>IF(AND(Table3[[#This Row],[Length]]&gt;=15, Table3[[#This Row],[Unique]]+Table3[[#This Row],[Randomize]]+J381+K381&gt;=2), 1, 0)</f>
        <v>1</v>
      </c>
    </row>
    <row r="382" spans="2:12" x14ac:dyDescent="0.3">
      <c r="B382">
        <f>Table3[[#This Row],[Alphabets]]+Table3[[#This Row],[Numbers]]+Table3[[#This Row],[Special Character]]</f>
        <v>19</v>
      </c>
      <c r="C382">
        <f>Table3[[#This Row],[Lowercase]]+Table3[[#This Row],[Uppercase]]</f>
        <v>14</v>
      </c>
      <c r="D382">
        <v>2</v>
      </c>
      <c r="E382">
        <v>4</v>
      </c>
      <c r="F382">
        <v>10</v>
      </c>
      <c r="G382">
        <v>3</v>
      </c>
      <c r="H382">
        <v>1</v>
      </c>
      <c r="I382">
        <v>0</v>
      </c>
      <c r="J382">
        <v>0</v>
      </c>
      <c r="K382">
        <v>1</v>
      </c>
      <c r="L382">
        <f>IF(AND(Table3[[#This Row],[Length]]&gt;=15, Table3[[#This Row],[Unique]]+Table3[[#This Row],[Randomize]]+J382+K382&gt;=2), 1, 0)</f>
        <v>1</v>
      </c>
    </row>
    <row r="383" spans="2:12" x14ac:dyDescent="0.3">
      <c r="B383">
        <f>Table3[[#This Row],[Alphabets]]+Table3[[#This Row],[Numbers]]+Table3[[#This Row],[Special Character]]</f>
        <v>20</v>
      </c>
      <c r="C383">
        <f>Table3[[#This Row],[Lowercase]]+Table3[[#This Row],[Uppercase]]</f>
        <v>7</v>
      </c>
      <c r="D383">
        <v>9</v>
      </c>
      <c r="E383">
        <v>2</v>
      </c>
      <c r="F383">
        <v>5</v>
      </c>
      <c r="G383">
        <v>4</v>
      </c>
      <c r="H383">
        <v>0</v>
      </c>
      <c r="I383">
        <v>0</v>
      </c>
      <c r="J383">
        <v>1</v>
      </c>
      <c r="K383">
        <v>1</v>
      </c>
      <c r="L383">
        <f>IF(AND(Table3[[#This Row],[Length]]&gt;=15, Table3[[#This Row],[Unique]]+Table3[[#This Row],[Randomize]]+J383+K383&gt;=2), 1, 0)</f>
        <v>1</v>
      </c>
    </row>
    <row r="384" spans="2:12" x14ac:dyDescent="0.3">
      <c r="B384">
        <f>Table3[[#This Row],[Alphabets]]+Table3[[#This Row],[Numbers]]+Table3[[#This Row],[Special Character]]</f>
        <v>16</v>
      </c>
      <c r="C384">
        <f>Table3[[#This Row],[Lowercase]]+Table3[[#This Row],[Uppercase]]</f>
        <v>2</v>
      </c>
      <c r="D384">
        <v>8</v>
      </c>
      <c r="E384">
        <v>2</v>
      </c>
      <c r="F384">
        <v>0</v>
      </c>
      <c r="G384">
        <v>6</v>
      </c>
      <c r="H384">
        <v>1</v>
      </c>
      <c r="I384">
        <v>0</v>
      </c>
      <c r="J384">
        <v>1</v>
      </c>
      <c r="K384">
        <v>1</v>
      </c>
      <c r="L384">
        <f>IF(AND(Table3[[#This Row],[Length]]&gt;=15, Table3[[#This Row],[Unique]]+Table3[[#This Row],[Randomize]]+J384+K384&gt;=2), 1, 0)</f>
        <v>1</v>
      </c>
    </row>
    <row r="385" spans="2:12" x14ac:dyDescent="0.3">
      <c r="B385">
        <f>Table3[[#This Row],[Alphabets]]+Table3[[#This Row],[Numbers]]+Table3[[#This Row],[Special Character]]</f>
        <v>7</v>
      </c>
      <c r="C385">
        <f>Table3[[#This Row],[Lowercase]]+Table3[[#This Row],[Uppercase]]</f>
        <v>1</v>
      </c>
      <c r="D385">
        <v>4</v>
      </c>
      <c r="E385">
        <v>1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1</v>
      </c>
      <c r="L385">
        <f>IF(AND(Table3[[#This Row],[Length]]&gt;=15, Table3[[#This Row],[Unique]]+Table3[[#This Row],[Randomize]]+J385+K385&gt;=2), 1, 0)</f>
        <v>0</v>
      </c>
    </row>
    <row r="386" spans="2:12" x14ac:dyDescent="0.3">
      <c r="B386">
        <f>Table3[[#This Row],[Alphabets]]+Table3[[#This Row],[Numbers]]+Table3[[#This Row],[Special Character]]</f>
        <v>20</v>
      </c>
      <c r="C386">
        <f>Table3[[#This Row],[Lowercase]]+Table3[[#This Row],[Uppercase]]</f>
        <v>12</v>
      </c>
      <c r="D386">
        <v>5</v>
      </c>
      <c r="E386">
        <v>5</v>
      </c>
      <c r="F386">
        <v>7</v>
      </c>
      <c r="G386">
        <v>3</v>
      </c>
      <c r="H386">
        <v>0</v>
      </c>
      <c r="I386">
        <v>0</v>
      </c>
      <c r="J386">
        <v>0</v>
      </c>
      <c r="K386">
        <v>1</v>
      </c>
      <c r="L386">
        <f>IF(AND(Table3[[#This Row],[Length]]&gt;=15, Table3[[#This Row],[Unique]]+Table3[[#This Row],[Randomize]]+J386+K386&gt;=2), 1, 0)</f>
        <v>0</v>
      </c>
    </row>
    <row r="387" spans="2:12" x14ac:dyDescent="0.3">
      <c r="B387">
        <f>Table3[[#This Row],[Alphabets]]+Table3[[#This Row],[Numbers]]+Table3[[#This Row],[Special Character]]</f>
        <v>17</v>
      </c>
      <c r="C387">
        <f>Table3[[#This Row],[Lowercase]]+Table3[[#This Row],[Uppercase]]</f>
        <v>14</v>
      </c>
      <c r="D387">
        <v>2</v>
      </c>
      <c r="E387">
        <v>9</v>
      </c>
      <c r="F387">
        <v>5</v>
      </c>
      <c r="G387">
        <v>1</v>
      </c>
      <c r="H387">
        <v>0</v>
      </c>
      <c r="I387">
        <v>0</v>
      </c>
      <c r="J387">
        <v>1</v>
      </c>
      <c r="K387">
        <v>1</v>
      </c>
      <c r="L387">
        <f>IF(AND(Table3[[#This Row],[Length]]&gt;=15, Table3[[#This Row],[Unique]]+Table3[[#This Row],[Randomize]]+J387+K387&gt;=2), 1, 0)</f>
        <v>1</v>
      </c>
    </row>
    <row r="388" spans="2:12" x14ac:dyDescent="0.3">
      <c r="B388">
        <f>Table3[[#This Row],[Alphabets]]+Table3[[#This Row],[Numbers]]+Table3[[#This Row],[Special Character]]</f>
        <v>13</v>
      </c>
      <c r="C388">
        <f>Table3[[#This Row],[Lowercase]]+Table3[[#This Row],[Uppercase]]</f>
        <v>8</v>
      </c>
      <c r="D388">
        <v>5</v>
      </c>
      <c r="E388">
        <v>5</v>
      </c>
      <c r="F388">
        <v>3</v>
      </c>
      <c r="G388">
        <v>0</v>
      </c>
      <c r="H388">
        <v>0</v>
      </c>
      <c r="I388">
        <v>0</v>
      </c>
      <c r="J388">
        <v>1</v>
      </c>
      <c r="K388">
        <v>0</v>
      </c>
      <c r="L388">
        <f>IF(AND(Table3[[#This Row],[Length]]&gt;=15, Table3[[#This Row],[Unique]]+Table3[[#This Row],[Randomize]]+J388+K388&gt;=2), 1, 0)</f>
        <v>0</v>
      </c>
    </row>
    <row r="389" spans="2:12" x14ac:dyDescent="0.3">
      <c r="B389">
        <f>Table3[[#This Row],[Alphabets]]+Table3[[#This Row],[Numbers]]+Table3[[#This Row],[Special Character]]</f>
        <v>6</v>
      </c>
      <c r="C389">
        <f>Table3[[#This Row],[Lowercase]]+Table3[[#This Row],[Uppercase]]</f>
        <v>1</v>
      </c>
      <c r="D389">
        <v>3</v>
      </c>
      <c r="E389">
        <v>1</v>
      </c>
      <c r="F389">
        <v>0</v>
      </c>
      <c r="G389">
        <v>2</v>
      </c>
      <c r="H389">
        <v>0</v>
      </c>
      <c r="I389">
        <v>0</v>
      </c>
      <c r="J389">
        <v>1</v>
      </c>
      <c r="K389">
        <v>1</v>
      </c>
      <c r="L389">
        <f>IF(AND(Table3[[#This Row],[Length]]&gt;=15, Table3[[#This Row],[Unique]]+Table3[[#This Row],[Randomize]]+J389+K389&gt;=2), 1, 0)</f>
        <v>0</v>
      </c>
    </row>
    <row r="390" spans="2:12" x14ac:dyDescent="0.3">
      <c r="B390">
        <f>Table3[[#This Row],[Alphabets]]+Table3[[#This Row],[Numbers]]+Table3[[#This Row],[Special Character]]</f>
        <v>18</v>
      </c>
      <c r="C390">
        <f>Table3[[#This Row],[Lowercase]]+Table3[[#This Row],[Uppercase]]</f>
        <v>15</v>
      </c>
      <c r="D390">
        <v>0</v>
      </c>
      <c r="E390">
        <v>8</v>
      </c>
      <c r="F390">
        <v>7</v>
      </c>
      <c r="G390">
        <v>3</v>
      </c>
      <c r="H390">
        <v>1</v>
      </c>
      <c r="I390">
        <v>0</v>
      </c>
      <c r="J390">
        <v>0</v>
      </c>
      <c r="K390">
        <v>0</v>
      </c>
      <c r="L390">
        <f>IF(AND(Table3[[#This Row],[Length]]&gt;=15, Table3[[#This Row],[Unique]]+Table3[[#This Row],[Randomize]]+J390+K390&gt;=2), 1, 0)</f>
        <v>0</v>
      </c>
    </row>
    <row r="391" spans="2:12" x14ac:dyDescent="0.3">
      <c r="B391">
        <f>Table3[[#This Row],[Alphabets]]+Table3[[#This Row],[Numbers]]+Table3[[#This Row],[Special Character]]</f>
        <v>25</v>
      </c>
      <c r="C391">
        <f>Table3[[#This Row],[Lowercase]]+Table3[[#This Row],[Uppercase]]</f>
        <v>16</v>
      </c>
      <c r="D391">
        <v>7</v>
      </c>
      <c r="E391">
        <v>7</v>
      </c>
      <c r="F391">
        <v>9</v>
      </c>
      <c r="G391">
        <v>2</v>
      </c>
      <c r="H391">
        <v>0</v>
      </c>
      <c r="I391">
        <v>0</v>
      </c>
      <c r="J391">
        <v>0</v>
      </c>
      <c r="K391">
        <v>0</v>
      </c>
      <c r="L391">
        <f>IF(AND(Table3[[#This Row],[Length]]&gt;=15, Table3[[#This Row],[Unique]]+Table3[[#This Row],[Randomize]]+J391+K391&gt;=2), 1, 0)</f>
        <v>0</v>
      </c>
    </row>
    <row r="392" spans="2:12" x14ac:dyDescent="0.3">
      <c r="B392">
        <f>Table3[[#This Row],[Alphabets]]+Table3[[#This Row],[Numbers]]+Table3[[#This Row],[Special Character]]</f>
        <v>8</v>
      </c>
      <c r="C392">
        <f>Table3[[#This Row],[Lowercase]]+Table3[[#This Row],[Uppercase]]</f>
        <v>1</v>
      </c>
      <c r="D392">
        <v>2</v>
      </c>
      <c r="E392">
        <v>1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1</v>
      </c>
      <c r="L392">
        <f>IF(AND(Table3[[#This Row],[Length]]&gt;=15, Table3[[#This Row],[Unique]]+Table3[[#This Row],[Randomize]]+J392+K392&gt;=2), 1, 0)</f>
        <v>0</v>
      </c>
    </row>
    <row r="393" spans="2:12" x14ac:dyDescent="0.3">
      <c r="B393">
        <f>Table3[[#This Row],[Alphabets]]+Table3[[#This Row],[Numbers]]+Table3[[#This Row],[Special Character]]</f>
        <v>17</v>
      </c>
      <c r="C393">
        <f>Table3[[#This Row],[Lowercase]]+Table3[[#This Row],[Uppercase]]</f>
        <v>11</v>
      </c>
      <c r="D393">
        <v>0</v>
      </c>
      <c r="E393">
        <v>5</v>
      </c>
      <c r="F393">
        <v>6</v>
      </c>
      <c r="G393">
        <v>6</v>
      </c>
      <c r="H393">
        <v>0</v>
      </c>
      <c r="I393">
        <v>0</v>
      </c>
      <c r="J393">
        <v>0</v>
      </c>
      <c r="K393">
        <v>0</v>
      </c>
      <c r="L393">
        <f>IF(AND(Table3[[#This Row],[Length]]&gt;=15, Table3[[#This Row],[Unique]]+Table3[[#This Row],[Randomize]]+J393+K393&gt;=2), 1, 0)</f>
        <v>0</v>
      </c>
    </row>
    <row r="394" spans="2:12" x14ac:dyDescent="0.3">
      <c r="B394">
        <f>Table3[[#This Row],[Alphabets]]+Table3[[#This Row],[Numbers]]+Table3[[#This Row],[Special Character]]</f>
        <v>18</v>
      </c>
      <c r="C394">
        <f>Table3[[#This Row],[Lowercase]]+Table3[[#This Row],[Uppercase]]</f>
        <v>11</v>
      </c>
      <c r="D394">
        <v>4</v>
      </c>
      <c r="E394">
        <v>10</v>
      </c>
      <c r="F394">
        <v>1</v>
      </c>
      <c r="G394">
        <v>3</v>
      </c>
      <c r="H394">
        <v>1</v>
      </c>
      <c r="I394">
        <v>0</v>
      </c>
      <c r="J394">
        <v>1</v>
      </c>
      <c r="K394">
        <v>0</v>
      </c>
      <c r="L394">
        <f>IF(AND(Table3[[#This Row],[Length]]&gt;=15, Table3[[#This Row],[Unique]]+Table3[[#This Row],[Randomize]]+J394+K394&gt;=2), 1, 0)</f>
        <v>1</v>
      </c>
    </row>
    <row r="395" spans="2:12" x14ac:dyDescent="0.3">
      <c r="B395">
        <f>Table3[[#This Row],[Alphabets]]+Table3[[#This Row],[Numbers]]+Table3[[#This Row],[Special Character]]</f>
        <v>26</v>
      </c>
      <c r="C395">
        <f>Table3[[#This Row],[Lowercase]]+Table3[[#This Row],[Uppercase]]</f>
        <v>16</v>
      </c>
      <c r="D395">
        <v>9</v>
      </c>
      <c r="E395">
        <v>9</v>
      </c>
      <c r="F395">
        <v>7</v>
      </c>
      <c r="G395">
        <v>1</v>
      </c>
      <c r="H395">
        <v>0</v>
      </c>
      <c r="I395">
        <v>0</v>
      </c>
      <c r="J395">
        <v>0</v>
      </c>
      <c r="K395">
        <v>0</v>
      </c>
      <c r="L395">
        <f>IF(AND(Table3[[#This Row],[Length]]&gt;=15, Table3[[#This Row],[Unique]]+Table3[[#This Row],[Randomize]]+J395+K395&gt;=2), 1, 0)</f>
        <v>0</v>
      </c>
    </row>
    <row r="396" spans="2:12" x14ac:dyDescent="0.3">
      <c r="B396">
        <f>Table3[[#This Row],[Alphabets]]+Table3[[#This Row],[Numbers]]+Table3[[#This Row],[Special Character]]</f>
        <v>8</v>
      </c>
      <c r="C396">
        <f>Table3[[#This Row],[Lowercase]]+Table3[[#This Row],[Uppercase]]</f>
        <v>1</v>
      </c>
      <c r="D396">
        <v>4</v>
      </c>
      <c r="E396">
        <v>1</v>
      </c>
      <c r="F396">
        <v>0</v>
      </c>
      <c r="G396">
        <v>3</v>
      </c>
      <c r="H396">
        <v>1</v>
      </c>
      <c r="I396">
        <v>0</v>
      </c>
      <c r="J396">
        <v>1</v>
      </c>
      <c r="K396">
        <v>1</v>
      </c>
      <c r="L396">
        <f>IF(AND(Table3[[#This Row],[Length]]&gt;=15, Table3[[#This Row],[Unique]]+Table3[[#This Row],[Randomize]]+J396+K396&gt;=2), 1, 0)</f>
        <v>0</v>
      </c>
    </row>
    <row r="397" spans="2:12" x14ac:dyDescent="0.3">
      <c r="B397">
        <f>Table3[[#This Row],[Alphabets]]+Table3[[#This Row],[Numbers]]+Table3[[#This Row],[Special Character]]</f>
        <v>25</v>
      </c>
      <c r="C397">
        <f>Table3[[#This Row],[Lowercase]]+Table3[[#This Row],[Uppercase]]</f>
        <v>14</v>
      </c>
      <c r="D397">
        <v>5</v>
      </c>
      <c r="E397">
        <v>10</v>
      </c>
      <c r="F397">
        <v>4</v>
      </c>
      <c r="G397">
        <v>6</v>
      </c>
      <c r="H397">
        <v>1</v>
      </c>
      <c r="I397">
        <v>0</v>
      </c>
      <c r="J397">
        <v>0</v>
      </c>
      <c r="K397">
        <v>0</v>
      </c>
      <c r="L397">
        <f>IF(AND(Table3[[#This Row],[Length]]&gt;=15, Table3[[#This Row],[Unique]]+Table3[[#This Row],[Randomize]]+J397+K397&gt;=2), 1, 0)</f>
        <v>0</v>
      </c>
    </row>
    <row r="398" spans="2:12" x14ac:dyDescent="0.3">
      <c r="B398">
        <f>Table3[[#This Row],[Alphabets]]+Table3[[#This Row],[Numbers]]+Table3[[#This Row],[Special Character]]</f>
        <v>3</v>
      </c>
      <c r="C398">
        <f>Table3[[#This Row],[Lowercase]]+Table3[[#This Row],[Uppercase]]</f>
        <v>2</v>
      </c>
      <c r="D398">
        <v>0</v>
      </c>
      <c r="E398">
        <v>2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1</v>
      </c>
      <c r="L398">
        <f>IF(AND(Table3[[#This Row],[Length]]&gt;=15, Table3[[#This Row],[Unique]]+Table3[[#This Row],[Randomize]]+J398+K398&gt;=2), 1, 0)</f>
        <v>0</v>
      </c>
    </row>
    <row r="399" spans="2:12" x14ac:dyDescent="0.3">
      <c r="B399">
        <f>Table3[[#This Row],[Alphabets]]+Table3[[#This Row],[Numbers]]+Table3[[#This Row],[Special Character]]</f>
        <v>16</v>
      </c>
      <c r="C399">
        <f>Table3[[#This Row],[Lowercase]]+Table3[[#This Row],[Uppercase]]</f>
        <v>12</v>
      </c>
      <c r="D399">
        <v>4</v>
      </c>
      <c r="E399">
        <v>6</v>
      </c>
      <c r="F399">
        <v>6</v>
      </c>
      <c r="G399">
        <v>0</v>
      </c>
      <c r="H399">
        <v>1</v>
      </c>
      <c r="I399">
        <v>0</v>
      </c>
      <c r="J399">
        <v>1</v>
      </c>
      <c r="K399">
        <v>1</v>
      </c>
      <c r="L399">
        <f>IF(AND(Table3[[#This Row],[Length]]&gt;=15, Table3[[#This Row],[Unique]]+Table3[[#This Row],[Randomize]]+J399+K399&gt;=2), 1, 0)</f>
        <v>1</v>
      </c>
    </row>
    <row r="400" spans="2:12" x14ac:dyDescent="0.3">
      <c r="B400">
        <f>Table3[[#This Row],[Alphabets]]+Table3[[#This Row],[Numbers]]+Table3[[#This Row],[Special Character]]</f>
        <v>18</v>
      </c>
      <c r="C400">
        <f>Table3[[#This Row],[Lowercase]]+Table3[[#This Row],[Uppercase]]</f>
        <v>6</v>
      </c>
      <c r="D400">
        <v>9</v>
      </c>
      <c r="E400">
        <v>0</v>
      </c>
      <c r="F400">
        <v>6</v>
      </c>
      <c r="G400">
        <v>3</v>
      </c>
      <c r="H400">
        <v>1</v>
      </c>
      <c r="I400">
        <v>0</v>
      </c>
      <c r="J400">
        <v>1</v>
      </c>
      <c r="K400">
        <v>1</v>
      </c>
      <c r="L400">
        <f>IF(AND(Table3[[#This Row],[Length]]&gt;=15, Table3[[#This Row],[Unique]]+Table3[[#This Row],[Randomize]]+J400+K400&gt;=2), 1, 0)</f>
        <v>1</v>
      </c>
    </row>
    <row r="401" spans="2:12" x14ac:dyDescent="0.3">
      <c r="B401">
        <f>Table3[[#This Row],[Alphabets]]+Table3[[#This Row],[Numbers]]+Table3[[#This Row],[Special Character]]</f>
        <v>23</v>
      </c>
      <c r="C401">
        <f>Table3[[#This Row],[Lowercase]]+Table3[[#This Row],[Uppercase]]</f>
        <v>11</v>
      </c>
      <c r="D401">
        <v>8</v>
      </c>
      <c r="E401">
        <v>10</v>
      </c>
      <c r="F401">
        <v>1</v>
      </c>
      <c r="G401">
        <v>4</v>
      </c>
      <c r="H401">
        <v>1</v>
      </c>
      <c r="I401">
        <v>0</v>
      </c>
      <c r="J401">
        <v>1</v>
      </c>
      <c r="K401">
        <v>1</v>
      </c>
      <c r="L401">
        <f>IF(AND(Table3[[#This Row],[Length]]&gt;=15, Table3[[#This Row],[Unique]]+Table3[[#This Row],[Randomize]]+J401+K401&gt;=2), 1, 0)</f>
        <v>1</v>
      </c>
    </row>
    <row r="402" spans="2:12" x14ac:dyDescent="0.3">
      <c r="B402">
        <f>Table3[[#This Row],[Alphabets]]+Table3[[#This Row],[Numbers]]+Table3[[#This Row],[Special Character]]</f>
        <v>16</v>
      </c>
      <c r="C402">
        <f>Table3[[#This Row],[Lowercase]]+Table3[[#This Row],[Uppercase]]</f>
        <v>9</v>
      </c>
      <c r="D402">
        <v>2</v>
      </c>
      <c r="E402">
        <v>1</v>
      </c>
      <c r="F402">
        <v>8</v>
      </c>
      <c r="G402">
        <v>5</v>
      </c>
      <c r="H402">
        <v>0</v>
      </c>
      <c r="I402">
        <v>0</v>
      </c>
      <c r="J402">
        <v>1</v>
      </c>
      <c r="K402">
        <v>1</v>
      </c>
      <c r="L402">
        <f>IF(AND(Table3[[#This Row],[Length]]&gt;=15, Table3[[#This Row],[Unique]]+Table3[[#This Row],[Randomize]]+J402+K402&gt;=2), 1, 0)</f>
        <v>1</v>
      </c>
    </row>
    <row r="403" spans="2:12" x14ac:dyDescent="0.3">
      <c r="B403">
        <f>Table3[[#This Row],[Alphabets]]+Table3[[#This Row],[Numbers]]+Table3[[#This Row],[Special Character]]</f>
        <v>13</v>
      </c>
      <c r="C403">
        <f>Table3[[#This Row],[Lowercase]]+Table3[[#This Row],[Uppercase]]</f>
        <v>8</v>
      </c>
      <c r="D403">
        <v>4</v>
      </c>
      <c r="E403">
        <v>2</v>
      </c>
      <c r="F403">
        <v>6</v>
      </c>
      <c r="G403">
        <v>1</v>
      </c>
      <c r="H403">
        <v>1</v>
      </c>
      <c r="I403">
        <v>0</v>
      </c>
      <c r="J403">
        <v>1</v>
      </c>
      <c r="K403">
        <v>0</v>
      </c>
      <c r="L403">
        <f>IF(AND(Table3[[#This Row],[Length]]&gt;=15, Table3[[#This Row],[Unique]]+Table3[[#This Row],[Randomize]]+J403+K403&gt;=2), 1, 0)</f>
        <v>0</v>
      </c>
    </row>
    <row r="404" spans="2:12" x14ac:dyDescent="0.3">
      <c r="B404">
        <f>Table3[[#This Row],[Alphabets]]+Table3[[#This Row],[Numbers]]+Table3[[#This Row],[Special Character]]</f>
        <v>14</v>
      </c>
      <c r="C404">
        <f>Table3[[#This Row],[Lowercase]]+Table3[[#This Row],[Uppercase]]</f>
        <v>8</v>
      </c>
      <c r="D404">
        <v>3</v>
      </c>
      <c r="E404">
        <v>5</v>
      </c>
      <c r="F404">
        <v>3</v>
      </c>
      <c r="G404">
        <v>3</v>
      </c>
      <c r="H404">
        <v>0</v>
      </c>
      <c r="I404">
        <v>0</v>
      </c>
      <c r="J404">
        <v>1</v>
      </c>
      <c r="K404">
        <v>1</v>
      </c>
      <c r="L404">
        <f>IF(AND(Table3[[#This Row],[Length]]&gt;=15, Table3[[#This Row],[Unique]]+Table3[[#This Row],[Randomize]]+J404+K404&gt;=2), 1, 0)</f>
        <v>0</v>
      </c>
    </row>
    <row r="405" spans="2:12" x14ac:dyDescent="0.3">
      <c r="B405">
        <f>Table3[[#This Row],[Alphabets]]+Table3[[#This Row],[Numbers]]+Table3[[#This Row],[Special Character]]</f>
        <v>21</v>
      </c>
      <c r="C405">
        <f>Table3[[#This Row],[Lowercase]]+Table3[[#This Row],[Uppercase]]</f>
        <v>9</v>
      </c>
      <c r="D405">
        <v>9</v>
      </c>
      <c r="E405">
        <v>2</v>
      </c>
      <c r="F405">
        <v>7</v>
      </c>
      <c r="G405">
        <v>3</v>
      </c>
      <c r="H405">
        <v>1</v>
      </c>
      <c r="I405">
        <v>0</v>
      </c>
      <c r="J405">
        <v>0</v>
      </c>
      <c r="K405">
        <v>0</v>
      </c>
      <c r="L405">
        <f>IF(AND(Table3[[#This Row],[Length]]&gt;=15, Table3[[#This Row],[Unique]]+Table3[[#This Row],[Randomize]]+J405+K405&gt;=2), 1, 0)</f>
        <v>0</v>
      </c>
    </row>
    <row r="406" spans="2:12" x14ac:dyDescent="0.3">
      <c r="B406">
        <f>Table3[[#This Row],[Alphabets]]+Table3[[#This Row],[Numbers]]+Table3[[#This Row],[Special Character]]</f>
        <v>18</v>
      </c>
      <c r="C406">
        <f>Table3[[#This Row],[Lowercase]]+Table3[[#This Row],[Uppercase]]</f>
        <v>12</v>
      </c>
      <c r="D406">
        <v>5</v>
      </c>
      <c r="E406">
        <v>5</v>
      </c>
      <c r="F406">
        <v>7</v>
      </c>
      <c r="G406">
        <v>1</v>
      </c>
      <c r="H406">
        <v>0</v>
      </c>
      <c r="I406">
        <v>0</v>
      </c>
      <c r="J406">
        <v>0</v>
      </c>
      <c r="K406">
        <v>1</v>
      </c>
      <c r="L406">
        <f>IF(AND(Table3[[#This Row],[Length]]&gt;=15, Table3[[#This Row],[Unique]]+Table3[[#This Row],[Randomize]]+J406+K406&gt;=2), 1, 0)</f>
        <v>0</v>
      </c>
    </row>
    <row r="407" spans="2:12" x14ac:dyDescent="0.3">
      <c r="B407">
        <f>Table3[[#This Row],[Alphabets]]+Table3[[#This Row],[Numbers]]+Table3[[#This Row],[Special Character]]</f>
        <v>11</v>
      </c>
      <c r="C407">
        <f>Table3[[#This Row],[Lowercase]]+Table3[[#This Row],[Uppercase]]</f>
        <v>8</v>
      </c>
      <c r="D407">
        <v>2</v>
      </c>
      <c r="E407">
        <v>0</v>
      </c>
      <c r="F407">
        <v>8</v>
      </c>
      <c r="G407">
        <v>1</v>
      </c>
      <c r="H407">
        <v>1</v>
      </c>
      <c r="I407">
        <v>0</v>
      </c>
      <c r="J407">
        <v>1</v>
      </c>
      <c r="K407">
        <v>1</v>
      </c>
      <c r="L407">
        <f>IF(AND(Table3[[#This Row],[Length]]&gt;=15, Table3[[#This Row],[Unique]]+Table3[[#This Row],[Randomize]]+J407+K407&gt;=2), 1, 0)</f>
        <v>0</v>
      </c>
    </row>
    <row r="408" spans="2:12" x14ac:dyDescent="0.3">
      <c r="B408">
        <f>Table3[[#This Row],[Alphabets]]+Table3[[#This Row],[Numbers]]+Table3[[#This Row],[Special Character]]</f>
        <v>16</v>
      </c>
      <c r="C408">
        <f>Table3[[#This Row],[Lowercase]]+Table3[[#This Row],[Uppercase]]</f>
        <v>10</v>
      </c>
      <c r="D408">
        <v>1</v>
      </c>
      <c r="E408">
        <v>1</v>
      </c>
      <c r="F408">
        <v>9</v>
      </c>
      <c r="G408">
        <v>5</v>
      </c>
      <c r="H408">
        <v>1</v>
      </c>
      <c r="I408">
        <v>0</v>
      </c>
      <c r="J408">
        <v>0</v>
      </c>
      <c r="K408">
        <v>0</v>
      </c>
      <c r="L408">
        <f>IF(AND(Table3[[#This Row],[Length]]&gt;=15, Table3[[#This Row],[Unique]]+Table3[[#This Row],[Randomize]]+J408+K408&gt;=2), 1, 0)</f>
        <v>0</v>
      </c>
    </row>
    <row r="409" spans="2:12" x14ac:dyDescent="0.3">
      <c r="B409">
        <f>Table3[[#This Row],[Alphabets]]+Table3[[#This Row],[Numbers]]+Table3[[#This Row],[Special Character]]</f>
        <v>19</v>
      </c>
      <c r="C409">
        <f>Table3[[#This Row],[Lowercase]]+Table3[[#This Row],[Uppercase]]</f>
        <v>10</v>
      </c>
      <c r="D409">
        <v>4</v>
      </c>
      <c r="E409">
        <v>4</v>
      </c>
      <c r="F409">
        <v>6</v>
      </c>
      <c r="G409">
        <v>5</v>
      </c>
      <c r="H409">
        <v>0</v>
      </c>
      <c r="I409">
        <v>0</v>
      </c>
      <c r="J409">
        <v>1</v>
      </c>
      <c r="K409">
        <v>1</v>
      </c>
      <c r="L409">
        <f>IF(AND(Table3[[#This Row],[Length]]&gt;=15, Table3[[#This Row],[Unique]]+Table3[[#This Row],[Randomize]]+J409+K409&gt;=2), 1, 0)</f>
        <v>1</v>
      </c>
    </row>
    <row r="410" spans="2:12" x14ac:dyDescent="0.3">
      <c r="B410">
        <f>Table3[[#This Row],[Alphabets]]+Table3[[#This Row],[Numbers]]+Table3[[#This Row],[Special Character]]</f>
        <v>9</v>
      </c>
      <c r="C410">
        <f>Table3[[#This Row],[Lowercase]]+Table3[[#This Row],[Uppercase]]</f>
        <v>3</v>
      </c>
      <c r="D410">
        <v>5</v>
      </c>
      <c r="E410">
        <v>2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0</v>
      </c>
      <c r="L410">
        <f>IF(AND(Table3[[#This Row],[Length]]&gt;=15, Table3[[#This Row],[Unique]]+Table3[[#This Row],[Randomize]]+J410+K410&gt;=2), 1, 0)</f>
        <v>0</v>
      </c>
    </row>
    <row r="411" spans="2:12" x14ac:dyDescent="0.3">
      <c r="B411">
        <f>Table3[[#This Row],[Alphabets]]+Table3[[#This Row],[Numbers]]+Table3[[#This Row],[Special Character]]</f>
        <v>8</v>
      </c>
      <c r="C411">
        <f>Table3[[#This Row],[Lowercase]]+Table3[[#This Row],[Uppercase]]</f>
        <v>4</v>
      </c>
      <c r="D411">
        <v>2</v>
      </c>
      <c r="E411">
        <v>3</v>
      </c>
      <c r="F411">
        <v>1</v>
      </c>
      <c r="G411">
        <v>2</v>
      </c>
      <c r="H411">
        <v>1</v>
      </c>
      <c r="I411">
        <v>0</v>
      </c>
      <c r="J411">
        <v>0</v>
      </c>
      <c r="K411">
        <v>1</v>
      </c>
      <c r="L411">
        <f>IF(AND(Table3[[#This Row],[Length]]&gt;=15, Table3[[#This Row],[Unique]]+Table3[[#This Row],[Randomize]]+J411+K411&gt;=2), 1, 0)</f>
        <v>0</v>
      </c>
    </row>
    <row r="412" spans="2:12" x14ac:dyDescent="0.3">
      <c r="B412">
        <f>Table3[[#This Row],[Alphabets]]+Table3[[#This Row],[Numbers]]+Table3[[#This Row],[Special Character]]</f>
        <v>10</v>
      </c>
      <c r="C412">
        <f>Table3[[#This Row],[Lowercase]]+Table3[[#This Row],[Uppercase]]</f>
        <v>3</v>
      </c>
      <c r="D412">
        <v>2</v>
      </c>
      <c r="E412">
        <v>3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1</v>
      </c>
      <c r="L412">
        <f>IF(AND(Table3[[#This Row],[Length]]&gt;=15, Table3[[#This Row],[Unique]]+Table3[[#This Row],[Randomize]]+J412+K412&gt;=2), 1, 0)</f>
        <v>0</v>
      </c>
    </row>
    <row r="413" spans="2:12" x14ac:dyDescent="0.3">
      <c r="B413">
        <f>Table3[[#This Row],[Alphabets]]+Table3[[#This Row],[Numbers]]+Table3[[#This Row],[Special Character]]</f>
        <v>21</v>
      </c>
      <c r="C413">
        <f>Table3[[#This Row],[Lowercase]]+Table3[[#This Row],[Uppercase]]</f>
        <v>13</v>
      </c>
      <c r="D413">
        <v>5</v>
      </c>
      <c r="E413">
        <v>10</v>
      </c>
      <c r="F413">
        <v>3</v>
      </c>
      <c r="G413">
        <v>3</v>
      </c>
      <c r="H413">
        <v>0</v>
      </c>
      <c r="I413">
        <v>0</v>
      </c>
      <c r="J413">
        <v>0</v>
      </c>
      <c r="K413">
        <v>0</v>
      </c>
      <c r="L413">
        <f>IF(AND(Table3[[#This Row],[Length]]&gt;=15, Table3[[#This Row],[Unique]]+Table3[[#This Row],[Randomize]]+J413+K413&gt;=2), 1, 0)</f>
        <v>0</v>
      </c>
    </row>
    <row r="414" spans="2:12" x14ac:dyDescent="0.3">
      <c r="B414">
        <f>Table3[[#This Row],[Alphabets]]+Table3[[#This Row],[Numbers]]+Table3[[#This Row],[Special Character]]</f>
        <v>19</v>
      </c>
      <c r="C414">
        <f>Table3[[#This Row],[Lowercase]]+Table3[[#This Row],[Uppercase]]</f>
        <v>11</v>
      </c>
      <c r="D414">
        <v>5</v>
      </c>
      <c r="E414">
        <v>5</v>
      </c>
      <c r="F414">
        <v>6</v>
      </c>
      <c r="G414">
        <v>3</v>
      </c>
      <c r="H414">
        <v>1</v>
      </c>
      <c r="I414">
        <v>0</v>
      </c>
      <c r="J414">
        <v>0</v>
      </c>
      <c r="K414">
        <v>0</v>
      </c>
      <c r="L414">
        <f>IF(AND(Table3[[#This Row],[Length]]&gt;=15, Table3[[#This Row],[Unique]]+Table3[[#This Row],[Randomize]]+J414+K414&gt;=2), 1, 0)</f>
        <v>0</v>
      </c>
    </row>
    <row r="415" spans="2:12" x14ac:dyDescent="0.3">
      <c r="B415">
        <f>Table3[[#This Row],[Alphabets]]+Table3[[#This Row],[Numbers]]+Table3[[#This Row],[Special Character]]</f>
        <v>25</v>
      </c>
      <c r="C415">
        <f>Table3[[#This Row],[Lowercase]]+Table3[[#This Row],[Uppercase]]</f>
        <v>17</v>
      </c>
      <c r="D415">
        <v>3</v>
      </c>
      <c r="E415">
        <v>9</v>
      </c>
      <c r="F415">
        <v>8</v>
      </c>
      <c r="G415">
        <v>5</v>
      </c>
      <c r="H415">
        <v>1</v>
      </c>
      <c r="I415">
        <v>0</v>
      </c>
      <c r="J415">
        <v>0</v>
      </c>
      <c r="K415">
        <v>1</v>
      </c>
      <c r="L415">
        <f>IF(AND(Table3[[#This Row],[Length]]&gt;=15, Table3[[#This Row],[Unique]]+Table3[[#This Row],[Randomize]]+J415+K415&gt;=2), 1, 0)</f>
        <v>1</v>
      </c>
    </row>
    <row r="416" spans="2:12" x14ac:dyDescent="0.3">
      <c r="B416">
        <f>Table3[[#This Row],[Alphabets]]+Table3[[#This Row],[Numbers]]+Table3[[#This Row],[Special Character]]</f>
        <v>15</v>
      </c>
      <c r="C416">
        <f>Table3[[#This Row],[Lowercase]]+Table3[[#This Row],[Uppercase]]</f>
        <v>11</v>
      </c>
      <c r="D416">
        <v>4</v>
      </c>
      <c r="E416">
        <v>2</v>
      </c>
      <c r="F416">
        <v>9</v>
      </c>
      <c r="G416">
        <v>0</v>
      </c>
      <c r="H416">
        <v>1</v>
      </c>
      <c r="I416">
        <v>0</v>
      </c>
      <c r="J416">
        <v>1</v>
      </c>
      <c r="K416">
        <v>0</v>
      </c>
      <c r="L416">
        <f>IF(AND(Table3[[#This Row],[Length]]&gt;=15, Table3[[#This Row],[Unique]]+Table3[[#This Row],[Randomize]]+J416+K416&gt;=2), 1, 0)</f>
        <v>1</v>
      </c>
    </row>
    <row r="417" spans="2:12" x14ac:dyDescent="0.3">
      <c r="B417">
        <f>Table3[[#This Row],[Alphabets]]+Table3[[#This Row],[Numbers]]+Table3[[#This Row],[Special Character]]</f>
        <v>25</v>
      </c>
      <c r="C417">
        <f>Table3[[#This Row],[Lowercase]]+Table3[[#This Row],[Uppercase]]</f>
        <v>10</v>
      </c>
      <c r="D417">
        <v>9</v>
      </c>
      <c r="E417">
        <v>5</v>
      </c>
      <c r="F417">
        <v>5</v>
      </c>
      <c r="G417">
        <v>6</v>
      </c>
      <c r="H417">
        <v>0</v>
      </c>
      <c r="I417">
        <v>0</v>
      </c>
      <c r="J417">
        <v>0</v>
      </c>
      <c r="K417">
        <v>1</v>
      </c>
      <c r="L417">
        <f>IF(AND(Table3[[#This Row],[Length]]&gt;=15, Table3[[#This Row],[Unique]]+Table3[[#This Row],[Randomize]]+J417+K417&gt;=2), 1, 0)</f>
        <v>0</v>
      </c>
    </row>
    <row r="418" spans="2:12" x14ac:dyDescent="0.3">
      <c r="B418">
        <f>Table3[[#This Row],[Alphabets]]+Table3[[#This Row],[Numbers]]+Table3[[#This Row],[Special Character]]</f>
        <v>22</v>
      </c>
      <c r="C418">
        <f>Table3[[#This Row],[Lowercase]]+Table3[[#This Row],[Uppercase]]</f>
        <v>11</v>
      </c>
      <c r="D418">
        <v>6</v>
      </c>
      <c r="E418">
        <v>1</v>
      </c>
      <c r="F418">
        <v>10</v>
      </c>
      <c r="G418">
        <v>5</v>
      </c>
      <c r="H418">
        <v>1</v>
      </c>
      <c r="I418">
        <v>0</v>
      </c>
      <c r="J418">
        <v>1</v>
      </c>
      <c r="K418">
        <v>1</v>
      </c>
      <c r="L418">
        <f>IF(AND(Table3[[#This Row],[Length]]&gt;=15, Table3[[#This Row],[Unique]]+Table3[[#This Row],[Randomize]]+J418+K418&gt;=2), 1, 0)</f>
        <v>1</v>
      </c>
    </row>
    <row r="419" spans="2:12" x14ac:dyDescent="0.3">
      <c r="B419">
        <f>Table3[[#This Row],[Alphabets]]+Table3[[#This Row],[Numbers]]+Table3[[#This Row],[Special Character]]</f>
        <v>13</v>
      </c>
      <c r="C419">
        <f>Table3[[#This Row],[Lowercase]]+Table3[[#This Row],[Uppercase]]</f>
        <v>11</v>
      </c>
      <c r="D419">
        <v>1</v>
      </c>
      <c r="E419">
        <v>5</v>
      </c>
      <c r="F419">
        <v>6</v>
      </c>
      <c r="G419">
        <v>1</v>
      </c>
      <c r="H419">
        <v>1</v>
      </c>
      <c r="I419">
        <v>0</v>
      </c>
      <c r="J419">
        <v>1</v>
      </c>
      <c r="K419">
        <v>0</v>
      </c>
      <c r="L419">
        <f>IF(AND(Table3[[#This Row],[Length]]&gt;=15, Table3[[#This Row],[Unique]]+Table3[[#This Row],[Randomize]]+J419+K419&gt;=2), 1, 0)</f>
        <v>0</v>
      </c>
    </row>
    <row r="420" spans="2:12" x14ac:dyDescent="0.3">
      <c r="B420">
        <f>Table3[[#This Row],[Alphabets]]+Table3[[#This Row],[Numbers]]+Table3[[#This Row],[Special Character]]</f>
        <v>28</v>
      </c>
      <c r="C420">
        <f>Table3[[#This Row],[Lowercase]]+Table3[[#This Row],[Uppercase]]</f>
        <v>18</v>
      </c>
      <c r="D420">
        <v>6</v>
      </c>
      <c r="E420">
        <v>8</v>
      </c>
      <c r="F420">
        <v>10</v>
      </c>
      <c r="G420">
        <v>4</v>
      </c>
      <c r="H420">
        <v>1</v>
      </c>
      <c r="I420">
        <v>0</v>
      </c>
      <c r="J420">
        <v>0</v>
      </c>
      <c r="K420">
        <v>0</v>
      </c>
      <c r="L420">
        <f>IF(AND(Table3[[#This Row],[Length]]&gt;=15, Table3[[#This Row],[Unique]]+Table3[[#This Row],[Randomize]]+J420+K420&gt;=2), 1, 0)</f>
        <v>0</v>
      </c>
    </row>
    <row r="421" spans="2:12" x14ac:dyDescent="0.3">
      <c r="B421">
        <f>Table3[[#This Row],[Alphabets]]+Table3[[#This Row],[Numbers]]+Table3[[#This Row],[Special Character]]</f>
        <v>14</v>
      </c>
      <c r="C421">
        <f>Table3[[#This Row],[Lowercase]]+Table3[[#This Row],[Uppercase]]</f>
        <v>6</v>
      </c>
      <c r="D421">
        <v>4</v>
      </c>
      <c r="E421">
        <v>5</v>
      </c>
      <c r="F421">
        <v>1</v>
      </c>
      <c r="G421">
        <v>4</v>
      </c>
      <c r="H421">
        <v>1</v>
      </c>
      <c r="I421">
        <v>0</v>
      </c>
      <c r="J421">
        <v>1</v>
      </c>
      <c r="K421">
        <v>0</v>
      </c>
      <c r="L421">
        <f>IF(AND(Table3[[#This Row],[Length]]&gt;=15, Table3[[#This Row],[Unique]]+Table3[[#This Row],[Randomize]]+J421+K421&gt;=2), 1, 0)</f>
        <v>0</v>
      </c>
    </row>
    <row r="422" spans="2:12" x14ac:dyDescent="0.3">
      <c r="B422">
        <f>Table3[[#This Row],[Alphabets]]+Table3[[#This Row],[Numbers]]+Table3[[#This Row],[Special Character]]</f>
        <v>28</v>
      </c>
      <c r="C422">
        <f>Table3[[#This Row],[Lowercase]]+Table3[[#This Row],[Uppercase]]</f>
        <v>14</v>
      </c>
      <c r="D422">
        <v>9</v>
      </c>
      <c r="E422">
        <v>5</v>
      </c>
      <c r="F422">
        <v>9</v>
      </c>
      <c r="G422">
        <v>5</v>
      </c>
      <c r="H422">
        <v>0</v>
      </c>
      <c r="I422">
        <v>0</v>
      </c>
      <c r="J422">
        <v>1</v>
      </c>
      <c r="K422">
        <v>1</v>
      </c>
      <c r="L422">
        <f>IF(AND(Table3[[#This Row],[Length]]&gt;=15, Table3[[#This Row],[Unique]]+Table3[[#This Row],[Randomize]]+J422+K422&gt;=2), 1, 0)</f>
        <v>1</v>
      </c>
    </row>
    <row r="423" spans="2:12" x14ac:dyDescent="0.3">
      <c r="B423">
        <f>Table3[[#This Row],[Alphabets]]+Table3[[#This Row],[Numbers]]+Table3[[#This Row],[Special Character]]</f>
        <v>26</v>
      </c>
      <c r="C423">
        <f>Table3[[#This Row],[Lowercase]]+Table3[[#This Row],[Uppercase]]</f>
        <v>17</v>
      </c>
      <c r="D423">
        <v>4</v>
      </c>
      <c r="E423">
        <v>7</v>
      </c>
      <c r="F423">
        <v>10</v>
      </c>
      <c r="G423">
        <v>5</v>
      </c>
      <c r="H423">
        <v>1</v>
      </c>
      <c r="I423">
        <v>0</v>
      </c>
      <c r="J423">
        <v>1</v>
      </c>
      <c r="K423">
        <v>0</v>
      </c>
      <c r="L423">
        <f>IF(AND(Table3[[#This Row],[Length]]&gt;=15, Table3[[#This Row],[Unique]]+Table3[[#This Row],[Randomize]]+J423+K423&gt;=2), 1, 0)</f>
        <v>1</v>
      </c>
    </row>
    <row r="424" spans="2:12" x14ac:dyDescent="0.3">
      <c r="B424">
        <f>Table3[[#This Row],[Alphabets]]+Table3[[#This Row],[Numbers]]+Table3[[#This Row],[Special Character]]</f>
        <v>7</v>
      </c>
      <c r="C424">
        <f>Table3[[#This Row],[Lowercase]]+Table3[[#This Row],[Uppercase]]</f>
        <v>4</v>
      </c>
      <c r="D424">
        <v>1</v>
      </c>
      <c r="E424">
        <v>3</v>
      </c>
      <c r="F424">
        <v>1</v>
      </c>
      <c r="G424">
        <v>2</v>
      </c>
      <c r="H424">
        <v>1</v>
      </c>
      <c r="I424">
        <v>0</v>
      </c>
      <c r="J424">
        <v>0</v>
      </c>
      <c r="K424">
        <v>0</v>
      </c>
      <c r="L424">
        <f>IF(AND(Table3[[#This Row],[Length]]&gt;=15, Table3[[#This Row],[Unique]]+Table3[[#This Row],[Randomize]]+J424+K424&gt;=2), 1, 0)</f>
        <v>0</v>
      </c>
    </row>
    <row r="425" spans="2:12" x14ac:dyDescent="0.3">
      <c r="B425">
        <f>Table3[[#This Row],[Alphabets]]+Table3[[#This Row],[Numbers]]+Table3[[#This Row],[Special Character]]</f>
        <v>12</v>
      </c>
      <c r="C425">
        <f>Table3[[#This Row],[Lowercase]]+Table3[[#This Row],[Uppercase]]</f>
        <v>3</v>
      </c>
      <c r="D425">
        <v>8</v>
      </c>
      <c r="E425">
        <v>3</v>
      </c>
      <c r="F425">
        <v>0</v>
      </c>
      <c r="G425">
        <v>1</v>
      </c>
      <c r="H425">
        <v>1</v>
      </c>
      <c r="I425">
        <v>0</v>
      </c>
      <c r="J425">
        <v>1</v>
      </c>
      <c r="K425">
        <v>1</v>
      </c>
      <c r="L425">
        <f>IF(AND(Table3[[#This Row],[Length]]&gt;=15, Table3[[#This Row],[Unique]]+Table3[[#This Row],[Randomize]]+J425+K425&gt;=2), 1, 0)</f>
        <v>0</v>
      </c>
    </row>
    <row r="426" spans="2:12" x14ac:dyDescent="0.3">
      <c r="B426">
        <f>Table3[[#This Row],[Alphabets]]+Table3[[#This Row],[Numbers]]+Table3[[#This Row],[Special Character]]</f>
        <v>7</v>
      </c>
      <c r="C426">
        <f>Table3[[#This Row],[Lowercase]]+Table3[[#This Row],[Uppercase]]</f>
        <v>6</v>
      </c>
      <c r="D426">
        <v>0</v>
      </c>
      <c r="E426">
        <v>6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1</v>
      </c>
      <c r="L426">
        <f>IF(AND(Table3[[#This Row],[Length]]&gt;=15, Table3[[#This Row],[Unique]]+Table3[[#This Row],[Randomize]]+J426+K426&gt;=2), 1, 0)</f>
        <v>0</v>
      </c>
    </row>
    <row r="427" spans="2:12" x14ac:dyDescent="0.3">
      <c r="B427">
        <f>Table3[[#This Row],[Alphabets]]+Table3[[#This Row],[Numbers]]+Table3[[#This Row],[Special Character]]</f>
        <v>18</v>
      </c>
      <c r="C427">
        <f>Table3[[#This Row],[Lowercase]]+Table3[[#This Row],[Uppercase]]</f>
        <v>10</v>
      </c>
      <c r="D427">
        <v>3</v>
      </c>
      <c r="E427">
        <v>3</v>
      </c>
      <c r="F427">
        <v>7</v>
      </c>
      <c r="G427">
        <v>5</v>
      </c>
      <c r="H427">
        <v>1</v>
      </c>
      <c r="I427">
        <v>0</v>
      </c>
      <c r="J427">
        <v>1</v>
      </c>
      <c r="K427">
        <v>1</v>
      </c>
      <c r="L427">
        <f>IF(AND(Table3[[#This Row],[Length]]&gt;=15, Table3[[#This Row],[Unique]]+Table3[[#This Row],[Randomize]]+J427+K427&gt;=2), 1, 0)</f>
        <v>1</v>
      </c>
    </row>
    <row r="428" spans="2:12" x14ac:dyDescent="0.3">
      <c r="B428">
        <f>Table3[[#This Row],[Alphabets]]+Table3[[#This Row],[Numbers]]+Table3[[#This Row],[Special Character]]</f>
        <v>14</v>
      </c>
      <c r="C428">
        <f>Table3[[#This Row],[Lowercase]]+Table3[[#This Row],[Uppercase]]</f>
        <v>10</v>
      </c>
      <c r="D428">
        <v>4</v>
      </c>
      <c r="E428">
        <v>5</v>
      </c>
      <c r="F428">
        <v>5</v>
      </c>
      <c r="G428">
        <v>0</v>
      </c>
      <c r="H428">
        <v>1</v>
      </c>
      <c r="I428">
        <v>0</v>
      </c>
      <c r="J428">
        <v>1</v>
      </c>
      <c r="K428">
        <v>0</v>
      </c>
      <c r="L428">
        <f>IF(AND(Table3[[#This Row],[Length]]&gt;=15, Table3[[#This Row],[Unique]]+Table3[[#This Row],[Randomize]]+J428+K428&gt;=2), 1, 0)</f>
        <v>0</v>
      </c>
    </row>
  </sheetData>
  <mergeCells count="2">
    <mergeCell ref="N6:O6"/>
    <mergeCell ref="N8:P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7B17-834A-4699-A014-456FDFE0443F}">
  <sheetPr codeName="Sheet2"/>
  <dimension ref="B2:P232"/>
  <sheetViews>
    <sheetView workbookViewId="0">
      <selection activeCell="O22" sqref="O22"/>
    </sheetView>
  </sheetViews>
  <sheetFormatPr defaultRowHeight="14.4" x14ac:dyDescent="0.3"/>
  <cols>
    <col min="2" max="2" width="12.77734375" customWidth="1"/>
    <col min="3" max="3" width="13.6640625" customWidth="1"/>
    <col min="4" max="4" width="14.44140625" customWidth="1"/>
    <col min="5" max="5" width="13.33203125" customWidth="1"/>
    <col min="6" max="6" width="12.5546875" customWidth="1"/>
    <col min="7" max="7" width="19.6640625" customWidth="1"/>
    <col min="8" max="8" width="10.6640625" customWidth="1"/>
    <col min="9" max="9" width="13.33203125" customWidth="1"/>
    <col min="10" max="10" width="14.109375" customWidth="1"/>
    <col min="11" max="11" width="16" customWidth="1"/>
    <col min="12" max="12" width="22.6640625" customWidth="1"/>
    <col min="14" max="14" width="20.33203125" customWidth="1"/>
    <col min="15" max="15" width="12.6640625" customWidth="1"/>
    <col min="16" max="16" width="13.5546875" customWidth="1"/>
  </cols>
  <sheetData>
    <row r="2" spans="2:16" x14ac:dyDescent="0.3">
      <c r="B2" t="s">
        <v>12</v>
      </c>
      <c r="C2" t="s">
        <v>13</v>
      </c>
      <c r="D2" t="s">
        <v>14</v>
      </c>
      <c r="E2" t="s">
        <v>10</v>
      </c>
      <c r="F2" t="s">
        <v>11</v>
      </c>
      <c r="G2" t="s">
        <v>15</v>
      </c>
      <c r="H2" t="s">
        <v>17</v>
      </c>
      <c r="I2" t="s">
        <v>18</v>
      </c>
      <c r="J2" t="s">
        <v>19</v>
      </c>
      <c r="K2" t="s">
        <v>16</v>
      </c>
      <c r="L2" t="s">
        <v>9</v>
      </c>
    </row>
    <row r="3" spans="2:16" x14ac:dyDescent="0.3">
      <c r="B3">
        <v>17</v>
      </c>
      <c r="C3">
        <v>8</v>
      </c>
      <c r="D3">
        <v>5</v>
      </c>
      <c r="E3">
        <v>8</v>
      </c>
      <c r="F3">
        <v>0</v>
      </c>
      <c r="G3">
        <v>4</v>
      </c>
      <c r="H3">
        <v>0</v>
      </c>
      <c r="I3">
        <v>1</v>
      </c>
      <c r="J3">
        <v>0</v>
      </c>
      <c r="K3">
        <v>1</v>
      </c>
      <c r="L3">
        <v>1</v>
      </c>
      <c r="N3" s="15" t="s">
        <v>24</v>
      </c>
      <c r="O3" s="15" t="s">
        <v>3</v>
      </c>
      <c r="P3" s="15" t="s">
        <v>2</v>
      </c>
    </row>
    <row r="4" spans="2:16" x14ac:dyDescent="0.3">
      <c r="B4">
        <v>25</v>
      </c>
      <c r="C4">
        <v>13</v>
      </c>
      <c r="D4">
        <v>6</v>
      </c>
      <c r="E4">
        <v>5</v>
      </c>
      <c r="F4">
        <v>8</v>
      </c>
      <c r="G4">
        <v>6</v>
      </c>
      <c r="H4">
        <v>0</v>
      </c>
      <c r="I4">
        <v>1</v>
      </c>
      <c r="J4">
        <v>1</v>
      </c>
      <c r="K4">
        <v>1</v>
      </c>
      <c r="L4">
        <v>1</v>
      </c>
      <c r="N4" s="16" t="str" cm="1">
        <f t="array" ref="N4:N14">TRANSPOSE(Table32[[#Headers],[Length]:[Password Strengthness]])</f>
        <v>Length</v>
      </c>
      <c r="O4" s="14">
        <f ca="1">SUM(INDIRECT("Table32["&amp;N4&amp;"]"))</f>
        <v>4699</v>
      </c>
      <c r="P4" s="14">
        <f t="shared" ref="P4:P13" ca="1" si="0">(O4+1)/$O$15</f>
        <v>0.37025366314794389</v>
      </c>
    </row>
    <row r="5" spans="2:16" x14ac:dyDescent="0.3">
      <c r="B5">
        <v>22</v>
      </c>
      <c r="C5">
        <v>13</v>
      </c>
      <c r="D5">
        <v>9</v>
      </c>
      <c r="E5">
        <v>4</v>
      </c>
      <c r="F5">
        <v>9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  <c r="N5" s="16" t="str">
        <v>Alphabets</v>
      </c>
      <c r="O5" s="14">
        <f t="shared" ref="O5:O14" ca="1" si="1">SUM(INDIRECT("Table32["&amp;N5&amp;"]"))</f>
        <v>2702</v>
      </c>
      <c r="P5" s="14">
        <f t="shared" ca="1" si="0"/>
        <v>0.21293524499763669</v>
      </c>
    </row>
    <row r="6" spans="2:16" x14ac:dyDescent="0.3">
      <c r="B6">
        <v>28</v>
      </c>
      <c r="C6">
        <v>19</v>
      </c>
      <c r="D6">
        <v>8</v>
      </c>
      <c r="E6">
        <v>9</v>
      </c>
      <c r="F6">
        <v>10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N6" s="16" t="str">
        <v>Numbers</v>
      </c>
      <c r="O6" s="14">
        <f t="shared" ca="1" si="1"/>
        <v>1197</v>
      </c>
      <c r="P6" s="14">
        <f t="shared" ca="1" si="0"/>
        <v>9.4375295415156768E-2</v>
      </c>
    </row>
    <row r="7" spans="2:16" x14ac:dyDescent="0.3">
      <c r="B7">
        <v>18</v>
      </c>
      <c r="C7">
        <v>10</v>
      </c>
      <c r="D7">
        <v>7</v>
      </c>
      <c r="E7">
        <v>2</v>
      </c>
      <c r="F7">
        <v>8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N7" s="16" t="str">
        <v>Lowercase</v>
      </c>
      <c r="O7" s="14">
        <f t="shared" ca="1" si="1"/>
        <v>1350</v>
      </c>
      <c r="P7" s="14">
        <f t="shared" ca="1" si="0"/>
        <v>0.10642823381124941</v>
      </c>
    </row>
    <row r="8" spans="2:16" x14ac:dyDescent="0.3">
      <c r="B8">
        <v>17</v>
      </c>
      <c r="C8">
        <v>7</v>
      </c>
      <c r="D8">
        <v>5</v>
      </c>
      <c r="E8">
        <v>4</v>
      </c>
      <c r="F8">
        <v>3</v>
      </c>
      <c r="G8">
        <v>5</v>
      </c>
      <c r="H8">
        <v>1</v>
      </c>
      <c r="I8">
        <v>1</v>
      </c>
      <c r="J8">
        <v>0</v>
      </c>
      <c r="K8">
        <v>1</v>
      </c>
      <c r="L8">
        <v>1</v>
      </c>
      <c r="N8" s="16" t="str">
        <v>Uppercase</v>
      </c>
      <c r="O8" s="14">
        <f t="shared" ca="1" si="1"/>
        <v>1352</v>
      </c>
      <c r="P8" s="14">
        <f t="shared" ca="1" si="0"/>
        <v>0.10658578856152513</v>
      </c>
    </row>
    <row r="9" spans="2:16" x14ac:dyDescent="0.3">
      <c r="B9">
        <v>25</v>
      </c>
      <c r="C9">
        <v>13</v>
      </c>
      <c r="D9">
        <v>7</v>
      </c>
      <c r="E9">
        <v>4</v>
      </c>
      <c r="F9">
        <v>9</v>
      </c>
      <c r="G9">
        <v>5</v>
      </c>
      <c r="H9">
        <v>1</v>
      </c>
      <c r="I9">
        <v>1</v>
      </c>
      <c r="J9">
        <v>0</v>
      </c>
      <c r="K9">
        <v>1</v>
      </c>
      <c r="L9">
        <v>1</v>
      </c>
      <c r="N9" s="16" t="str">
        <v>Special Character</v>
      </c>
      <c r="O9" s="14">
        <f t="shared" ca="1" si="1"/>
        <v>800</v>
      </c>
      <c r="P9" s="14">
        <f t="shared" ca="1" si="0"/>
        <v>6.3100677485426179E-2</v>
      </c>
    </row>
    <row r="10" spans="2:16" x14ac:dyDescent="0.3">
      <c r="B10">
        <v>15</v>
      </c>
      <c r="C10">
        <v>9</v>
      </c>
      <c r="D10">
        <v>2</v>
      </c>
      <c r="E10">
        <v>1</v>
      </c>
      <c r="F10">
        <v>8</v>
      </c>
      <c r="G10">
        <v>4</v>
      </c>
      <c r="H10">
        <v>0</v>
      </c>
      <c r="I10">
        <v>1</v>
      </c>
      <c r="J10">
        <v>0</v>
      </c>
      <c r="K10">
        <v>1</v>
      </c>
      <c r="L10">
        <v>1</v>
      </c>
      <c r="N10" s="16" t="str">
        <v>Unique</v>
      </c>
      <c r="O10" s="14">
        <f t="shared" ca="1" si="1"/>
        <v>135</v>
      </c>
      <c r="P10" s="14">
        <f t="shared" ca="1" si="0"/>
        <v>1.0713723018749016E-2</v>
      </c>
    </row>
    <row r="11" spans="2:16" x14ac:dyDescent="0.3">
      <c r="B11">
        <v>26</v>
      </c>
      <c r="C11">
        <v>17</v>
      </c>
      <c r="D11">
        <v>7</v>
      </c>
      <c r="E11">
        <v>7</v>
      </c>
      <c r="F11">
        <v>10</v>
      </c>
      <c r="G11">
        <v>2</v>
      </c>
      <c r="H11">
        <v>1</v>
      </c>
      <c r="I11">
        <v>1</v>
      </c>
      <c r="J11">
        <v>1</v>
      </c>
      <c r="K11">
        <v>0</v>
      </c>
      <c r="L11">
        <v>1</v>
      </c>
      <c r="N11" s="16" t="str">
        <v>Randomize</v>
      </c>
      <c r="O11" s="14">
        <f t="shared" ca="1" si="1"/>
        <v>191</v>
      </c>
      <c r="P11" s="14">
        <f t="shared" ca="1" si="0"/>
        <v>1.5125256026469198E-2</v>
      </c>
    </row>
    <row r="12" spans="2:16" x14ac:dyDescent="0.3">
      <c r="B12">
        <v>15</v>
      </c>
      <c r="C12">
        <v>9</v>
      </c>
      <c r="D12">
        <v>4</v>
      </c>
      <c r="E12">
        <v>6</v>
      </c>
      <c r="F12">
        <v>3</v>
      </c>
      <c r="G12">
        <v>2</v>
      </c>
      <c r="H12">
        <v>0</v>
      </c>
      <c r="I12">
        <v>1</v>
      </c>
      <c r="J12">
        <v>1</v>
      </c>
      <c r="K12">
        <v>1</v>
      </c>
      <c r="L12">
        <v>1</v>
      </c>
      <c r="N12" s="16" t="str">
        <v>In Language</v>
      </c>
      <c r="O12" s="14">
        <f t="shared" ca="1" si="1"/>
        <v>132</v>
      </c>
      <c r="P12" s="14">
        <f t="shared" ca="1" si="0"/>
        <v>1.0477390893335435E-2</v>
      </c>
    </row>
    <row r="13" spans="2:16" x14ac:dyDescent="0.3">
      <c r="B13">
        <v>19</v>
      </c>
      <c r="C13">
        <v>18</v>
      </c>
      <c r="D13">
        <v>0</v>
      </c>
      <c r="E13">
        <v>10</v>
      </c>
      <c r="F13">
        <v>8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N13" s="16" t="str">
        <v>Pattern</v>
      </c>
      <c r="O13" s="14">
        <f t="shared" ca="1" si="1"/>
        <v>136</v>
      </c>
      <c r="P13" s="14">
        <f t="shared" ca="1" si="0"/>
        <v>1.0792500393886876E-2</v>
      </c>
    </row>
    <row r="14" spans="2:16" x14ac:dyDescent="0.3">
      <c r="B14">
        <v>20</v>
      </c>
      <c r="C14">
        <v>15</v>
      </c>
      <c r="D14">
        <v>2</v>
      </c>
      <c r="E14">
        <v>6</v>
      </c>
      <c r="F14">
        <v>9</v>
      </c>
      <c r="G14">
        <v>3</v>
      </c>
      <c r="H14">
        <v>1</v>
      </c>
      <c r="I14">
        <v>1</v>
      </c>
      <c r="J14">
        <v>0</v>
      </c>
      <c r="K14">
        <v>0</v>
      </c>
      <c r="L14">
        <v>1</v>
      </c>
      <c r="N14" s="17" t="str">
        <v>Password Strengthness</v>
      </c>
      <c r="O14" s="18">
        <f t="shared" ca="1" si="1"/>
        <v>230</v>
      </c>
      <c r="P14" s="18">
        <f t="shared" ref="P14" ca="1" si="2">(O14+1)/$O$15</f>
        <v>1.8197573656845753E-2</v>
      </c>
    </row>
    <row r="15" spans="2:16" x14ac:dyDescent="0.3">
      <c r="B15">
        <v>27</v>
      </c>
      <c r="C15">
        <v>18</v>
      </c>
      <c r="D15">
        <v>8</v>
      </c>
      <c r="E15">
        <v>10</v>
      </c>
      <c r="F15">
        <v>8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N15" s="16" t="s">
        <v>23</v>
      </c>
      <c r="O15" s="1">
        <f ca="1">SUM(O4:O13)</f>
        <v>12694</v>
      </c>
      <c r="P15" s="1">
        <f ca="1">SUM(P4:P13)</f>
        <v>1.0007877737513786</v>
      </c>
    </row>
    <row r="16" spans="2:16" x14ac:dyDescent="0.3">
      <c r="B16">
        <v>18</v>
      </c>
      <c r="C16">
        <v>10</v>
      </c>
      <c r="D16">
        <v>5</v>
      </c>
      <c r="E16">
        <v>10</v>
      </c>
      <c r="F16">
        <v>0</v>
      </c>
      <c r="G16">
        <v>3</v>
      </c>
      <c r="H16">
        <v>1</v>
      </c>
      <c r="I16">
        <v>1</v>
      </c>
      <c r="J16">
        <v>0</v>
      </c>
      <c r="K16">
        <v>0</v>
      </c>
      <c r="L16">
        <v>1</v>
      </c>
    </row>
    <row r="17" spans="2:12" x14ac:dyDescent="0.3">
      <c r="B17">
        <v>18</v>
      </c>
      <c r="C17">
        <v>13</v>
      </c>
      <c r="D17">
        <v>4</v>
      </c>
      <c r="E17">
        <v>7</v>
      </c>
      <c r="F17">
        <v>6</v>
      </c>
      <c r="G17">
        <v>1</v>
      </c>
      <c r="H17">
        <v>1</v>
      </c>
      <c r="I17">
        <v>1</v>
      </c>
      <c r="J17">
        <v>0</v>
      </c>
      <c r="K17">
        <v>0</v>
      </c>
      <c r="L17">
        <v>1</v>
      </c>
    </row>
    <row r="18" spans="2:12" x14ac:dyDescent="0.3">
      <c r="B18">
        <v>26</v>
      </c>
      <c r="C18">
        <v>11</v>
      </c>
      <c r="D18">
        <v>9</v>
      </c>
      <c r="E18">
        <v>6</v>
      </c>
      <c r="F18">
        <v>5</v>
      </c>
      <c r="G18">
        <v>6</v>
      </c>
      <c r="H18">
        <v>0</v>
      </c>
      <c r="I18">
        <v>1</v>
      </c>
      <c r="J18">
        <v>1</v>
      </c>
      <c r="K18">
        <v>1</v>
      </c>
      <c r="L18">
        <v>1</v>
      </c>
    </row>
    <row r="19" spans="2:12" x14ac:dyDescent="0.3">
      <c r="B19">
        <v>17</v>
      </c>
      <c r="C19">
        <v>10</v>
      </c>
      <c r="D19">
        <v>4</v>
      </c>
      <c r="E19">
        <v>3</v>
      </c>
      <c r="F19">
        <v>7</v>
      </c>
      <c r="G19">
        <v>3</v>
      </c>
      <c r="H19">
        <v>1</v>
      </c>
      <c r="I19">
        <v>1</v>
      </c>
      <c r="J19">
        <v>0</v>
      </c>
      <c r="K19">
        <v>0</v>
      </c>
      <c r="L19">
        <v>1</v>
      </c>
    </row>
    <row r="20" spans="2:12" x14ac:dyDescent="0.3">
      <c r="B20">
        <v>25</v>
      </c>
      <c r="C20">
        <v>15</v>
      </c>
      <c r="D20">
        <v>6</v>
      </c>
      <c r="E20">
        <v>7</v>
      </c>
      <c r="F20">
        <v>8</v>
      </c>
      <c r="G20">
        <v>4</v>
      </c>
      <c r="H20">
        <v>0</v>
      </c>
      <c r="I20">
        <v>1</v>
      </c>
      <c r="J20">
        <v>1</v>
      </c>
      <c r="K20">
        <v>0</v>
      </c>
      <c r="L20">
        <v>1</v>
      </c>
    </row>
    <row r="21" spans="2:12" x14ac:dyDescent="0.3">
      <c r="B21">
        <v>17</v>
      </c>
      <c r="C21">
        <v>10</v>
      </c>
      <c r="D21">
        <v>5</v>
      </c>
      <c r="E21">
        <v>5</v>
      </c>
      <c r="F21">
        <v>5</v>
      </c>
      <c r="G21">
        <v>2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2:12" x14ac:dyDescent="0.3">
      <c r="B22">
        <v>27</v>
      </c>
      <c r="C22">
        <v>15</v>
      </c>
      <c r="D22">
        <v>9</v>
      </c>
      <c r="E22">
        <v>6</v>
      </c>
      <c r="F22">
        <v>9</v>
      </c>
      <c r="G22">
        <v>3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2:12" x14ac:dyDescent="0.3">
      <c r="B23">
        <v>18</v>
      </c>
      <c r="C23">
        <v>8</v>
      </c>
      <c r="D23">
        <v>9</v>
      </c>
      <c r="E23">
        <v>3</v>
      </c>
      <c r="F23">
        <v>5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</row>
    <row r="24" spans="2:12" x14ac:dyDescent="0.3">
      <c r="B24">
        <v>26</v>
      </c>
      <c r="C24">
        <v>18</v>
      </c>
      <c r="D24">
        <v>7</v>
      </c>
      <c r="E24">
        <v>8</v>
      </c>
      <c r="F24">
        <v>10</v>
      </c>
      <c r="G24">
        <v>1</v>
      </c>
      <c r="H24">
        <v>0</v>
      </c>
      <c r="I24">
        <v>1</v>
      </c>
      <c r="J24">
        <v>0</v>
      </c>
      <c r="K24">
        <v>1</v>
      </c>
      <c r="L24">
        <v>1</v>
      </c>
    </row>
    <row r="25" spans="2:12" x14ac:dyDescent="0.3">
      <c r="B25">
        <v>16</v>
      </c>
      <c r="C25">
        <v>6</v>
      </c>
      <c r="D25">
        <v>6</v>
      </c>
      <c r="E25">
        <v>2</v>
      </c>
      <c r="F25">
        <v>4</v>
      </c>
      <c r="G25">
        <v>4</v>
      </c>
      <c r="H25">
        <v>0</v>
      </c>
      <c r="I25">
        <v>1</v>
      </c>
      <c r="J25">
        <v>0</v>
      </c>
      <c r="K25">
        <v>1</v>
      </c>
      <c r="L25">
        <v>1</v>
      </c>
    </row>
    <row r="26" spans="2:12" x14ac:dyDescent="0.3">
      <c r="B26">
        <v>24</v>
      </c>
      <c r="C26">
        <v>11</v>
      </c>
      <c r="D26">
        <v>8</v>
      </c>
      <c r="E26">
        <v>6</v>
      </c>
      <c r="F26">
        <v>5</v>
      </c>
      <c r="G26">
        <v>5</v>
      </c>
      <c r="H26">
        <v>1</v>
      </c>
      <c r="I26">
        <v>1</v>
      </c>
      <c r="J26">
        <v>0</v>
      </c>
      <c r="K26">
        <v>1</v>
      </c>
      <c r="L26">
        <v>1</v>
      </c>
    </row>
    <row r="27" spans="2:12" x14ac:dyDescent="0.3">
      <c r="B27">
        <v>17</v>
      </c>
      <c r="C27">
        <v>12</v>
      </c>
      <c r="D27">
        <v>2</v>
      </c>
      <c r="E27">
        <v>3</v>
      </c>
      <c r="F27">
        <v>9</v>
      </c>
      <c r="G27">
        <v>3</v>
      </c>
      <c r="H27">
        <v>1</v>
      </c>
      <c r="I27">
        <v>1</v>
      </c>
      <c r="J27">
        <v>0</v>
      </c>
      <c r="K27">
        <v>1</v>
      </c>
      <c r="L27">
        <v>1</v>
      </c>
    </row>
    <row r="28" spans="2:12" x14ac:dyDescent="0.3">
      <c r="B28">
        <v>26</v>
      </c>
      <c r="C28">
        <v>17</v>
      </c>
      <c r="D28">
        <v>8</v>
      </c>
      <c r="E28">
        <v>8</v>
      </c>
      <c r="F28">
        <v>9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</row>
    <row r="29" spans="2:12" x14ac:dyDescent="0.3">
      <c r="B29">
        <v>27</v>
      </c>
      <c r="C29">
        <v>17</v>
      </c>
      <c r="D29">
        <v>4</v>
      </c>
      <c r="E29">
        <v>7</v>
      </c>
      <c r="F29">
        <v>10</v>
      </c>
      <c r="G29">
        <v>6</v>
      </c>
      <c r="H29">
        <v>0</v>
      </c>
      <c r="I29">
        <v>1</v>
      </c>
      <c r="J29">
        <v>1</v>
      </c>
      <c r="K29">
        <v>0</v>
      </c>
      <c r="L29">
        <v>1</v>
      </c>
    </row>
    <row r="30" spans="2:12" x14ac:dyDescent="0.3">
      <c r="B30">
        <v>21</v>
      </c>
      <c r="C30">
        <v>8</v>
      </c>
      <c r="D30">
        <v>7</v>
      </c>
      <c r="E30">
        <v>6</v>
      </c>
      <c r="F30">
        <v>2</v>
      </c>
      <c r="G30">
        <v>6</v>
      </c>
      <c r="H30">
        <v>0</v>
      </c>
      <c r="I30">
        <v>1</v>
      </c>
      <c r="J30">
        <v>1</v>
      </c>
      <c r="K30">
        <v>1</v>
      </c>
      <c r="L30">
        <v>1</v>
      </c>
    </row>
    <row r="31" spans="2:12" x14ac:dyDescent="0.3">
      <c r="B31">
        <v>20</v>
      </c>
      <c r="C31">
        <v>13</v>
      </c>
      <c r="D31">
        <v>7</v>
      </c>
      <c r="E31">
        <v>6</v>
      </c>
      <c r="F31">
        <v>7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</row>
    <row r="32" spans="2:12" x14ac:dyDescent="0.3">
      <c r="B32">
        <v>17</v>
      </c>
      <c r="C32">
        <v>6</v>
      </c>
      <c r="D32">
        <v>6</v>
      </c>
      <c r="E32">
        <v>4</v>
      </c>
      <c r="F32">
        <v>2</v>
      </c>
      <c r="G32">
        <v>5</v>
      </c>
      <c r="H32">
        <v>1</v>
      </c>
      <c r="I32">
        <v>1</v>
      </c>
      <c r="J32">
        <v>0</v>
      </c>
      <c r="K32">
        <v>0</v>
      </c>
      <c r="L32">
        <v>1</v>
      </c>
    </row>
    <row r="33" spans="2:12" x14ac:dyDescent="0.3">
      <c r="B33">
        <v>19</v>
      </c>
      <c r="C33">
        <v>8</v>
      </c>
      <c r="D33">
        <v>7</v>
      </c>
      <c r="E33">
        <v>4</v>
      </c>
      <c r="F33">
        <v>4</v>
      </c>
      <c r="G33">
        <v>4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2:12" x14ac:dyDescent="0.3">
      <c r="B34">
        <v>23</v>
      </c>
      <c r="C34">
        <v>14</v>
      </c>
      <c r="D34">
        <v>3</v>
      </c>
      <c r="E34">
        <v>7</v>
      </c>
      <c r="F34">
        <v>7</v>
      </c>
      <c r="G34">
        <v>6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2:12" x14ac:dyDescent="0.3">
      <c r="B35">
        <v>23</v>
      </c>
      <c r="C35">
        <v>20</v>
      </c>
      <c r="D35">
        <v>1</v>
      </c>
      <c r="E35">
        <v>10</v>
      </c>
      <c r="F35">
        <v>10</v>
      </c>
      <c r="G35">
        <v>2</v>
      </c>
      <c r="H35">
        <v>1</v>
      </c>
      <c r="I35">
        <v>1</v>
      </c>
      <c r="J35">
        <v>1</v>
      </c>
      <c r="K35">
        <v>0</v>
      </c>
      <c r="L35">
        <v>1</v>
      </c>
    </row>
    <row r="36" spans="2:12" x14ac:dyDescent="0.3">
      <c r="B36">
        <v>18</v>
      </c>
      <c r="C36">
        <v>18</v>
      </c>
      <c r="D36">
        <v>0</v>
      </c>
      <c r="E36">
        <v>10</v>
      </c>
      <c r="F36">
        <v>8</v>
      </c>
      <c r="G36">
        <v>0</v>
      </c>
      <c r="H36">
        <v>1</v>
      </c>
      <c r="I36">
        <v>1</v>
      </c>
      <c r="J36">
        <v>1</v>
      </c>
      <c r="K36">
        <v>0</v>
      </c>
      <c r="L36">
        <v>1</v>
      </c>
    </row>
    <row r="37" spans="2:12" x14ac:dyDescent="0.3">
      <c r="B37">
        <v>29</v>
      </c>
      <c r="C37">
        <v>16</v>
      </c>
      <c r="D37">
        <v>9</v>
      </c>
      <c r="E37">
        <v>10</v>
      </c>
      <c r="F37">
        <v>6</v>
      </c>
      <c r="G37">
        <v>4</v>
      </c>
      <c r="H37">
        <v>1</v>
      </c>
      <c r="I37">
        <v>1</v>
      </c>
      <c r="J37">
        <v>0</v>
      </c>
      <c r="K37">
        <v>1</v>
      </c>
      <c r="L37">
        <v>1</v>
      </c>
    </row>
    <row r="38" spans="2:12" x14ac:dyDescent="0.3">
      <c r="B38">
        <v>23</v>
      </c>
      <c r="C38">
        <v>14</v>
      </c>
      <c r="D38">
        <v>8</v>
      </c>
      <c r="E38">
        <v>6</v>
      </c>
      <c r="F38">
        <v>8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</row>
    <row r="39" spans="2:12" x14ac:dyDescent="0.3">
      <c r="B39">
        <v>19</v>
      </c>
      <c r="C39">
        <v>5</v>
      </c>
      <c r="D39">
        <v>8</v>
      </c>
      <c r="E39">
        <v>0</v>
      </c>
      <c r="F39">
        <v>5</v>
      </c>
      <c r="G39">
        <v>6</v>
      </c>
      <c r="H39">
        <v>0</v>
      </c>
      <c r="I39">
        <v>1</v>
      </c>
      <c r="J39">
        <v>1</v>
      </c>
      <c r="K39">
        <v>0</v>
      </c>
      <c r="L39">
        <v>1</v>
      </c>
    </row>
    <row r="40" spans="2:12" x14ac:dyDescent="0.3">
      <c r="B40">
        <v>26</v>
      </c>
      <c r="C40">
        <v>11</v>
      </c>
      <c r="D40">
        <v>9</v>
      </c>
      <c r="E40">
        <v>10</v>
      </c>
      <c r="F40">
        <v>1</v>
      </c>
      <c r="G40">
        <v>6</v>
      </c>
      <c r="H40">
        <v>1</v>
      </c>
      <c r="I40">
        <v>1</v>
      </c>
      <c r="J40">
        <v>0</v>
      </c>
      <c r="K40">
        <v>0</v>
      </c>
      <c r="L40">
        <v>1</v>
      </c>
    </row>
    <row r="41" spans="2:12" x14ac:dyDescent="0.3">
      <c r="B41">
        <v>18</v>
      </c>
      <c r="C41">
        <v>9</v>
      </c>
      <c r="D41">
        <v>3</v>
      </c>
      <c r="E41">
        <v>3</v>
      </c>
      <c r="F41">
        <v>6</v>
      </c>
      <c r="G41">
        <v>6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2:12" x14ac:dyDescent="0.3">
      <c r="B42">
        <v>28</v>
      </c>
      <c r="C42">
        <v>17</v>
      </c>
      <c r="D42">
        <v>5</v>
      </c>
      <c r="E42">
        <v>9</v>
      </c>
      <c r="F42">
        <v>8</v>
      </c>
      <c r="G42">
        <v>6</v>
      </c>
      <c r="H42">
        <v>0</v>
      </c>
      <c r="I42">
        <v>1</v>
      </c>
      <c r="J42">
        <v>0</v>
      </c>
      <c r="K42">
        <v>1</v>
      </c>
      <c r="L42">
        <v>1</v>
      </c>
    </row>
    <row r="43" spans="2:12" x14ac:dyDescent="0.3">
      <c r="B43">
        <v>16</v>
      </c>
      <c r="C43">
        <v>10</v>
      </c>
      <c r="D43">
        <v>0</v>
      </c>
      <c r="E43">
        <v>9</v>
      </c>
      <c r="F43">
        <v>1</v>
      </c>
      <c r="G43">
        <v>6</v>
      </c>
      <c r="H43">
        <v>0</v>
      </c>
      <c r="I43">
        <v>1</v>
      </c>
      <c r="J43">
        <v>0</v>
      </c>
      <c r="K43">
        <v>1</v>
      </c>
      <c r="L43">
        <v>1</v>
      </c>
    </row>
    <row r="44" spans="2:12" x14ac:dyDescent="0.3">
      <c r="B44">
        <v>17</v>
      </c>
      <c r="C44">
        <v>8</v>
      </c>
      <c r="D44">
        <v>8</v>
      </c>
      <c r="E44">
        <v>6</v>
      </c>
      <c r="F44">
        <v>2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</row>
    <row r="45" spans="2:12" x14ac:dyDescent="0.3">
      <c r="B45">
        <v>22</v>
      </c>
      <c r="C45">
        <v>14</v>
      </c>
      <c r="D45">
        <v>3</v>
      </c>
      <c r="E45">
        <v>7</v>
      </c>
      <c r="F45">
        <v>7</v>
      </c>
      <c r="G45">
        <v>5</v>
      </c>
      <c r="H45">
        <v>1</v>
      </c>
      <c r="I45">
        <v>1</v>
      </c>
      <c r="J45">
        <v>1</v>
      </c>
      <c r="K45">
        <v>0</v>
      </c>
      <c r="L45">
        <v>1</v>
      </c>
    </row>
    <row r="46" spans="2:12" x14ac:dyDescent="0.3">
      <c r="B46">
        <v>27</v>
      </c>
      <c r="C46">
        <v>14</v>
      </c>
      <c r="D46">
        <v>7</v>
      </c>
      <c r="E46">
        <v>7</v>
      </c>
      <c r="F46">
        <v>7</v>
      </c>
      <c r="G46">
        <v>6</v>
      </c>
      <c r="H46">
        <v>1</v>
      </c>
      <c r="I46">
        <v>1</v>
      </c>
      <c r="J46">
        <v>0</v>
      </c>
      <c r="K46">
        <v>1</v>
      </c>
      <c r="L46">
        <v>1</v>
      </c>
    </row>
    <row r="47" spans="2:12" x14ac:dyDescent="0.3">
      <c r="B47">
        <v>23</v>
      </c>
      <c r="C47">
        <v>13</v>
      </c>
      <c r="D47">
        <v>5</v>
      </c>
      <c r="E47">
        <v>4</v>
      </c>
      <c r="F47">
        <v>9</v>
      </c>
      <c r="G47">
        <v>5</v>
      </c>
      <c r="H47">
        <v>1</v>
      </c>
      <c r="I47">
        <v>1</v>
      </c>
      <c r="J47">
        <v>0</v>
      </c>
      <c r="K47">
        <v>1</v>
      </c>
      <c r="L47">
        <v>1</v>
      </c>
    </row>
    <row r="48" spans="2:12" x14ac:dyDescent="0.3">
      <c r="B48">
        <v>19</v>
      </c>
      <c r="C48">
        <v>9</v>
      </c>
      <c r="D48">
        <v>5</v>
      </c>
      <c r="E48">
        <v>6</v>
      </c>
      <c r="F48">
        <v>3</v>
      </c>
      <c r="G48">
        <v>5</v>
      </c>
      <c r="H48">
        <v>1</v>
      </c>
      <c r="I48">
        <v>1</v>
      </c>
      <c r="J48">
        <v>1</v>
      </c>
      <c r="K48">
        <v>0</v>
      </c>
      <c r="L48">
        <v>1</v>
      </c>
    </row>
    <row r="49" spans="2:12" x14ac:dyDescent="0.3">
      <c r="B49">
        <v>19</v>
      </c>
      <c r="C49">
        <v>13</v>
      </c>
      <c r="D49">
        <v>6</v>
      </c>
      <c r="E49">
        <v>9</v>
      </c>
      <c r="F49">
        <v>4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</row>
    <row r="50" spans="2:12" x14ac:dyDescent="0.3">
      <c r="B50">
        <v>26</v>
      </c>
      <c r="C50">
        <v>12</v>
      </c>
      <c r="D50">
        <v>8</v>
      </c>
      <c r="E50">
        <v>8</v>
      </c>
      <c r="F50">
        <v>4</v>
      </c>
      <c r="G50">
        <v>6</v>
      </c>
      <c r="H50">
        <v>1</v>
      </c>
      <c r="I50">
        <v>1</v>
      </c>
      <c r="J50">
        <v>1</v>
      </c>
      <c r="K50">
        <v>0</v>
      </c>
      <c r="L50">
        <v>1</v>
      </c>
    </row>
    <row r="51" spans="2:12" x14ac:dyDescent="0.3">
      <c r="B51">
        <v>23</v>
      </c>
      <c r="C51">
        <v>18</v>
      </c>
      <c r="D51">
        <v>3</v>
      </c>
      <c r="E51">
        <v>10</v>
      </c>
      <c r="F51">
        <v>8</v>
      </c>
      <c r="G51">
        <v>2</v>
      </c>
      <c r="H51">
        <v>0</v>
      </c>
      <c r="I51">
        <v>1</v>
      </c>
      <c r="J51">
        <v>0</v>
      </c>
      <c r="K51">
        <v>1</v>
      </c>
      <c r="L51">
        <v>1</v>
      </c>
    </row>
    <row r="52" spans="2:12" x14ac:dyDescent="0.3">
      <c r="B52">
        <v>19</v>
      </c>
      <c r="C52">
        <v>13</v>
      </c>
      <c r="D52">
        <v>6</v>
      </c>
      <c r="E52">
        <v>5</v>
      </c>
      <c r="F52">
        <v>8</v>
      </c>
      <c r="G52">
        <v>0</v>
      </c>
      <c r="H52">
        <v>0</v>
      </c>
      <c r="I52">
        <v>1</v>
      </c>
      <c r="J52">
        <v>1</v>
      </c>
      <c r="K52">
        <v>0</v>
      </c>
      <c r="L52">
        <v>1</v>
      </c>
    </row>
    <row r="53" spans="2:12" x14ac:dyDescent="0.3">
      <c r="B53">
        <v>15</v>
      </c>
      <c r="C53">
        <v>12</v>
      </c>
      <c r="D53">
        <v>0</v>
      </c>
      <c r="E53">
        <v>5</v>
      </c>
      <c r="F53">
        <v>7</v>
      </c>
      <c r="G53">
        <v>3</v>
      </c>
      <c r="H53">
        <v>0</v>
      </c>
      <c r="I53">
        <v>1</v>
      </c>
      <c r="J53">
        <v>0</v>
      </c>
      <c r="K53">
        <v>1</v>
      </c>
      <c r="L53">
        <v>1</v>
      </c>
    </row>
    <row r="54" spans="2:12" x14ac:dyDescent="0.3">
      <c r="B54">
        <v>17</v>
      </c>
      <c r="C54">
        <v>5</v>
      </c>
      <c r="D54">
        <v>8</v>
      </c>
      <c r="E54">
        <v>0</v>
      </c>
      <c r="F54">
        <v>5</v>
      </c>
      <c r="G54">
        <v>4</v>
      </c>
      <c r="H54">
        <v>0</v>
      </c>
      <c r="I54">
        <v>1</v>
      </c>
      <c r="J54">
        <v>1</v>
      </c>
      <c r="K54">
        <v>1</v>
      </c>
      <c r="L54">
        <v>1</v>
      </c>
    </row>
    <row r="55" spans="2:12" x14ac:dyDescent="0.3">
      <c r="B55">
        <v>22</v>
      </c>
      <c r="C55">
        <v>15</v>
      </c>
      <c r="D55">
        <v>6</v>
      </c>
      <c r="E55">
        <v>6</v>
      </c>
      <c r="F55">
        <v>9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</row>
    <row r="56" spans="2:12" x14ac:dyDescent="0.3">
      <c r="B56">
        <v>22</v>
      </c>
      <c r="C56">
        <v>11</v>
      </c>
      <c r="D56">
        <v>5</v>
      </c>
      <c r="E56">
        <v>5</v>
      </c>
      <c r="F56">
        <v>6</v>
      </c>
      <c r="G56">
        <v>6</v>
      </c>
      <c r="H56">
        <v>1</v>
      </c>
      <c r="I56">
        <v>1</v>
      </c>
      <c r="J56">
        <v>0</v>
      </c>
      <c r="K56">
        <v>0</v>
      </c>
      <c r="L56">
        <v>1</v>
      </c>
    </row>
    <row r="57" spans="2:12" x14ac:dyDescent="0.3">
      <c r="B57">
        <v>17</v>
      </c>
      <c r="C57">
        <v>8</v>
      </c>
      <c r="D57">
        <v>7</v>
      </c>
      <c r="E57">
        <v>0</v>
      </c>
      <c r="F57">
        <v>8</v>
      </c>
      <c r="G57">
        <v>2</v>
      </c>
      <c r="H57">
        <v>0</v>
      </c>
      <c r="I57">
        <v>1</v>
      </c>
      <c r="J57">
        <v>0</v>
      </c>
      <c r="K57">
        <v>1</v>
      </c>
      <c r="L57">
        <v>1</v>
      </c>
    </row>
    <row r="58" spans="2:12" x14ac:dyDescent="0.3">
      <c r="B58">
        <v>17</v>
      </c>
      <c r="C58">
        <v>12</v>
      </c>
      <c r="D58">
        <v>2</v>
      </c>
      <c r="E58">
        <v>8</v>
      </c>
      <c r="F58">
        <v>4</v>
      </c>
      <c r="G58">
        <v>3</v>
      </c>
      <c r="H58">
        <v>0</v>
      </c>
      <c r="I58">
        <v>1</v>
      </c>
      <c r="J58">
        <v>0</v>
      </c>
      <c r="K58">
        <v>1</v>
      </c>
      <c r="L58">
        <v>1</v>
      </c>
    </row>
    <row r="59" spans="2:12" x14ac:dyDescent="0.3">
      <c r="B59">
        <v>16</v>
      </c>
      <c r="C59">
        <v>12</v>
      </c>
      <c r="D59">
        <v>1</v>
      </c>
      <c r="E59">
        <v>8</v>
      </c>
      <c r="F59">
        <v>4</v>
      </c>
      <c r="G59">
        <v>3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2:12" x14ac:dyDescent="0.3">
      <c r="B60">
        <v>20</v>
      </c>
      <c r="C60">
        <v>12</v>
      </c>
      <c r="D60">
        <v>8</v>
      </c>
      <c r="E60">
        <v>2</v>
      </c>
      <c r="F60">
        <v>10</v>
      </c>
      <c r="G60">
        <v>0</v>
      </c>
      <c r="H60">
        <v>1</v>
      </c>
      <c r="I60">
        <v>1</v>
      </c>
      <c r="J60">
        <v>0</v>
      </c>
      <c r="K60">
        <v>1</v>
      </c>
      <c r="L60">
        <v>1</v>
      </c>
    </row>
    <row r="61" spans="2:12" x14ac:dyDescent="0.3">
      <c r="B61">
        <v>22</v>
      </c>
      <c r="C61">
        <v>12</v>
      </c>
      <c r="D61">
        <v>7</v>
      </c>
      <c r="E61">
        <v>4</v>
      </c>
      <c r="F61">
        <v>8</v>
      </c>
      <c r="G61">
        <v>3</v>
      </c>
      <c r="H61">
        <v>0</v>
      </c>
      <c r="I61">
        <v>1</v>
      </c>
      <c r="J61">
        <v>1</v>
      </c>
      <c r="K61">
        <v>1</v>
      </c>
      <c r="L61">
        <v>1</v>
      </c>
    </row>
    <row r="62" spans="2:12" x14ac:dyDescent="0.3">
      <c r="B62">
        <v>18</v>
      </c>
      <c r="C62">
        <v>9</v>
      </c>
      <c r="D62">
        <v>6</v>
      </c>
      <c r="E62">
        <v>6</v>
      </c>
      <c r="F62">
        <v>3</v>
      </c>
      <c r="G62">
        <v>3</v>
      </c>
      <c r="H62">
        <v>0</v>
      </c>
      <c r="I62">
        <v>1</v>
      </c>
      <c r="J62">
        <v>1</v>
      </c>
      <c r="K62">
        <v>0</v>
      </c>
      <c r="L62">
        <v>1</v>
      </c>
    </row>
    <row r="63" spans="2:12" x14ac:dyDescent="0.3">
      <c r="B63">
        <v>25</v>
      </c>
      <c r="C63">
        <v>15</v>
      </c>
      <c r="D63">
        <v>7</v>
      </c>
      <c r="E63">
        <v>6</v>
      </c>
      <c r="F63">
        <v>9</v>
      </c>
      <c r="G63">
        <v>3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2:12" x14ac:dyDescent="0.3">
      <c r="B64">
        <v>24</v>
      </c>
      <c r="C64">
        <v>15</v>
      </c>
      <c r="D64">
        <v>6</v>
      </c>
      <c r="E64">
        <v>10</v>
      </c>
      <c r="F64">
        <v>5</v>
      </c>
      <c r="G64">
        <v>3</v>
      </c>
      <c r="H64">
        <v>0</v>
      </c>
      <c r="I64">
        <v>1</v>
      </c>
      <c r="J64">
        <v>0</v>
      </c>
      <c r="K64">
        <v>1</v>
      </c>
      <c r="L64">
        <v>1</v>
      </c>
    </row>
    <row r="65" spans="2:12" x14ac:dyDescent="0.3">
      <c r="B65">
        <v>22</v>
      </c>
      <c r="C65">
        <v>12</v>
      </c>
      <c r="D65">
        <v>9</v>
      </c>
      <c r="E65">
        <v>4</v>
      </c>
      <c r="F65">
        <v>8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</row>
    <row r="66" spans="2:12" x14ac:dyDescent="0.3">
      <c r="B66">
        <v>23</v>
      </c>
      <c r="C66">
        <v>10</v>
      </c>
      <c r="D66">
        <v>8</v>
      </c>
      <c r="E66">
        <v>8</v>
      </c>
      <c r="F66">
        <v>2</v>
      </c>
      <c r="G66">
        <v>5</v>
      </c>
      <c r="H66">
        <v>1</v>
      </c>
      <c r="I66">
        <v>1</v>
      </c>
      <c r="J66">
        <v>0</v>
      </c>
      <c r="K66">
        <v>0</v>
      </c>
      <c r="L66">
        <v>1</v>
      </c>
    </row>
    <row r="67" spans="2:12" x14ac:dyDescent="0.3">
      <c r="B67">
        <v>22</v>
      </c>
      <c r="C67">
        <v>11</v>
      </c>
      <c r="D67">
        <v>7</v>
      </c>
      <c r="E67">
        <v>1</v>
      </c>
      <c r="F67">
        <v>10</v>
      </c>
      <c r="G67">
        <v>4</v>
      </c>
      <c r="H67">
        <v>0</v>
      </c>
      <c r="I67">
        <v>1</v>
      </c>
      <c r="J67">
        <v>0</v>
      </c>
      <c r="K67">
        <v>1</v>
      </c>
      <c r="L67">
        <v>1</v>
      </c>
    </row>
    <row r="68" spans="2:12" x14ac:dyDescent="0.3">
      <c r="B68">
        <v>20</v>
      </c>
      <c r="C68">
        <v>17</v>
      </c>
      <c r="D68">
        <v>0</v>
      </c>
      <c r="E68">
        <v>9</v>
      </c>
      <c r="F68">
        <v>8</v>
      </c>
      <c r="G68">
        <v>3</v>
      </c>
      <c r="H68">
        <v>1</v>
      </c>
      <c r="I68">
        <v>1</v>
      </c>
      <c r="J68">
        <v>0</v>
      </c>
      <c r="K68">
        <v>0</v>
      </c>
      <c r="L68">
        <v>1</v>
      </c>
    </row>
    <row r="69" spans="2:12" x14ac:dyDescent="0.3">
      <c r="B69">
        <v>28</v>
      </c>
      <c r="C69">
        <v>15</v>
      </c>
      <c r="D69">
        <v>7</v>
      </c>
      <c r="E69">
        <v>10</v>
      </c>
      <c r="F69">
        <v>5</v>
      </c>
      <c r="G69">
        <v>6</v>
      </c>
      <c r="H69">
        <v>0</v>
      </c>
      <c r="I69">
        <v>1</v>
      </c>
      <c r="J69">
        <v>0</v>
      </c>
      <c r="K69">
        <v>1</v>
      </c>
      <c r="L69">
        <v>1</v>
      </c>
    </row>
    <row r="70" spans="2:12" x14ac:dyDescent="0.3">
      <c r="B70">
        <v>19</v>
      </c>
      <c r="C70">
        <v>10</v>
      </c>
      <c r="D70">
        <v>3</v>
      </c>
      <c r="E70">
        <v>5</v>
      </c>
      <c r="F70">
        <v>5</v>
      </c>
      <c r="G70">
        <v>6</v>
      </c>
      <c r="H70">
        <v>0</v>
      </c>
      <c r="I70">
        <v>1</v>
      </c>
      <c r="J70">
        <v>0</v>
      </c>
      <c r="K70">
        <v>1</v>
      </c>
      <c r="L70">
        <v>1</v>
      </c>
    </row>
    <row r="71" spans="2:12" x14ac:dyDescent="0.3">
      <c r="B71">
        <v>18</v>
      </c>
      <c r="C71">
        <v>10</v>
      </c>
      <c r="D71">
        <v>2</v>
      </c>
      <c r="E71">
        <v>4</v>
      </c>
      <c r="F71">
        <v>6</v>
      </c>
      <c r="G71">
        <v>6</v>
      </c>
      <c r="H71">
        <v>0</v>
      </c>
      <c r="I71">
        <v>1</v>
      </c>
      <c r="J71">
        <v>1</v>
      </c>
      <c r="K71">
        <v>0</v>
      </c>
      <c r="L71">
        <v>1</v>
      </c>
    </row>
    <row r="72" spans="2:12" x14ac:dyDescent="0.3">
      <c r="B72">
        <v>20</v>
      </c>
      <c r="C72">
        <v>14</v>
      </c>
      <c r="D72">
        <v>3</v>
      </c>
      <c r="E72">
        <v>8</v>
      </c>
      <c r="F72">
        <v>6</v>
      </c>
      <c r="G72">
        <v>3</v>
      </c>
      <c r="H72">
        <v>0</v>
      </c>
      <c r="I72">
        <v>1</v>
      </c>
      <c r="J72">
        <v>1</v>
      </c>
      <c r="K72">
        <v>0</v>
      </c>
      <c r="L72">
        <v>1</v>
      </c>
    </row>
    <row r="73" spans="2:12" x14ac:dyDescent="0.3">
      <c r="B73">
        <v>17</v>
      </c>
      <c r="C73">
        <v>10</v>
      </c>
      <c r="D73">
        <v>7</v>
      </c>
      <c r="E73">
        <v>7</v>
      </c>
      <c r="F73">
        <v>3</v>
      </c>
      <c r="G73">
        <v>0</v>
      </c>
      <c r="H73">
        <v>1</v>
      </c>
      <c r="I73">
        <v>1</v>
      </c>
      <c r="J73">
        <v>0</v>
      </c>
      <c r="K73">
        <v>0</v>
      </c>
      <c r="L73">
        <v>1</v>
      </c>
    </row>
    <row r="74" spans="2:12" x14ac:dyDescent="0.3">
      <c r="B74">
        <v>18</v>
      </c>
      <c r="C74">
        <v>11</v>
      </c>
      <c r="D74">
        <v>7</v>
      </c>
      <c r="E74">
        <v>9</v>
      </c>
      <c r="F74">
        <v>2</v>
      </c>
      <c r="G74">
        <v>0</v>
      </c>
      <c r="H74">
        <v>1</v>
      </c>
      <c r="I74">
        <v>1</v>
      </c>
      <c r="J74">
        <v>1</v>
      </c>
      <c r="K74">
        <v>0</v>
      </c>
      <c r="L74">
        <v>1</v>
      </c>
    </row>
    <row r="75" spans="2:12" x14ac:dyDescent="0.3">
      <c r="B75">
        <v>25</v>
      </c>
      <c r="C75">
        <v>14</v>
      </c>
      <c r="D75">
        <v>8</v>
      </c>
      <c r="E75">
        <v>10</v>
      </c>
      <c r="F75">
        <v>4</v>
      </c>
      <c r="G75">
        <v>3</v>
      </c>
      <c r="H75">
        <v>0</v>
      </c>
      <c r="I75">
        <v>1</v>
      </c>
      <c r="J75">
        <v>1</v>
      </c>
      <c r="K75">
        <v>1</v>
      </c>
      <c r="L75">
        <v>1</v>
      </c>
    </row>
    <row r="76" spans="2:12" x14ac:dyDescent="0.3">
      <c r="B76">
        <v>18</v>
      </c>
      <c r="C76">
        <v>9</v>
      </c>
      <c r="D76">
        <v>4</v>
      </c>
      <c r="E76">
        <v>7</v>
      </c>
      <c r="F76">
        <v>2</v>
      </c>
      <c r="G76">
        <v>5</v>
      </c>
      <c r="H76">
        <v>0</v>
      </c>
      <c r="I76">
        <v>1</v>
      </c>
      <c r="J76">
        <v>0</v>
      </c>
      <c r="K76">
        <v>1</v>
      </c>
      <c r="L76">
        <v>1</v>
      </c>
    </row>
    <row r="77" spans="2:12" x14ac:dyDescent="0.3">
      <c r="B77">
        <v>22</v>
      </c>
      <c r="C77">
        <v>13</v>
      </c>
      <c r="D77">
        <v>5</v>
      </c>
      <c r="E77">
        <v>8</v>
      </c>
      <c r="F77">
        <v>5</v>
      </c>
      <c r="G77">
        <v>4</v>
      </c>
      <c r="H77">
        <v>0</v>
      </c>
      <c r="I77">
        <v>1</v>
      </c>
      <c r="J77">
        <v>1</v>
      </c>
      <c r="K77">
        <v>0</v>
      </c>
      <c r="L77">
        <v>1</v>
      </c>
    </row>
    <row r="78" spans="2:12" x14ac:dyDescent="0.3">
      <c r="B78">
        <v>26</v>
      </c>
      <c r="C78">
        <v>15</v>
      </c>
      <c r="D78">
        <v>5</v>
      </c>
      <c r="E78">
        <v>5</v>
      </c>
      <c r="F78">
        <v>10</v>
      </c>
      <c r="G78">
        <v>6</v>
      </c>
      <c r="H78">
        <v>0</v>
      </c>
      <c r="I78">
        <v>1</v>
      </c>
      <c r="J78">
        <v>1</v>
      </c>
      <c r="K78">
        <v>0</v>
      </c>
      <c r="L78">
        <v>1</v>
      </c>
    </row>
    <row r="79" spans="2:12" x14ac:dyDescent="0.3">
      <c r="B79">
        <v>18</v>
      </c>
      <c r="C79">
        <v>8</v>
      </c>
      <c r="D79">
        <v>4</v>
      </c>
      <c r="E79">
        <v>6</v>
      </c>
      <c r="F79">
        <v>2</v>
      </c>
      <c r="G79">
        <v>6</v>
      </c>
      <c r="H79">
        <v>0</v>
      </c>
      <c r="I79">
        <v>1</v>
      </c>
      <c r="J79">
        <v>0</v>
      </c>
      <c r="K79">
        <v>1</v>
      </c>
      <c r="L79">
        <v>1</v>
      </c>
    </row>
    <row r="80" spans="2:12" x14ac:dyDescent="0.3">
      <c r="B80">
        <v>18</v>
      </c>
      <c r="C80">
        <v>16</v>
      </c>
      <c r="D80">
        <v>1</v>
      </c>
      <c r="E80">
        <v>8</v>
      </c>
      <c r="F80">
        <v>8</v>
      </c>
      <c r="G80">
        <v>1</v>
      </c>
      <c r="H80">
        <v>1</v>
      </c>
      <c r="I80">
        <v>1</v>
      </c>
      <c r="J80">
        <v>0</v>
      </c>
      <c r="K80">
        <v>0</v>
      </c>
      <c r="L80">
        <v>1</v>
      </c>
    </row>
    <row r="81" spans="2:12" x14ac:dyDescent="0.3">
      <c r="B81">
        <v>25</v>
      </c>
      <c r="C81">
        <v>17</v>
      </c>
      <c r="D81">
        <v>2</v>
      </c>
      <c r="E81">
        <v>9</v>
      </c>
      <c r="F81">
        <v>8</v>
      </c>
      <c r="G81">
        <v>6</v>
      </c>
      <c r="H81">
        <v>0</v>
      </c>
      <c r="I81">
        <v>1</v>
      </c>
      <c r="J81">
        <v>0</v>
      </c>
      <c r="K81">
        <v>1</v>
      </c>
      <c r="L81">
        <v>1</v>
      </c>
    </row>
    <row r="82" spans="2:12" x14ac:dyDescent="0.3">
      <c r="B82">
        <v>16</v>
      </c>
      <c r="C82">
        <v>8</v>
      </c>
      <c r="D82">
        <v>5</v>
      </c>
      <c r="E82">
        <v>3</v>
      </c>
      <c r="F82">
        <v>5</v>
      </c>
      <c r="G82">
        <v>3</v>
      </c>
      <c r="H82">
        <v>1</v>
      </c>
      <c r="I82">
        <v>1</v>
      </c>
      <c r="J82">
        <v>0</v>
      </c>
      <c r="K82">
        <v>1</v>
      </c>
      <c r="L82">
        <v>1</v>
      </c>
    </row>
    <row r="83" spans="2:12" x14ac:dyDescent="0.3">
      <c r="B83">
        <v>27</v>
      </c>
      <c r="C83">
        <v>16</v>
      </c>
      <c r="D83">
        <v>5</v>
      </c>
      <c r="E83">
        <v>9</v>
      </c>
      <c r="F83">
        <v>7</v>
      </c>
      <c r="G83">
        <v>6</v>
      </c>
      <c r="H83">
        <v>1</v>
      </c>
      <c r="I83">
        <v>1</v>
      </c>
      <c r="J83">
        <v>1</v>
      </c>
      <c r="K83">
        <v>0</v>
      </c>
      <c r="L83">
        <v>1</v>
      </c>
    </row>
    <row r="84" spans="2:12" x14ac:dyDescent="0.3">
      <c r="B84">
        <v>15</v>
      </c>
      <c r="C84">
        <v>6</v>
      </c>
      <c r="D84">
        <v>9</v>
      </c>
      <c r="E84">
        <v>2</v>
      </c>
      <c r="F84">
        <v>4</v>
      </c>
      <c r="G84">
        <v>0</v>
      </c>
      <c r="H84">
        <v>1</v>
      </c>
      <c r="I84">
        <v>1</v>
      </c>
      <c r="J84">
        <v>1</v>
      </c>
      <c r="K84">
        <v>0</v>
      </c>
      <c r="L84">
        <v>1</v>
      </c>
    </row>
    <row r="85" spans="2:12" x14ac:dyDescent="0.3">
      <c r="B85">
        <v>15</v>
      </c>
      <c r="C85">
        <v>6</v>
      </c>
      <c r="D85">
        <v>6</v>
      </c>
      <c r="E85">
        <v>1</v>
      </c>
      <c r="F85">
        <v>5</v>
      </c>
      <c r="G85">
        <v>3</v>
      </c>
      <c r="H85">
        <v>0</v>
      </c>
      <c r="I85">
        <v>1</v>
      </c>
      <c r="J85">
        <v>1</v>
      </c>
      <c r="K85">
        <v>1</v>
      </c>
      <c r="L85">
        <v>1</v>
      </c>
    </row>
    <row r="86" spans="2:12" x14ac:dyDescent="0.3">
      <c r="B86">
        <v>23</v>
      </c>
      <c r="C86">
        <v>11</v>
      </c>
      <c r="D86">
        <v>8</v>
      </c>
      <c r="E86">
        <v>10</v>
      </c>
      <c r="F86">
        <v>1</v>
      </c>
      <c r="G86">
        <v>4</v>
      </c>
      <c r="H86">
        <v>1</v>
      </c>
      <c r="I86">
        <v>1</v>
      </c>
      <c r="J86">
        <v>1</v>
      </c>
      <c r="K86">
        <v>0</v>
      </c>
      <c r="L86">
        <v>1</v>
      </c>
    </row>
    <row r="87" spans="2:12" x14ac:dyDescent="0.3">
      <c r="B87">
        <v>22</v>
      </c>
      <c r="C87">
        <v>19</v>
      </c>
      <c r="D87">
        <v>1</v>
      </c>
      <c r="E87">
        <v>9</v>
      </c>
      <c r="F87">
        <v>10</v>
      </c>
      <c r="G87">
        <v>2</v>
      </c>
      <c r="H87">
        <v>1</v>
      </c>
      <c r="I87">
        <v>1</v>
      </c>
      <c r="J87">
        <v>0</v>
      </c>
      <c r="K87">
        <v>1</v>
      </c>
      <c r="L87">
        <v>1</v>
      </c>
    </row>
    <row r="88" spans="2:12" x14ac:dyDescent="0.3">
      <c r="B88">
        <v>15</v>
      </c>
      <c r="C88">
        <v>10</v>
      </c>
      <c r="D88">
        <v>1</v>
      </c>
      <c r="E88">
        <v>2</v>
      </c>
      <c r="F88">
        <v>8</v>
      </c>
      <c r="G88">
        <v>4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2:12" x14ac:dyDescent="0.3">
      <c r="B89">
        <v>23</v>
      </c>
      <c r="C89">
        <v>11</v>
      </c>
      <c r="D89">
        <v>6</v>
      </c>
      <c r="E89">
        <v>4</v>
      </c>
      <c r="F89">
        <v>7</v>
      </c>
      <c r="G89">
        <v>6</v>
      </c>
      <c r="H89">
        <v>1</v>
      </c>
      <c r="I89">
        <v>1</v>
      </c>
      <c r="J89">
        <v>0</v>
      </c>
      <c r="K89">
        <v>1</v>
      </c>
      <c r="L89">
        <v>1</v>
      </c>
    </row>
    <row r="90" spans="2:12" x14ac:dyDescent="0.3">
      <c r="B90">
        <v>21</v>
      </c>
      <c r="C90">
        <v>15</v>
      </c>
      <c r="D90">
        <v>2</v>
      </c>
      <c r="E90">
        <v>9</v>
      </c>
      <c r="F90">
        <v>6</v>
      </c>
      <c r="G90">
        <v>4</v>
      </c>
      <c r="H90">
        <v>1</v>
      </c>
      <c r="I90">
        <v>1</v>
      </c>
      <c r="J90">
        <v>0</v>
      </c>
      <c r="K90">
        <v>1</v>
      </c>
      <c r="L90">
        <v>1</v>
      </c>
    </row>
    <row r="91" spans="2:12" x14ac:dyDescent="0.3">
      <c r="B91">
        <v>19</v>
      </c>
      <c r="C91">
        <v>9</v>
      </c>
      <c r="D91">
        <v>9</v>
      </c>
      <c r="E91">
        <v>4</v>
      </c>
      <c r="F91">
        <v>5</v>
      </c>
      <c r="G91">
        <v>1</v>
      </c>
      <c r="H91">
        <v>1</v>
      </c>
      <c r="I91">
        <v>1</v>
      </c>
      <c r="J91">
        <v>0</v>
      </c>
      <c r="K91">
        <v>1</v>
      </c>
      <c r="L91">
        <v>1</v>
      </c>
    </row>
    <row r="92" spans="2:12" x14ac:dyDescent="0.3">
      <c r="B92">
        <v>20</v>
      </c>
      <c r="C92">
        <v>19</v>
      </c>
      <c r="D92">
        <v>1</v>
      </c>
      <c r="E92">
        <v>10</v>
      </c>
      <c r="F92">
        <v>9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</row>
    <row r="93" spans="2:12" x14ac:dyDescent="0.3">
      <c r="B93">
        <v>17</v>
      </c>
      <c r="C93">
        <v>6</v>
      </c>
      <c r="D93">
        <v>5</v>
      </c>
      <c r="E93">
        <v>2</v>
      </c>
      <c r="F93">
        <v>4</v>
      </c>
      <c r="G93">
        <v>6</v>
      </c>
      <c r="H93">
        <v>1</v>
      </c>
      <c r="I93">
        <v>1</v>
      </c>
      <c r="J93">
        <v>0</v>
      </c>
      <c r="K93">
        <v>0</v>
      </c>
      <c r="L93">
        <v>1</v>
      </c>
    </row>
    <row r="94" spans="2:12" x14ac:dyDescent="0.3">
      <c r="B94">
        <v>16</v>
      </c>
      <c r="C94">
        <v>9</v>
      </c>
      <c r="D94">
        <v>1</v>
      </c>
      <c r="E94">
        <v>4</v>
      </c>
      <c r="F94">
        <v>5</v>
      </c>
      <c r="G94">
        <v>6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2:12" x14ac:dyDescent="0.3">
      <c r="B95">
        <v>21</v>
      </c>
      <c r="C95">
        <v>9</v>
      </c>
      <c r="D95">
        <v>7</v>
      </c>
      <c r="E95">
        <v>1</v>
      </c>
      <c r="F95">
        <v>8</v>
      </c>
      <c r="G95">
        <v>5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2:12" x14ac:dyDescent="0.3">
      <c r="B96">
        <v>18</v>
      </c>
      <c r="C96">
        <v>16</v>
      </c>
      <c r="D96">
        <v>0</v>
      </c>
      <c r="E96">
        <v>9</v>
      </c>
      <c r="F96">
        <v>7</v>
      </c>
      <c r="G96">
        <v>2</v>
      </c>
      <c r="H96">
        <v>1</v>
      </c>
      <c r="I96">
        <v>1</v>
      </c>
      <c r="J96">
        <v>0</v>
      </c>
      <c r="K96">
        <v>0</v>
      </c>
      <c r="L96">
        <v>1</v>
      </c>
    </row>
    <row r="97" spans="2:12" x14ac:dyDescent="0.3">
      <c r="B97">
        <v>24</v>
      </c>
      <c r="C97">
        <v>16</v>
      </c>
      <c r="D97">
        <v>3</v>
      </c>
      <c r="E97">
        <v>9</v>
      </c>
      <c r="F97">
        <v>7</v>
      </c>
      <c r="G97">
        <v>5</v>
      </c>
      <c r="H97">
        <v>0</v>
      </c>
      <c r="I97">
        <v>1</v>
      </c>
      <c r="J97">
        <v>1</v>
      </c>
      <c r="K97">
        <v>0</v>
      </c>
      <c r="L97">
        <v>1</v>
      </c>
    </row>
    <row r="98" spans="2:12" x14ac:dyDescent="0.3">
      <c r="B98">
        <v>15</v>
      </c>
      <c r="C98">
        <v>12</v>
      </c>
      <c r="D98">
        <v>0</v>
      </c>
      <c r="E98">
        <v>6</v>
      </c>
      <c r="F98">
        <v>6</v>
      </c>
      <c r="G98">
        <v>3</v>
      </c>
      <c r="H98">
        <v>0</v>
      </c>
      <c r="I98">
        <v>1</v>
      </c>
      <c r="J98">
        <v>1</v>
      </c>
      <c r="K98">
        <v>0</v>
      </c>
      <c r="L98">
        <v>1</v>
      </c>
    </row>
    <row r="99" spans="2:12" x14ac:dyDescent="0.3">
      <c r="B99">
        <v>18</v>
      </c>
      <c r="C99">
        <v>9</v>
      </c>
      <c r="D99">
        <v>4</v>
      </c>
      <c r="E99">
        <v>8</v>
      </c>
      <c r="F99">
        <v>1</v>
      </c>
      <c r="G99">
        <v>5</v>
      </c>
      <c r="H99">
        <v>0</v>
      </c>
      <c r="I99">
        <v>1</v>
      </c>
      <c r="J99">
        <v>1</v>
      </c>
      <c r="K99">
        <v>0</v>
      </c>
      <c r="L99">
        <v>1</v>
      </c>
    </row>
    <row r="100" spans="2:12" x14ac:dyDescent="0.3">
      <c r="B100">
        <v>27</v>
      </c>
      <c r="C100">
        <v>19</v>
      </c>
      <c r="D100">
        <v>4</v>
      </c>
      <c r="E100">
        <v>9</v>
      </c>
      <c r="F100">
        <v>10</v>
      </c>
      <c r="G100">
        <v>4</v>
      </c>
      <c r="H100">
        <v>1</v>
      </c>
      <c r="I100">
        <v>1</v>
      </c>
      <c r="J100">
        <v>0</v>
      </c>
      <c r="K100">
        <v>1</v>
      </c>
      <c r="L100">
        <v>1</v>
      </c>
    </row>
    <row r="101" spans="2:12" x14ac:dyDescent="0.3">
      <c r="B101">
        <v>20</v>
      </c>
      <c r="C101">
        <v>10</v>
      </c>
      <c r="D101">
        <v>7</v>
      </c>
      <c r="E101">
        <v>2</v>
      </c>
      <c r="F101">
        <v>8</v>
      </c>
      <c r="G101">
        <v>3</v>
      </c>
      <c r="H101">
        <v>0</v>
      </c>
      <c r="I101">
        <v>1</v>
      </c>
      <c r="J101">
        <v>1</v>
      </c>
      <c r="K101">
        <v>1</v>
      </c>
      <c r="L101">
        <v>1</v>
      </c>
    </row>
    <row r="102" spans="2:12" x14ac:dyDescent="0.3">
      <c r="B102">
        <v>21</v>
      </c>
      <c r="C102">
        <v>8</v>
      </c>
      <c r="D102">
        <v>9</v>
      </c>
      <c r="E102">
        <v>0</v>
      </c>
      <c r="F102">
        <v>8</v>
      </c>
      <c r="G102">
        <v>4</v>
      </c>
      <c r="H102">
        <v>1</v>
      </c>
      <c r="I102">
        <v>1</v>
      </c>
      <c r="J102">
        <v>0</v>
      </c>
      <c r="K102">
        <v>1</v>
      </c>
      <c r="L102">
        <v>1</v>
      </c>
    </row>
    <row r="103" spans="2:12" x14ac:dyDescent="0.3">
      <c r="B103">
        <v>22</v>
      </c>
      <c r="C103">
        <v>12</v>
      </c>
      <c r="D103">
        <v>6</v>
      </c>
      <c r="E103">
        <v>7</v>
      </c>
      <c r="F103">
        <v>5</v>
      </c>
      <c r="G103">
        <v>4</v>
      </c>
      <c r="H103">
        <v>1</v>
      </c>
      <c r="I103">
        <v>1</v>
      </c>
      <c r="J103">
        <v>0</v>
      </c>
      <c r="K103">
        <v>1</v>
      </c>
      <c r="L103">
        <v>1</v>
      </c>
    </row>
    <row r="104" spans="2:12" x14ac:dyDescent="0.3">
      <c r="B104">
        <v>20</v>
      </c>
      <c r="C104">
        <v>12</v>
      </c>
      <c r="D104">
        <v>8</v>
      </c>
      <c r="E104">
        <v>10</v>
      </c>
      <c r="F104">
        <v>2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1</v>
      </c>
    </row>
    <row r="105" spans="2:12" x14ac:dyDescent="0.3">
      <c r="B105">
        <v>21</v>
      </c>
      <c r="C105">
        <v>9</v>
      </c>
      <c r="D105">
        <v>9</v>
      </c>
      <c r="E105">
        <v>1</v>
      </c>
      <c r="F105">
        <v>8</v>
      </c>
      <c r="G105">
        <v>3</v>
      </c>
      <c r="H105">
        <v>0</v>
      </c>
      <c r="I105">
        <v>1</v>
      </c>
      <c r="J105">
        <v>1</v>
      </c>
      <c r="K105">
        <v>0</v>
      </c>
      <c r="L105">
        <v>1</v>
      </c>
    </row>
    <row r="106" spans="2:12" x14ac:dyDescent="0.3">
      <c r="B106">
        <v>21</v>
      </c>
      <c r="C106">
        <v>7</v>
      </c>
      <c r="D106">
        <v>8</v>
      </c>
      <c r="E106">
        <v>1</v>
      </c>
      <c r="F106">
        <v>6</v>
      </c>
      <c r="G106">
        <v>6</v>
      </c>
      <c r="H106">
        <v>1</v>
      </c>
      <c r="I106">
        <v>1</v>
      </c>
      <c r="J106">
        <v>1</v>
      </c>
      <c r="K106">
        <v>0</v>
      </c>
      <c r="L106">
        <v>1</v>
      </c>
    </row>
    <row r="107" spans="2:12" x14ac:dyDescent="0.3">
      <c r="B107">
        <v>29</v>
      </c>
      <c r="C107">
        <v>16</v>
      </c>
      <c r="D107">
        <v>9</v>
      </c>
      <c r="E107">
        <v>8</v>
      </c>
      <c r="F107">
        <v>8</v>
      </c>
      <c r="G107">
        <v>4</v>
      </c>
      <c r="H107">
        <v>1</v>
      </c>
      <c r="I107">
        <v>1</v>
      </c>
      <c r="J107">
        <v>1</v>
      </c>
      <c r="K107">
        <v>1</v>
      </c>
      <c r="L107">
        <v>1</v>
      </c>
    </row>
    <row r="108" spans="2:12" x14ac:dyDescent="0.3">
      <c r="B108">
        <v>15</v>
      </c>
      <c r="C108">
        <v>11</v>
      </c>
      <c r="D108">
        <v>1</v>
      </c>
      <c r="E108">
        <v>4</v>
      </c>
      <c r="F108">
        <v>7</v>
      </c>
      <c r="G108">
        <v>3</v>
      </c>
      <c r="H108">
        <v>1</v>
      </c>
      <c r="I108">
        <v>1</v>
      </c>
      <c r="J108">
        <v>1</v>
      </c>
      <c r="K108">
        <v>0</v>
      </c>
      <c r="L108">
        <v>1</v>
      </c>
    </row>
    <row r="109" spans="2:12" x14ac:dyDescent="0.3">
      <c r="B109">
        <v>17</v>
      </c>
      <c r="C109">
        <v>5</v>
      </c>
      <c r="D109">
        <v>8</v>
      </c>
      <c r="E109">
        <v>0</v>
      </c>
      <c r="F109">
        <v>5</v>
      </c>
      <c r="G109">
        <v>4</v>
      </c>
      <c r="H109">
        <v>1</v>
      </c>
      <c r="I109">
        <v>1</v>
      </c>
      <c r="J109">
        <v>1</v>
      </c>
      <c r="K109">
        <v>0</v>
      </c>
      <c r="L109">
        <v>1</v>
      </c>
    </row>
    <row r="110" spans="2:12" x14ac:dyDescent="0.3">
      <c r="B110">
        <v>23</v>
      </c>
      <c r="C110">
        <v>14</v>
      </c>
      <c r="D110">
        <v>7</v>
      </c>
      <c r="E110">
        <v>9</v>
      </c>
      <c r="F110">
        <v>5</v>
      </c>
      <c r="G110">
        <v>2</v>
      </c>
      <c r="H110">
        <v>1</v>
      </c>
      <c r="I110">
        <v>1</v>
      </c>
      <c r="J110">
        <v>0</v>
      </c>
      <c r="K110">
        <v>1</v>
      </c>
      <c r="L110">
        <v>1</v>
      </c>
    </row>
    <row r="111" spans="2:12" x14ac:dyDescent="0.3">
      <c r="B111">
        <v>17</v>
      </c>
      <c r="C111">
        <v>10</v>
      </c>
      <c r="D111">
        <v>2</v>
      </c>
      <c r="E111">
        <v>2</v>
      </c>
      <c r="F111">
        <v>8</v>
      </c>
      <c r="G111">
        <v>5</v>
      </c>
      <c r="H111">
        <v>0</v>
      </c>
      <c r="I111">
        <v>1</v>
      </c>
      <c r="J111">
        <v>1</v>
      </c>
      <c r="K111">
        <v>1</v>
      </c>
      <c r="L111">
        <v>1</v>
      </c>
    </row>
    <row r="112" spans="2:12" x14ac:dyDescent="0.3">
      <c r="B112">
        <v>16</v>
      </c>
      <c r="C112">
        <v>4</v>
      </c>
      <c r="D112">
        <v>6</v>
      </c>
      <c r="E112">
        <v>0</v>
      </c>
      <c r="F112">
        <v>4</v>
      </c>
      <c r="G112">
        <v>6</v>
      </c>
      <c r="H112">
        <v>0</v>
      </c>
      <c r="I112">
        <v>1</v>
      </c>
      <c r="J112">
        <v>0</v>
      </c>
      <c r="K112">
        <v>1</v>
      </c>
      <c r="L112">
        <v>1</v>
      </c>
    </row>
    <row r="113" spans="2:12" x14ac:dyDescent="0.3">
      <c r="B113">
        <v>17</v>
      </c>
      <c r="C113">
        <v>7</v>
      </c>
      <c r="D113">
        <v>7</v>
      </c>
      <c r="E113">
        <v>2</v>
      </c>
      <c r="F113">
        <v>5</v>
      </c>
      <c r="G113">
        <v>3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2:12" x14ac:dyDescent="0.3">
      <c r="B114">
        <v>20</v>
      </c>
      <c r="C114">
        <v>8</v>
      </c>
      <c r="D114">
        <v>8</v>
      </c>
      <c r="E114">
        <v>5</v>
      </c>
      <c r="F114">
        <v>3</v>
      </c>
      <c r="G114">
        <v>4</v>
      </c>
      <c r="H114">
        <v>0</v>
      </c>
      <c r="I114">
        <v>1</v>
      </c>
      <c r="J114">
        <v>1</v>
      </c>
      <c r="K114">
        <v>1</v>
      </c>
      <c r="L114">
        <v>1</v>
      </c>
    </row>
    <row r="115" spans="2:12" x14ac:dyDescent="0.3">
      <c r="B115">
        <v>19</v>
      </c>
      <c r="C115">
        <v>13</v>
      </c>
      <c r="D115">
        <v>4</v>
      </c>
      <c r="E115">
        <v>3</v>
      </c>
      <c r="F115">
        <v>10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2:12" x14ac:dyDescent="0.3">
      <c r="B116">
        <v>15</v>
      </c>
      <c r="C116">
        <v>8</v>
      </c>
      <c r="D116">
        <v>1</v>
      </c>
      <c r="E116">
        <v>8</v>
      </c>
      <c r="F116">
        <v>0</v>
      </c>
      <c r="G116">
        <v>6</v>
      </c>
      <c r="H116">
        <v>1</v>
      </c>
      <c r="I116">
        <v>1</v>
      </c>
      <c r="J116">
        <v>0</v>
      </c>
      <c r="K116">
        <v>0</v>
      </c>
      <c r="L116">
        <v>1</v>
      </c>
    </row>
    <row r="117" spans="2:12" x14ac:dyDescent="0.3">
      <c r="B117">
        <v>18</v>
      </c>
      <c r="C117">
        <v>14</v>
      </c>
      <c r="D117">
        <v>4</v>
      </c>
      <c r="E117">
        <v>5</v>
      </c>
      <c r="F117">
        <v>9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1</v>
      </c>
    </row>
    <row r="118" spans="2:12" x14ac:dyDescent="0.3">
      <c r="B118">
        <v>30</v>
      </c>
      <c r="C118">
        <v>19</v>
      </c>
      <c r="D118">
        <v>7</v>
      </c>
      <c r="E118">
        <v>9</v>
      </c>
      <c r="F118">
        <v>10</v>
      </c>
      <c r="G118">
        <v>4</v>
      </c>
      <c r="H118">
        <v>0</v>
      </c>
      <c r="I118">
        <v>1</v>
      </c>
      <c r="J118">
        <v>0</v>
      </c>
      <c r="K118">
        <v>1</v>
      </c>
      <c r="L118">
        <v>1</v>
      </c>
    </row>
    <row r="119" spans="2:12" x14ac:dyDescent="0.3">
      <c r="B119">
        <v>26</v>
      </c>
      <c r="C119">
        <v>20</v>
      </c>
      <c r="D119">
        <v>1</v>
      </c>
      <c r="E119">
        <v>10</v>
      </c>
      <c r="F119">
        <v>10</v>
      </c>
      <c r="G119">
        <v>5</v>
      </c>
      <c r="H119">
        <v>0</v>
      </c>
      <c r="I119">
        <v>1</v>
      </c>
      <c r="J119">
        <v>1</v>
      </c>
      <c r="K119">
        <v>0</v>
      </c>
      <c r="L119">
        <v>1</v>
      </c>
    </row>
    <row r="120" spans="2:12" x14ac:dyDescent="0.3">
      <c r="B120">
        <v>23</v>
      </c>
      <c r="C120">
        <v>15</v>
      </c>
      <c r="D120">
        <v>3</v>
      </c>
      <c r="E120">
        <v>7</v>
      </c>
      <c r="F120">
        <v>8</v>
      </c>
      <c r="G120">
        <v>5</v>
      </c>
      <c r="H120">
        <v>0</v>
      </c>
      <c r="I120">
        <v>1</v>
      </c>
      <c r="J120">
        <v>1</v>
      </c>
      <c r="K120">
        <v>1</v>
      </c>
      <c r="L120">
        <v>1</v>
      </c>
    </row>
    <row r="121" spans="2:12" x14ac:dyDescent="0.3">
      <c r="B121">
        <v>20</v>
      </c>
      <c r="C121">
        <v>11</v>
      </c>
      <c r="D121">
        <v>5</v>
      </c>
      <c r="E121">
        <v>4</v>
      </c>
      <c r="F121">
        <v>7</v>
      </c>
      <c r="G121">
        <v>4</v>
      </c>
      <c r="H121">
        <v>0</v>
      </c>
      <c r="I121">
        <v>1</v>
      </c>
      <c r="J121">
        <v>1</v>
      </c>
      <c r="K121">
        <v>0</v>
      </c>
      <c r="L121">
        <v>1</v>
      </c>
    </row>
    <row r="122" spans="2:12" x14ac:dyDescent="0.3">
      <c r="B122">
        <v>21</v>
      </c>
      <c r="C122">
        <v>14</v>
      </c>
      <c r="D122">
        <v>6</v>
      </c>
      <c r="E122">
        <v>5</v>
      </c>
      <c r="F122">
        <v>9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1</v>
      </c>
    </row>
    <row r="123" spans="2:12" x14ac:dyDescent="0.3">
      <c r="B123">
        <v>19</v>
      </c>
      <c r="C123">
        <v>12</v>
      </c>
      <c r="D123">
        <v>4</v>
      </c>
      <c r="E123">
        <v>3</v>
      </c>
      <c r="F123">
        <v>9</v>
      </c>
      <c r="G123">
        <v>3</v>
      </c>
      <c r="H123">
        <v>1</v>
      </c>
      <c r="I123">
        <v>1</v>
      </c>
      <c r="J123">
        <v>0</v>
      </c>
      <c r="K123">
        <v>1</v>
      </c>
      <c r="L123">
        <v>1</v>
      </c>
    </row>
    <row r="124" spans="2:12" x14ac:dyDescent="0.3">
      <c r="B124">
        <v>19</v>
      </c>
      <c r="C124">
        <v>18</v>
      </c>
      <c r="D124">
        <v>0</v>
      </c>
      <c r="E124">
        <v>9</v>
      </c>
      <c r="F124">
        <v>9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1</v>
      </c>
    </row>
    <row r="125" spans="2:12" x14ac:dyDescent="0.3">
      <c r="B125">
        <v>23</v>
      </c>
      <c r="C125">
        <v>14</v>
      </c>
      <c r="D125">
        <v>4</v>
      </c>
      <c r="E125">
        <v>9</v>
      </c>
      <c r="F125">
        <v>5</v>
      </c>
      <c r="G125">
        <v>5</v>
      </c>
      <c r="H125">
        <v>0</v>
      </c>
      <c r="I125">
        <v>1</v>
      </c>
      <c r="J125">
        <v>0</v>
      </c>
      <c r="K125">
        <v>1</v>
      </c>
      <c r="L125">
        <v>1</v>
      </c>
    </row>
    <row r="126" spans="2:12" x14ac:dyDescent="0.3">
      <c r="B126">
        <v>17</v>
      </c>
      <c r="C126">
        <v>9</v>
      </c>
      <c r="D126">
        <v>7</v>
      </c>
      <c r="E126">
        <v>8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1</v>
      </c>
    </row>
    <row r="127" spans="2:12" x14ac:dyDescent="0.3">
      <c r="B127">
        <v>17</v>
      </c>
      <c r="C127">
        <v>13</v>
      </c>
      <c r="D127">
        <v>3</v>
      </c>
      <c r="E127">
        <v>7</v>
      </c>
      <c r="F127">
        <v>6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</row>
    <row r="128" spans="2:12" x14ac:dyDescent="0.3">
      <c r="B128">
        <v>19</v>
      </c>
      <c r="C128">
        <v>6</v>
      </c>
      <c r="D128">
        <v>8</v>
      </c>
      <c r="E128">
        <v>5</v>
      </c>
      <c r="F128">
        <v>1</v>
      </c>
      <c r="G128">
        <v>5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2:12" x14ac:dyDescent="0.3">
      <c r="B129">
        <v>18</v>
      </c>
      <c r="C129">
        <v>14</v>
      </c>
      <c r="D129">
        <v>0</v>
      </c>
      <c r="E129">
        <v>10</v>
      </c>
      <c r="F129">
        <v>4</v>
      </c>
      <c r="G129">
        <v>4</v>
      </c>
      <c r="H129">
        <v>1</v>
      </c>
      <c r="I129">
        <v>1</v>
      </c>
      <c r="J129">
        <v>0</v>
      </c>
      <c r="K129">
        <v>1</v>
      </c>
      <c r="L129">
        <v>1</v>
      </c>
    </row>
    <row r="130" spans="2:12" x14ac:dyDescent="0.3">
      <c r="B130">
        <v>15</v>
      </c>
      <c r="C130">
        <v>8</v>
      </c>
      <c r="D130">
        <v>6</v>
      </c>
      <c r="E130">
        <v>8</v>
      </c>
      <c r="F130">
        <v>0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1</v>
      </c>
    </row>
    <row r="131" spans="2:12" x14ac:dyDescent="0.3">
      <c r="B131">
        <v>24</v>
      </c>
      <c r="C131">
        <v>13</v>
      </c>
      <c r="D131">
        <v>8</v>
      </c>
      <c r="E131">
        <v>7</v>
      </c>
      <c r="F131">
        <v>6</v>
      </c>
      <c r="G131">
        <v>3</v>
      </c>
      <c r="H131">
        <v>1</v>
      </c>
      <c r="I131">
        <v>1</v>
      </c>
      <c r="J131">
        <v>0</v>
      </c>
      <c r="K131">
        <v>0</v>
      </c>
      <c r="L131">
        <v>1</v>
      </c>
    </row>
    <row r="132" spans="2:12" x14ac:dyDescent="0.3">
      <c r="B132">
        <v>15</v>
      </c>
      <c r="C132">
        <v>10</v>
      </c>
      <c r="D132">
        <v>3</v>
      </c>
      <c r="E132">
        <v>10</v>
      </c>
      <c r="F132">
        <v>0</v>
      </c>
      <c r="G132">
        <v>2</v>
      </c>
      <c r="H132">
        <v>1</v>
      </c>
      <c r="I132">
        <v>1</v>
      </c>
      <c r="J132">
        <v>0</v>
      </c>
      <c r="K132">
        <v>1</v>
      </c>
      <c r="L132">
        <v>1</v>
      </c>
    </row>
    <row r="133" spans="2:12" x14ac:dyDescent="0.3">
      <c r="B133">
        <v>25</v>
      </c>
      <c r="C133">
        <v>11</v>
      </c>
      <c r="D133">
        <v>8</v>
      </c>
      <c r="E133">
        <v>1</v>
      </c>
      <c r="F133">
        <v>10</v>
      </c>
      <c r="G133">
        <v>6</v>
      </c>
      <c r="H133">
        <v>1</v>
      </c>
      <c r="I133">
        <v>1</v>
      </c>
      <c r="J133">
        <v>1</v>
      </c>
      <c r="K133">
        <v>0</v>
      </c>
      <c r="L133">
        <v>1</v>
      </c>
    </row>
    <row r="134" spans="2:12" x14ac:dyDescent="0.3">
      <c r="B134">
        <v>15</v>
      </c>
      <c r="C134">
        <v>3</v>
      </c>
      <c r="D134">
        <v>6</v>
      </c>
      <c r="E134">
        <v>0</v>
      </c>
      <c r="F134">
        <v>3</v>
      </c>
      <c r="G134">
        <v>6</v>
      </c>
      <c r="H134">
        <v>0</v>
      </c>
      <c r="I134">
        <v>1</v>
      </c>
      <c r="J134">
        <v>0</v>
      </c>
      <c r="K134">
        <v>1</v>
      </c>
      <c r="L134">
        <v>1</v>
      </c>
    </row>
    <row r="135" spans="2:12" x14ac:dyDescent="0.3">
      <c r="B135">
        <v>22</v>
      </c>
      <c r="C135">
        <v>14</v>
      </c>
      <c r="D135">
        <v>6</v>
      </c>
      <c r="E135">
        <v>6</v>
      </c>
      <c r="F135">
        <v>8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1</v>
      </c>
    </row>
    <row r="136" spans="2:12" x14ac:dyDescent="0.3">
      <c r="B136">
        <v>18</v>
      </c>
      <c r="C136">
        <v>11</v>
      </c>
      <c r="D136">
        <v>3</v>
      </c>
      <c r="E136">
        <v>5</v>
      </c>
      <c r="F136">
        <v>6</v>
      </c>
      <c r="G136">
        <v>4</v>
      </c>
      <c r="H136">
        <v>0</v>
      </c>
      <c r="I136">
        <v>1</v>
      </c>
      <c r="J136">
        <v>0</v>
      </c>
      <c r="K136">
        <v>1</v>
      </c>
      <c r="L136">
        <v>1</v>
      </c>
    </row>
    <row r="137" spans="2:12" x14ac:dyDescent="0.3">
      <c r="B137">
        <v>16</v>
      </c>
      <c r="C137">
        <v>5</v>
      </c>
      <c r="D137">
        <v>6</v>
      </c>
      <c r="E137">
        <v>4</v>
      </c>
      <c r="F137">
        <v>1</v>
      </c>
      <c r="G137">
        <v>5</v>
      </c>
      <c r="H137">
        <v>1</v>
      </c>
      <c r="I137">
        <v>1</v>
      </c>
      <c r="J137">
        <v>1</v>
      </c>
      <c r="K137">
        <v>1</v>
      </c>
      <c r="L137">
        <v>1</v>
      </c>
    </row>
    <row r="138" spans="2:12" x14ac:dyDescent="0.3">
      <c r="B138">
        <v>15</v>
      </c>
      <c r="C138">
        <v>3</v>
      </c>
      <c r="D138">
        <v>9</v>
      </c>
      <c r="E138">
        <v>0</v>
      </c>
      <c r="F138">
        <v>3</v>
      </c>
      <c r="G138">
        <v>3</v>
      </c>
      <c r="H138">
        <v>0</v>
      </c>
      <c r="I138">
        <v>1</v>
      </c>
      <c r="J138">
        <v>0</v>
      </c>
      <c r="K138">
        <v>1</v>
      </c>
      <c r="L138">
        <v>1</v>
      </c>
    </row>
    <row r="139" spans="2:12" x14ac:dyDescent="0.3">
      <c r="B139">
        <v>30</v>
      </c>
      <c r="C139">
        <v>15</v>
      </c>
      <c r="D139">
        <v>9</v>
      </c>
      <c r="E139">
        <v>9</v>
      </c>
      <c r="F139">
        <v>6</v>
      </c>
      <c r="G139">
        <v>6</v>
      </c>
      <c r="H139">
        <v>1</v>
      </c>
      <c r="I139">
        <v>1</v>
      </c>
      <c r="J139">
        <v>0</v>
      </c>
      <c r="K139">
        <v>0</v>
      </c>
      <c r="L139">
        <v>1</v>
      </c>
    </row>
    <row r="140" spans="2:12" x14ac:dyDescent="0.3">
      <c r="B140">
        <v>22</v>
      </c>
      <c r="C140">
        <v>14</v>
      </c>
      <c r="D140">
        <v>5</v>
      </c>
      <c r="E140">
        <v>4</v>
      </c>
      <c r="F140">
        <v>10</v>
      </c>
      <c r="G140">
        <v>3</v>
      </c>
      <c r="H140">
        <v>1</v>
      </c>
      <c r="I140">
        <v>1</v>
      </c>
      <c r="J140">
        <v>1</v>
      </c>
      <c r="K140">
        <v>0</v>
      </c>
      <c r="L140">
        <v>1</v>
      </c>
    </row>
    <row r="141" spans="2:12" x14ac:dyDescent="0.3">
      <c r="B141">
        <v>16</v>
      </c>
      <c r="C141">
        <v>6</v>
      </c>
      <c r="D141">
        <v>5</v>
      </c>
      <c r="E141">
        <v>2</v>
      </c>
      <c r="F141">
        <v>4</v>
      </c>
      <c r="G141">
        <v>5</v>
      </c>
      <c r="H141">
        <v>0</v>
      </c>
      <c r="I141">
        <v>1</v>
      </c>
      <c r="J141">
        <v>0</v>
      </c>
      <c r="K141">
        <v>1</v>
      </c>
      <c r="L141">
        <v>1</v>
      </c>
    </row>
    <row r="142" spans="2:12" x14ac:dyDescent="0.3">
      <c r="B142">
        <v>18</v>
      </c>
      <c r="C142">
        <v>11</v>
      </c>
      <c r="D142">
        <v>4</v>
      </c>
      <c r="E142">
        <v>3</v>
      </c>
      <c r="F142">
        <v>8</v>
      </c>
      <c r="G142">
        <v>3</v>
      </c>
      <c r="H142">
        <v>0</v>
      </c>
      <c r="I142">
        <v>1</v>
      </c>
      <c r="J142">
        <v>1</v>
      </c>
      <c r="K142">
        <v>0</v>
      </c>
      <c r="L142">
        <v>1</v>
      </c>
    </row>
    <row r="143" spans="2:12" x14ac:dyDescent="0.3">
      <c r="B143">
        <v>15</v>
      </c>
      <c r="C143">
        <v>5</v>
      </c>
      <c r="D143">
        <v>6</v>
      </c>
      <c r="E143">
        <v>5</v>
      </c>
      <c r="F143">
        <v>0</v>
      </c>
      <c r="G143">
        <v>4</v>
      </c>
      <c r="H143">
        <v>1</v>
      </c>
      <c r="I143">
        <v>1</v>
      </c>
      <c r="J143">
        <v>1</v>
      </c>
      <c r="K143">
        <v>0</v>
      </c>
      <c r="L143">
        <v>1</v>
      </c>
    </row>
    <row r="144" spans="2:12" x14ac:dyDescent="0.3">
      <c r="B144">
        <v>21</v>
      </c>
      <c r="C144">
        <v>15</v>
      </c>
      <c r="D144">
        <v>3</v>
      </c>
      <c r="E144">
        <v>9</v>
      </c>
      <c r="F144">
        <v>6</v>
      </c>
      <c r="G144">
        <v>3</v>
      </c>
      <c r="H144">
        <v>0</v>
      </c>
      <c r="I144">
        <v>1</v>
      </c>
      <c r="J144">
        <v>1</v>
      </c>
      <c r="K144">
        <v>0</v>
      </c>
      <c r="L144">
        <v>1</v>
      </c>
    </row>
    <row r="145" spans="2:12" x14ac:dyDescent="0.3">
      <c r="B145">
        <v>20</v>
      </c>
      <c r="C145">
        <v>8</v>
      </c>
      <c r="D145">
        <v>6</v>
      </c>
      <c r="E145">
        <v>7</v>
      </c>
      <c r="F145">
        <v>1</v>
      </c>
      <c r="G145">
        <v>6</v>
      </c>
      <c r="H145">
        <v>1</v>
      </c>
      <c r="I145">
        <v>1</v>
      </c>
      <c r="J145">
        <v>1</v>
      </c>
      <c r="K145">
        <v>0</v>
      </c>
      <c r="L145">
        <v>1</v>
      </c>
    </row>
    <row r="146" spans="2:12" x14ac:dyDescent="0.3">
      <c r="B146">
        <v>24</v>
      </c>
      <c r="C146">
        <v>16</v>
      </c>
      <c r="D146">
        <v>5</v>
      </c>
      <c r="E146">
        <v>6</v>
      </c>
      <c r="F146">
        <v>10</v>
      </c>
      <c r="G146">
        <v>3</v>
      </c>
      <c r="H146">
        <v>1</v>
      </c>
      <c r="I146">
        <v>1</v>
      </c>
      <c r="J146">
        <v>0</v>
      </c>
      <c r="K146">
        <v>0</v>
      </c>
      <c r="L146">
        <v>1</v>
      </c>
    </row>
    <row r="147" spans="2:12" x14ac:dyDescent="0.3">
      <c r="B147">
        <v>22</v>
      </c>
      <c r="C147">
        <v>11</v>
      </c>
      <c r="D147">
        <v>6</v>
      </c>
      <c r="E147">
        <v>10</v>
      </c>
      <c r="F147">
        <v>1</v>
      </c>
      <c r="G147">
        <v>5</v>
      </c>
      <c r="H147">
        <v>0</v>
      </c>
      <c r="I147">
        <v>1</v>
      </c>
      <c r="J147">
        <v>1</v>
      </c>
      <c r="K147">
        <v>0</v>
      </c>
      <c r="L147">
        <v>1</v>
      </c>
    </row>
    <row r="148" spans="2:12" x14ac:dyDescent="0.3">
      <c r="B148">
        <v>16</v>
      </c>
      <c r="C148">
        <v>4</v>
      </c>
      <c r="D148">
        <v>6</v>
      </c>
      <c r="E148">
        <v>0</v>
      </c>
      <c r="F148">
        <v>4</v>
      </c>
      <c r="G148">
        <v>6</v>
      </c>
      <c r="H148">
        <v>0</v>
      </c>
      <c r="I148">
        <v>1</v>
      </c>
      <c r="J148">
        <v>0</v>
      </c>
      <c r="K148">
        <v>1</v>
      </c>
      <c r="L148">
        <v>1</v>
      </c>
    </row>
    <row r="149" spans="2:12" x14ac:dyDescent="0.3">
      <c r="B149">
        <v>18</v>
      </c>
      <c r="C149">
        <v>12</v>
      </c>
      <c r="D149">
        <v>4</v>
      </c>
      <c r="E149">
        <v>8</v>
      </c>
      <c r="F149">
        <v>4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1</v>
      </c>
    </row>
    <row r="150" spans="2:12" x14ac:dyDescent="0.3">
      <c r="B150">
        <v>31</v>
      </c>
      <c r="C150">
        <v>18</v>
      </c>
      <c r="D150">
        <v>8</v>
      </c>
      <c r="E150">
        <v>10</v>
      </c>
      <c r="F150">
        <v>8</v>
      </c>
      <c r="G150">
        <v>5</v>
      </c>
      <c r="H150">
        <v>0</v>
      </c>
      <c r="I150">
        <v>1</v>
      </c>
      <c r="J150">
        <v>1</v>
      </c>
      <c r="K150">
        <v>1</v>
      </c>
      <c r="L150">
        <v>1</v>
      </c>
    </row>
    <row r="151" spans="2:12" x14ac:dyDescent="0.3">
      <c r="B151">
        <v>17</v>
      </c>
      <c r="C151">
        <v>10</v>
      </c>
      <c r="D151">
        <v>7</v>
      </c>
      <c r="E151">
        <v>1</v>
      </c>
      <c r="F151">
        <v>9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1</v>
      </c>
    </row>
    <row r="152" spans="2:12" x14ac:dyDescent="0.3">
      <c r="B152">
        <v>23</v>
      </c>
      <c r="C152">
        <v>11</v>
      </c>
      <c r="D152">
        <v>9</v>
      </c>
      <c r="E152">
        <v>10</v>
      </c>
      <c r="F152">
        <v>1</v>
      </c>
      <c r="G152">
        <v>3</v>
      </c>
      <c r="H152">
        <v>0</v>
      </c>
      <c r="I152">
        <v>1</v>
      </c>
      <c r="J152">
        <v>1</v>
      </c>
      <c r="K152">
        <v>1</v>
      </c>
      <c r="L152">
        <v>1</v>
      </c>
    </row>
    <row r="153" spans="2:12" x14ac:dyDescent="0.3">
      <c r="B153">
        <v>19</v>
      </c>
      <c r="C153">
        <v>6</v>
      </c>
      <c r="D153">
        <v>7</v>
      </c>
      <c r="E153">
        <v>4</v>
      </c>
      <c r="F153">
        <v>2</v>
      </c>
      <c r="G153">
        <v>6</v>
      </c>
      <c r="H153">
        <v>1</v>
      </c>
      <c r="I153">
        <v>1</v>
      </c>
      <c r="J153">
        <v>0</v>
      </c>
      <c r="K153">
        <v>0</v>
      </c>
      <c r="L153">
        <v>1</v>
      </c>
    </row>
    <row r="154" spans="2:12" x14ac:dyDescent="0.3">
      <c r="B154">
        <v>27</v>
      </c>
      <c r="C154">
        <v>18</v>
      </c>
      <c r="D154">
        <v>9</v>
      </c>
      <c r="E154">
        <v>10</v>
      </c>
      <c r="F154">
        <v>8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1</v>
      </c>
    </row>
    <row r="155" spans="2:12" x14ac:dyDescent="0.3">
      <c r="B155">
        <v>17</v>
      </c>
      <c r="C155">
        <v>11</v>
      </c>
      <c r="D155">
        <v>4</v>
      </c>
      <c r="E155">
        <v>8</v>
      </c>
      <c r="F155">
        <v>3</v>
      </c>
      <c r="G155">
        <v>2</v>
      </c>
      <c r="H155">
        <v>1</v>
      </c>
      <c r="I155">
        <v>1</v>
      </c>
      <c r="J155">
        <v>1</v>
      </c>
      <c r="K155">
        <v>0</v>
      </c>
      <c r="L155">
        <v>1</v>
      </c>
    </row>
    <row r="156" spans="2:12" x14ac:dyDescent="0.3">
      <c r="B156">
        <v>18</v>
      </c>
      <c r="C156">
        <v>12</v>
      </c>
      <c r="D156">
        <v>3</v>
      </c>
      <c r="E156">
        <v>10</v>
      </c>
      <c r="F156">
        <v>2</v>
      </c>
      <c r="G156">
        <v>3</v>
      </c>
      <c r="H156">
        <v>0</v>
      </c>
      <c r="I156">
        <v>1</v>
      </c>
      <c r="J156">
        <v>0</v>
      </c>
      <c r="K156">
        <v>1</v>
      </c>
      <c r="L156">
        <v>1</v>
      </c>
    </row>
    <row r="157" spans="2:12" x14ac:dyDescent="0.3">
      <c r="B157">
        <v>19</v>
      </c>
      <c r="C157">
        <v>9</v>
      </c>
      <c r="D157">
        <v>9</v>
      </c>
      <c r="E157">
        <v>5</v>
      </c>
      <c r="F157">
        <v>4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2:12" x14ac:dyDescent="0.3">
      <c r="B158">
        <v>15</v>
      </c>
      <c r="C158">
        <v>8</v>
      </c>
      <c r="D158">
        <v>1</v>
      </c>
      <c r="E158">
        <v>1</v>
      </c>
      <c r="F158">
        <v>7</v>
      </c>
      <c r="G158">
        <v>6</v>
      </c>
      <c r="H158">
        <v>1</v>
      </c>
      <c r="I158">
        <v>1</v>
      </c>
      <c r="J158">
        <v>0</v>
      </c>
      <c r="K158">
        <v>1</v>
      </c>
      <c r="L158">
        <v>1</v>
      </c>
    </row>
    <row r="159" spans="2:12" x14ac:dyDescent="0.3">
      <c r="B159">
        <v>20</v>
      </c>
      <c r="C159">
        <v>12</v>
      </c>
      <c r="D159">
        <v>8</v>
      </c>
      <c r="E159">
        <v>10</v>
      </c>
      <c r="F159">
        <v>2</v>
      </c>
      <c r="G159">
        <v>0</v>
      </c>
      <c r="H159">
        <v>1</v>
      </c>
      <c r="I159">
        <v>1</v>
      </c>
      <c r="J159">
        <v>0</v>
      </c>
      <c r="K159">
        <v>1</v>
      </c>
      <c r="L159">
        <v>1</v>
      </c>
    </row>
    <row r="160" spans="2:12" x14ac:dyDescent="0.3">
      <c r="B160">
        <v>15</v>
      </c>
      <c r="C160">
        <v>8</v>
      </c>
      <c r="D160">
        <v>6</v>
      </c>
      <c r="E160">
        <v>1</v>
      </c>
      <c r="F160">
        <v>7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</row>
    <row r="161" spans="2:12" x14ac:dyDescent="0.3">
      <c r="B161">
        <v>21</v>
      </c>
      <c r="C161">
        <v>8</v>
      </c>
      <c r="D161">
        <v>9</v>
      </c>
      <c r="E161">
        <v>6</v>
      </c>
      <c r="F161">
        <v>2</v>
      </c>
      <c r="G161">
        <v>4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2:12" x14ac:dyDescent="0.3">
      <c r="B162">
        <v>22</v>
      </c>
      <c r="C162">
        <v>10</v>
      </c>
      <c r="D162">
        <v>9</v>
      </c>
      <c r="E162">
        <v>0</v>
      </c>
      <c r="F162">
        <v>10</v>
      </c>
      <c r="G162">
        <v>3</v>
      </c>
      <c r="H162">
        <v>1</v>
      </c>
      <c r="I162">
        <v>1</v>
      </c>
      <c r="J162">
        <v>0</v>
      </c>
      <c r="K162">
        <v>1</v>
      </c>
      <c r="L162">
        <v>1</v>
      </c>
    </row>
    <row r="163" spans="2:12" x14ac:dyDescent="0.3">
      <c r="B163">
        <v>22</v>
      </c>
      <c r="C163">
        <v>16</v>
      </c>
      <c r="D163">
        <v>1</v>
      </c>
      <c r="E163">
        <v>10</v>
      </c>
      <c r="F163">
        <v>6</v>
      </c>
      <c r="G163">
        <v>5</v>
      </c>
      <c r="H163">
        <v>0</v>
      </c>
      <c r="I163">
        <v>1</v>
      </c>
      <c r="J163">
        <v>1</v>
      </c>
      <c r="K163">
        <v>0</v>
      </c>
      <c r="L163">
        <v>1</v>
      </c>
    </row>
    <row r="164" spans="2:12" x14ac:dyDescent="0.3">
      <c r="B164">
        <v>27</v>
      </c>
      <c r="C164">
        <v>19</v>
      </c>
      <c r="D164">
        <v>2</v>
      </c>
      <c r="E164">
        <v>10</v>
      </c>
      <c r="F164">
        <v>9</v>
      </c>
      <c r="G164">
        <v>6</v>
      </c>
      <c r="H164">
        <v>0</v>
      </c>
      <c r="I164">
        <v>1</v>
      </c>
      <c r="J164">
        <v>1</v>
      </c>
      <c r="K164">
        <v>0</v>
      </c>
      <c r="L164">
        <v>1</v>
      </c>
    </row>
    <row r="165" spans="2:12" x14ac:dyDescent="0.3">
      <c r="B165">
        <v>26</v>
      </c>
      <c r="C165">
        <v>16</v>
      </c>
      <c r="D165">
        <v>9</v>
      </c>
      <c r="E165">
        <v>9</v>
      </c>
      <c r="F165">
        <v>7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1</v>
      </c>
    </row>
    <row r="166" spans="2:12" x14ac:dyDescent="0.3">
      <c r="B166">
        <v>24</v>
      </c>
      <c r="C166">
        <v>16</v>
      </c>
      <c r="D166">
        <v>5</v>
      </c>
      <c r="E166">
        <v>9</v>
      </c>
      <c r="F166">
        <v>7</v>
      </c>
      <c r="G166">
        <v>3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2:12" x14ac:dyDescent="0.3">
      <c r="B167">
        <v>16</v>
      </c>
      <c r="C167">
        <v>10</v>
      </c>
      <c r="D167">
        <v>3</v>
      </c>
      <c r="E167">
        <v>6</v>
      </c>
      <c r="F167">
        <v>4</v>
      </c>
      <c r="G167">
        <v>3</v>
      </c>
      <c r="H167">
        <v>1</v>
      </c>
      <c r="I167">
        <v>1</v>
      </c>
      <c r="J167">
        <v>0</v>
      </c>
      <c r="K167">
        <v>1</v>
      </c>
      <c r="L167">
        <v>1</v>
      </c>
    </row>
    <row r="168" spans="2:12" x14ac:dyDescent="0.3">
      <c r="B168">
        <v>22</v>
      </c>
      <c r="C168">
        <v>8</v>
      </c>
      <c r="D168">
        <v>9</v>
      </c>
      <c r="E168">
        <v>2</v>
      </c>
      <c r="F168">
        <v>6</v>
      </c>
      <c r="G168">
        <v>5</v>
      </c>
      <c r="H168">
        <v>0</v>
      </c>
      <c r="I168">
        <v>1</v>
      </c>
      <c r="J168">
        <v>1</v>
      </c>
      <c r="K168">
        <v>0</v>
      </c>
      <c r="L168">
        <v>1</v>
      </c>
    </row>
    <row r="169" spans="2:12" x14ac:dyDescent="0.3">
      <c r="B169">
        <v>21</v>
      </c>
      <c r="C169">
        <v>11</v>
      </c>
      <c r="D169">
        <v>7</v>
      </c>
      <c r="E169">
        <v>6</v>
      </c>
      <c r="F169">
        <v>5</v>
      </c>
      <c r="G169">
        <v>3</v>
      </c>
      <c r="H169">
        <v>0</v>
      </c>
      <c r="I169">
        <v>1</v>
      </c>
      <c r="J169">
        <v>0</v>
      </c>
      <c r="K169">
        <v>1</v>
      </c>
      <c r="L169">
        <v>1</v>
      </c>
    </row>
    <row r="170" spans="2:12" x14ac:dyDescent="0.3">
      <c r="B170">
        <v>18</v>
      </c>
      <c r="C170">
        <v>14</v>
      </c>
      <c r="D170">
        <v>0</v>
      </c>
      <c r="E170">
        <v>7</v>
      </c>
      <c r="F170">
        <v>7</v>
      </c>
      <c r="G170">
        <v>4</v>
      </c>
      <c r="H170">
        <v>0</v>
      </c>
      <c r="I170">
        <v>1</v>
      </c>
      <c r="J170">
        <v>1</v>
      </c>
      <c r="K170">
        <v>0</v>
      </c>
      <c r="L170">
        <v>1</v>
      </c>
    </row>
    <row r="171" spans="2:12" x14ac:dyDescent="0.3">
      <c r="B171">
        <v>19</v>
      </c>
      <c r="C171">
        <v>15</v>
      </c>
      <c r="D171">
        <v>2</v>
      </c>
      <c r="E171">
        <v>5</v>
      </c>
      <c r="F171">
        <v>10</v>
      </c>
      <c r="G171">
        <v>2</v>
      </c>
      <c r="H171">
        <v>0</v>
      </c>
      <c r="I171">
        <v>1</v>
      </c>
      <c r="J171">
        <v>1</v>
      </c>
      <c r="K171">
        <v>0</v>
      </c>
      <c r="L171">
        <v>1</v>
      </c>
    </row>
    <row r="172" spans="2:12" x14ac:dyDescent="0.3">
      <c r="B172">
        <v>15</v>
      </c>
      <c r="C172">
        <v>9</v>
      </c>
      <c r="D172">
        <v>2</v>
      </c>
      <c r="E172">
        <v>1</v>
      </c>
      <c r="F172">
        <v>8</v>
      </c>
      <c r="G172">
        <v>4</v>
      </c>
      <c r="H172">
        <v>1</v>
      </c>
      <c r="I172">
        <v>1</v>
      </c>
      <c r="J172">
        <v>0</v>
      </c>
      <c r="K172">
        <v>1</v>
      </c>
      <c r="L172">
        <v>1</v>
      </c>
    </row>
    <row r="173" spans="2:12" x14ac:dyDescent="0.3">
      <c r="B173">
        <v>21</v>
      </c>
      <c r="C173">
        <v>13</v>
      </c>
      <c r="D173">
        <v>3</v>
      </c>
      <c r="E173">
        <v>10</v>
      </c>
      <c r="F173">
        <v>3</v>
      </c>
      <c r="G173">
        <v>5</v>
      </c>
      <c r="H173">
        <v>1</v>
      </c>
      <c r="I173">
        <v>1</v>
      </c>
      <c r="J173">
        <v>1</v>
      </c>
      <c r="K173">
        <v>0</v>
      </c>
      <c r="L173">
        <v>1</v>
      </c>
    </row>
    <row r="174" spans="2:12" x14ac:dyDescent="0.3">
      <c r="B174">
        <v>15</v>
      </c>
      <c r="C174">
        <v>7</v>
      </c>
      <c r="D174">
        <v>4</v>
      </c>
      <c r="E174">
        <v>4</v>
      </c>
      <c r="F174">
        <v>3</v>
      </c>
      <c r="G174">
        <v>4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2:12" x14ac:dyDescent="0.3">
      <c r="B175">
        <v>25</v>
      </c>
      <c r="C175">
        <v>11</v>
      </c>
      <c r="D175">
        <v>8</v>
      </c>
      <c r="E175">
        <v>7</v>
      </c>
      <c r="F175">
        <v>4</v>
      </c>
      <c r="G175">
        <v>6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2:12" x14ac:dyDescent="0.3">
      <c r="B176">
        <v>24</v>
      </c>
      <c r="C176">
        <v>10</v>
      </c>
      <c r="D176">
        <v>9</v>
      </c>
      <c r="E176">
        <v>9</v>
      </c>
      <c r="F176">
        <v>1</v>
      </c>
      <c r="G176">
        <v>5</v>
      </c>
      <c r="H176">
        <v>1</v>
      </c>
      <c r="I176">
        <v>1</v>
      </c>
      <c r="J176">
        <v>0</v>
      </c>
      <c r="K176">
        <v>1</v>
      </c>
      <c r="L176">
        <v>1</v>
      </c>
    </row>
    <row r="177" spans="2:12" x14ac:dyDescent="0.3">
      <c r="B177">
        <v>19</v>
      </c>
      <c r="C177">
        <v>17</v>
      </c>
      <c r="D177">
        <v>2</v>
      </c>
      <c r="E177">
        <v>9</v>
      </c>
      <c r="F177">
        <v>8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1</v>
      </c>
    </row>
    <row r="178" spans="2:12" x14ac:dyDescent="0.3">
      <c r="B178">
        <v>24</v>
      </c>
      <c r="C178">
        <v>19</v>
      </c>
      <c r="D178">
        <v>2</v>
      </c>
      <c r="E178">
        <v>9</v>
      </c>
      <c r="F178">
        <v>10</v>
      </c>
      <c r="G178">
        <v>3</v>
      </c>
      <c r="H178">
        <v>0</v>
      </c>
      <c r="I178">
        <v>1</v>
      </c>
      <c r="J178">
        <v>1</v>
      </c>
      <c r="K178">
        <v>1</v>
      </c>
      <c r="L178">
        <v>1</v>
      </c>
    </row>
    <row r="179" spans="2:12" x14ac:dyDescent="0.3">
      <c r="B179">
        <v>27</v>
      </c>
      <c r="C179">
        <v>18</v>
      </c>
      <c r="D179">
        <v>5</v>
      </c>
      <c r="E179">
        <v>10</v>
      </c>
      <c r="F179">
        <v>8</v>
      </c>
      <c r="G179">
        <v>4</v>
      </c>
      <c r="H179">
        <v>1</v>
      </c>
      <c r="I179">
        <v>1</v>
      </c>
      <c r="J179">
        <v>1</v>
      </c>
      <c r="K179">
        <v>1</v>
      </c>
      <c r="L179">
        <v>1</v>
      </c>
    </row>
    <row r="180" spans="2:12" x14ac:dyDescent="0.3">
      <c r="B180">
        <v>19</v>
      </c>
      <c r="C180">
        <v>13</v>
      </c>
      <c r="D180">
        <v>0</v>
      </c>
      <c r="E180">
        <v>8</v>
      </c>
      <c r="F180">
        <v>5</v>
      </c>
      <c r="G180">
        <v>6</v>
      </c>
      <c r="H180">
        <v>0</v>
      </c>
      <c r="I180">
        <v>1</v>
      </c>
      <c r="J180">
        <v>1</v>
      </c>
      <c r="K180">
        <v>1</v>
      </c>
      <c r="L180">
        <v>1</v>
      </c>
    </row>
    <row r="181" spans="2:12" x14ac:dyDescent="0.3">
      <c r="B181">
        <v>20</v>
      </c>
      <c r="C181">
        <v>7</v>
      </c>
      <c r="D181">
        <v>7</v>
      </c>
      <c r="E181">
        <v>5</v>
      </c>
      <c r="F181">
        <v>2</v>
      </c>
      <c r="G181">
        <v>6</v>
      </c>
      <c r="H181">
        <v>0</v>
      </c>
      <c r="I181">
        <v>1</v>
      </c>
      <c r="J181">
        <v>1</v>
      </c>
      <c r="K181">
        <v>0</v>
      </c>
      <c r="L181">
        <v>1</v>
      </c>
    </row>
    <row r="182" spans="2:12" x14ac:dyDescent="0.3">
      <c r="B182">
        <v>22</v>
      </c>
      <c r="C182">
        <v>17</v>
      </c>
      <c r="D182">
        <v>2</v>
      </c>
      <c r="E182">
        <v>9</v>
      </c>
      <c r="F182">
        <v>8</v>
      </c>
      <c r="G182">
        <v>3</v>
      </c>
      <c r="H182">
        <v>1</v>
      </c>
      <c r="I182">
        <v>1</v>
      </c>
      <c r="J182">
        <v>1</v>
      </c>
      <c r="K182">
        <v>0</v>
      </c>
      <c r="L182">
        <v>1</v>
      </c>
    </row>
    <row r="183" spans="2:12" x14ac:dyDescent="0.3">
      <c r="B183">
        <v>17</v>
      </c>
      <c r="C183">
        <v>8</v>
      </c>
      <c r="D183">
        <v>5</v>
      </c>
      <c r="E183">
        <v>1</v>
      </c>
      <c r="F183">
        <v>7</v>
      </c>
      <c r="G183">
        <v>4</v>
      </c>
      <c r="H183">
        <v>0</v>
      </c>
      <c r="I183">
        <v>1</v>
      </c>
      <c r="J183">
        <v>1</v>
      </c>
      <c r="K183">
        <v>0</v>
      </c>
      <c r="L183">
        <v>1</v>
      </c>
    </row>
    <row r="184" spans="2:12" x14ac:dyDescent="0.3">
      <c r="B184">
        <v>26</v>
      </c>
      <c r="C184">
        <v>13</v>
      </c>
      <c r="D184">
        <v>9</v>
      </c>
      <c r="E184">
        <v>3</v>
      </c>
      <c r="F184">
        <v>10</v>
      </c>
      <c r="G184">
        <v>4</v>
      </c>
      <c r="H184">
        <v>1</v>
      </c>
      <c r="I184">
        <v>1</v>
      </c>
      <c r="J184">
        <v>1</v>
      </c>
      <c r="K184">
        <v>0</v>
      </c>
      <c r="L184">
        <v>1</v>
      </c>
    </row>
    <row r="185" spans="2:12" x14ac:dyDescent="0.3">
      <c r="B185">
        <v>28</v>
      </c>
      <c r="C185">
        <v>17</v>
      </c>
      <c r="D185">
        <v>5</v>
      </c>
      <c r="E185">
        <v>10</v>
      </c>
      <c r="F185">
        <v>7</v>
      </c>
      <c r="G185">
        <v>6</v>
      </c>
      <c r="H185">
        <v>1</v>
      </c>
      <c r="I185">
        <v>1</v>
      </c>
      <c r="J185">
        <v>1</v>
      </c>
      <c r="K185">
        <v>0</v>
      </c>
      <c r="L185">
        <v>1</v>
      </c>
    </row>
    <row r="186" spans="2:12" x14ac:dyDescent="0.3">
      <c r="B186">
        <v>18</v>
      </c>
      <c r="C186">
        <v>14</v>
      </c>
      <c r="D186">
        <v>1</v>
      </c>
      <c r="E186">
        <v>5</v>
      </c>
      <c r="F186">
        <v>9</v>
      </c>
      <c r="G186">
        <v>3</v>
      </c>
      <c r="H186">
        <v>0</v>
      </c>
      <c r="I186">
        <v>1</v>
      </c>
      <c r="J186">
        <v>1</v>
      </c>
      <c r="K186">
        <v>0</v>
      </c>
      <c r="L186">
        <v>1</v>
      </c>
    </row>
    <row r="187" spans="2:12" x14ac:dyDescent="0.3">
      <c r="B187">
        <v>25</v>
      </c>
      <c r="C187">
        <v>17</v>
      </c>
      <c r="D187">
        <v>3</v>
      </c>
      <c r="E187">
        <v>10</v>
      </c>
      <c r="F187">
        <v>7</v>
      </c>
      <c r="G187">
        <v>5</v>
      </c>
      <c r="H187">
        <v>0</v>
      </c>
      <c r="I187">
        <v>1</v>
      </c>
      <c r="J187">
        <v>1</v>
      </c>
      <c r="K187">
        <v>1</v>
      </c>
      <c r="L187">
        <v>1</v>
      </c>
    </row>
    <row r="188" spans="2:12" x14ac:dyDescent="0.3">
      <c r="B188">
        <v>20</v>
      </c>
      <c r="C188">
        <v>12</v>
      </c>
      <c r="D188">
        <v>4</v>
      </c>
      <c r="E188">
        <v>7</v>
      </c>
      <c r="F188">
        <v>5</v>
      </c>
      <c r="G188">
        <v>4</v>
      </c>
      <c r="H188">
        <v>1</v>
      </c>
      <c r="I188">
        <v>1</v>
      </c>
      <c r="J188">
        <v>1</v>
      </c>
      <c r="K188">
        <v>0</v>
      </c>
      <c r="L188">
        <v>1</v>
      </c>
    </row>
    <row r="189" spans="2:12" x14ac:dyDescent="0.3">
      <c r="B189">
        <v>17</v>
      </c>
      <c r="C189">
        <v>8</v>
      </c>
      <c r="D189">
        <v>6</v>
      </c>
      <c r="E189">
        <v>0</v>
      </c>
      <c r="F189">
        <v>8</v>
      </c>
      <c r="G189">
        <v>3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2:12" x14ac:dyDescent="0.3">
      <c r="B190">
        <v>18</v>
      </c>
      <c r="C190">
        <v>11</v>
      </c>
      <c r="D190">
        <v>6</v>
      </c>
      <c r="E190">
        <v>2</v>
      </c>
      <c r="F190">
        <v>9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2:12" x14ac:dyDescent="0.3">
      <c r="B191">
        <v>22</v>
      </c>
      <c r="C191">
        <v>12</v>
      </c>
      <c r="D191">
        <v>6</v>
      </c>
      <c r="E191">
        <v>6</v>
      </c>
      <c r="F191">
        <v>6</v>
      </c>
      <c r="G191">
        <v>4</v>
      </c>
      <c r="H191">
        <v>0</v>
      </c>
      <c r="I191">
        <v>1</v>
      </c>
      <c r="J191">
        <v>1</v>
      </c>
      <c r="K191">
        <v>0</v>
      </c>
      <c r="L191">
        <v>1</v>
      </c>
    </row>
    <row r="192" spans="2:12" x14ac:dyDescent="0.3">
      <c r="B192">
        <v>16</v>
      </c>
      <c r="C192">
        <v>11</v>
      </c>
      <c r="D192">
        <v>4</v>
      </c>
      <c r="E192">
        <v>6</v>
      </c>
      <c r="F192">
        <v>5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1</v>
      </c>
    </row>
    <row r="193" spans="2:12" x14ac:dyDescent="0.3">
      <c r="B193">
        <v>24</v>
      </c>
      <c r="C193">
        <v>12</v>
      </c>
      <c r="D193">
        <v>9</v>
      </c>
      <c r="E193">
        <v>7</v>
      </c>
      <c r="F193">
        <v>5</v>
      </c>
      <c r="G193">
        <v>3</v>
      </c>
      <c r="H193">
        <v>1</v>
      </c>
      <c r="I193">
        <v>1</v>
      </c>
      <c r="J193">
        <v>0</v>
      </c>
      <c r="K193">
        <v>0</v>
      </c>
      <c r="L193">
        <v>1</v>
      </c>
    </row>
    <row r="194" spans="2:12" x14ac:dyDescent="0.3">
      <c r="B194">
        <v>17</v>
      </c>
      <c r="C194">
        <v>13</v>
      </c>
      <c r="D194">
        <v>0</v>
      </c>
      <c r="E194">
        <v>6</v>
      </c>
      <c r="F194">
        <v>7</v>
      </c>
      <c r="G194">
        <v>4</v>
      </c>
      <c r="H194">
        <v>1</v>
      </c>
      <c r="I194">
        <v>0</v>
      </c>
      <c r="J194">
        <v>0</v>
      </c>
      <c r="K194">
        <v>1</v>
      </c>
      <c r="L194">
        <v>1</v>
      </c>
    </row>
    <row r="195" spans="2:12" x14ac:dyDescent="0.3">
      <c r="B195">
        <v>20</v>
      </c>
      <c r="C195">
        <v>10</v>
      </c>
      <c r="D195">
        <v>6</v>
      </c>
      <c r="E195">
        <v>2</v>
      </c>
      <c r="F195">
        <v>8</v>
      </c>
      <c r="G195">
        <v>4</v>
      </c>
      <c r="H195">
        <v>1</v>
      </c>
      <c r="I195">
        <v>0</v>
      </c>
      <c r="J195">
        <v>1</v>
      </c>
      <c r="K195">
        <v>0</v>
      </c>
      <c r="L195">
        <v>1</v>
      </c>
    </row>
    <row r="196" spans="2:12" x14ac:dyDescent="0.3">
      <c r="B196">
        <v>15</v>
      </c>
      <c r="C196">
        <v>10</v>
      </c>
      <c r="D196">
        <v>0</v>
      </c>
      <c r="E196">
        <v>9</v>
      </c>
      <c r="F196">
        <v>1</v>
      </c>
      <c r="G196">
        <v>5</v>
      </c>
      <c r="H196">
        <v>1</v>
      </c>
      <c r="I196">
        <v>0</v>
      </c>
      <c r="J196">
        <v>0</v>
      </c>
      <c r="K196">
        <v>1</v>
      </c>
      <c r="L196">
        <v>1</v>
      </c>
    </row>
    <row r="197" spans="2:12" x14ac:dyDescent="0.3">
      <c r="B197">
        <v>22</v>
      </c>
      <c r="C197">
        <v>8</v>
      </c>
      <c r="D197">
        <v>8</v>
      </c>
      <c r="E197">
        <v>1</v>
      </c>
      <c r="F197">
        <v>7</v>
      </c>
      <c r="G197">
        <v>6</v>
      </c>
      <c r="H197">
        <v>1</v>
      </c>
      <c r="I197">
        <v>0</v>
      </c>
      <c r="J197">
        <v>0</v>
      </c>
      <c r="K197">
        <v>1</v>
      </c>
      <c r="L197">
        <v>1</v>
      </c>
    </row>
    <row r="198" spans="2:12" x14ac:dyDescent="0.3">
      <c r="B198">
        <v>24</v>
      </c>
      <c r="C198">
        <v>17</v>
      </c>
      <c r="D198">
        <v>6</v>
      </c>
      <c r="E198">
        <v>9</v>
      </c>
      <c r="F198">
        <v>8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1</v>
      </c>
    </row>
    <row r="199" spans="2:12" x14ac:dyDescent="0.3">
      <c r="B199">
        <v>23</v>
      </c>
      <c r="C199">
        <v>16</v>
      </c>
      <c r="D199">
        <v>5</v>
      </c>
      <c r="E199">
        <v>9</v>
      </c>
      <c r="F199">
        <v>7</v>
      </c>
      <c r="G199">
        <v>2</v>
      </c>
      <c r="H199">
        <v>1</v>
      </c>
      <c r="I199">
        <v>0</v>
      </c>
      <c r="J199">
        <v>1</v>
      </c>
      <c r="K199">
        <v>0</v>
      </c>
      <c r="L199">
        <v>1</v>
      </c>
    </row>
    <row r="200" spans="2:12" x14ac:dyDescent="0.3">
      <c r="B200">
        <v>15</v>
      </c>
      <c r="C200">
        <v>9</v>
      </c>
      <c r="D200">
        <v>2</v>
      </c>
      <c r="E200">
        <v>2</v>
      </c>
      <c r="F200">
        <v>7</v>
      </c>
      <c r="G200">
        <v>4</v>
      </c>
      <c r="H200">
        <v>1</v>
      </c>
      <c r="I200">
        <v>0</v>
      </c>
      <c r="J200">
        <v>1</v>
      </c>
      <c r="K200">
        <v>0</v>
      </c>
      <c r="L200">
        <v>1</v>
      </c>
    </row>
    <row r="201" spans="2:12" x14ac:dyDescent="0.3">
      <c r="B201">
        <v>16</v>
      </c>
      <c r="C201">
        <v>5</v>
      </c>
      <c r="D201">
        <v>9</v>
      </c>
      <c r="E201">
        <v>4</v>
      </c>
      <c r="F201">
        <v>1</v>
      </c>
      <c r="G201">
        <v>2</v>
      </c>
      <c r="H201">
        <v>1</v>
      </c>
      <c r="I201">
        <v>0</v>
      </c>
      <c r="J201">
        <v>1</v>
      </c>
      <c r="K201">
        <v>1</v>
      </c>
      <c r="L201">
        <v>1</v>
      </c>
    </row>
    <row r="202" spans="2:12" x14ac:dyDescent="0.3">
      <c r="B202">
        <v>23</v>
      </c>
      <c r="C202">
        <v>11</v>
      </c>
      <c r="D202">
        <v>6</v>
      </c>
      <c r="E202">
        <v>7</v>
      </c>
      <c r="F202">
        <v>4</v>
      </c>
      <c r="G202">
        <v>6</v>
      </c>
      <c r="H202">
        <v>1</v>
      </c>
      <c r="I202">
        <v>0</v>
      </c>
      <c r="J202">
        <v>0</v>
      </c>
      <c r="K202">
        <v>1</v>
      </c>
      <c r="L202">
        <v>1</v>
      </c>
    </row>
    <row r="203" spans="2:12" x14ac:dyDescent="0.3">
      <c r="B203">
        <v>19</v>
      </c>
      <c r="C203">
        <v>12</v>
      </c>
      <c r="D203">
        <v>6</v>
      </c>
      <c r="E203">
        <v>10</v>
      </c>
      <c r="F203">
        <v>2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1</v>
      </c>
    </row>
    <row r="204" spans="2:12" x14ac:dyDescent="0.3">
      <c r="B204">
        <v>23</v>
      </c>
      <c r="C204">
        <v>13</v>
      </c>
      <c r="D204">
        <v>7</v>
      </c>
      <c r="E204">
        <v>4</v>
      </c>
      <c r="F204">
        <v>9</v>
      </c>
      <c r="G204">
        <v>3</v>
      </c>
      <c r="H204">
        <v>1</v>
      </c>
      <c r="I204">
        <v>0</v>
      </c>
      <c r="J204">
        <v>1</v>
      </c>
      <c r="K204">
        <v>0</v>
      </c>
      <c r="L204">
        <v>1</v>
      </c>
    </row>
    <row r="205" spans="2:12" x14ac:dyDescent="0.3">
      <c r="B205">
        <v>18</v>
      </c>
      <c r="C205">
        <v>13</v>
      </c>
      <c r="D205">
        <v>2</v>
      </c>
      <c r="E205">
        <v>7</v>
      </c>
      <c r="F205">
        <v>6</v>
      </c>
      <c r="G205">
        <v>3</v>
      </c>
      <c r="H205">
        <v>1</v>
      </c>
      <c r="I205">
        <v>0</v>
      </c>
      <c r="J205">
        <v>1</v>
      </c>
      <c r="K205">
        <v>0</v>
      </c>
      <c r="L205">
        <v>1</v>
      </c>
    </row>
    <row r="206" spans="2:12" x14ac:dyDescent="0.3">
      <c r="B206">
        <v>15</v>
      </c>
      <c r="C206">
        <v>10</v>
      </c>
      <c r="D206">
        <v>0</v>
      </c>
      <c r="E206">
        <v>10</v>
      </c>
      <c r="F206">
        <v>0</v>
      </c>
      <c r="G206">
        <v>5</v>
      </c>
      <c r="H206">
        <v>1</v>
      </c>
      <c r="I206">
        <v>0</v>
      </c>
      <c r="J206">
        <v>1</v>
      </c>
      <c r="K206">
        <v>0</v>
      </c>
      <c r="L206">
        <v>1</v>
      </c>
    </row>
    <row r="207" spans="2:12" x14ac:dyDescent="0.3">
      <c r="B207">
        <v>23</v>
      </c>
      <c r="C207">
        <v>10</v>
      </c>
      <c r="D207">
        <v>9</v>
      </c>
      <c r="E207">
        <v>1</v>
      </c>
      <c r="F207">
        <v>9</v>
      </c>
      <c r="G207">
        <v>4</v>
      </c>
      <c r="H207">
        <v>1</v>
      </c>
      <c r="I207">
        <v>0</v>
      </c>
      <c r="J207">
        <v>1</v>
      </c>
      <c r="K207">
        <v>0</v>
      </c>
      <c r="L207">
        <v>1</v>
      </c>
    </row>
    <row r="208" spans="2:12" x14ac:dyDescent="0.3">
      <c r="B208">
        <v>27</v>
      </c>
      <c r="C208">
        <v>20</v>
      </c>
      <c r="D208">
        <v>4</v>
      </c>
      <c r="E208">
        <v>10</v>
      </c>
      <c r="F208">
        <v>10</v>
      </c>
      <c r="G208">
        <v>3</v>
      </c>
      <c r="H208">
        <v>1</v>
      </c>
      <c r="I208">
        <v>0</v>
      </c>
      <c r="J208">
        <v>1</v>
      </c>
      <c r="K208">
        <v>1</v>
      </c>
      <c r="L208">
        <v>1</v>
      </c>
    </row>
    <row r="209" spans="2:12" x14ac:dyDescent="0.3">
      <c r="B209">
        <v>21</v>
      </c>
      <c r="C209">
        <v>8</v>
      </c>
      <c r="D209">
        <v>9</v>
      </c>
      <c r="E209">
        <v>6</v>
      </c>
      <c r="F209">
        <v>2</v>
      </c>
      <c r="G209">
        <v>4</v>
      </c>
      <c r="H209">
        <v>1</v>
      </c>
      <c r="I209">
        <v>0</v>
      </c>
      <c r="J209">
        <v>0</v>
      </c>
      <c r="K209">
        <v>1</v>
      </c>
      <c r="L209">
        <v>1</v>
      </c>
    </row>
    <row r="210" spans="2:12" x14ac:dyDescent="0.3">
      <c r="B210">
        <v>21</v>
      </c>
      <c r="C210">
        <v>8</v>
      </c>
      <c r="D210">
        <v>7</v>
      </c>
      <c r="E210">
        <v>8</v>
      </c>
      <c r="F210">
        <v>0</v>
      </c>
      <c r="G210">
        <v>6</v>
      </c>
      <c r="H210">
        <v>0</v>
      </c>
      <c r="I210">
        <v>0</v>
      </c>
      <c r="J210">
        <v>1</v>
      </c>
      <c r="K210">
        <v>1</v>
      </c>
      <c r="L210">
        <v>1</v>
      </c>
    </row>
    <row r="211" spans="2:12" x14ac:dyDescent="0.3">
      <c r="B211">
        <v>22</v>
      </c>
      <c r="C211">
        <v>10</v>
      </c>
      <c r="D211">
        <v>7</v>
      </c>
      <c r="E211">
        <v>3</v>
      </c>
      <c r="F211">
        <v>7</v>
      </c>
      <c r="G211">
        <v>5</v>
      </c>
      <c r="H211">
        <v>1</v>
      </c>
      <c r="I211">
        <v>0</v>
      </c>
      <c r="J211">
        <v>1</v>
      </c>
      <c r="K211">
        <v>0</v>
      </c>
      <c r="L211">
        <v>1</v>
      </c>
    </row>
    <row r="212" spans="2:12" x14ac:dyDescent="0.3">
      <c r="B212">
        <v>24</v>
      </c>
      <c r="C212">
        <v>16</v>
      </c>
      <c r="D212">
        <v>3</v>
      </c>
      <c r="E212">
        <v>8</v>
      </c>
      <c r="F212">
        <v>8</v>
      </c>
      <c r="G212">
        <v>5</v>
      </c>
      <c r="H212">
        <v>1</v>
      </c>
      <c r="I212">
        <v>0</v>
      </c>
      <c r="J212">
        <v>0</v>
      </c>
      <c r="K212">
        <v>1</v>
      </c>
      <c r="L212">
        <v>1</v>
      </c>
    </row>
    <row r="213" spans="2:12" x14ac:dyDescent="0.3">
      <c r="B213">
        <v>17</v>
      </c>
      <c r="C213">
        <v>10</v>
      </c>
      <c r="D213">
        <v>4</v>
      </c>
      <c r="E213">
        <v>6</v>
      </c>
      <c r="F213">
        <v>4</v>
      </c>
      <c r="G213">
        <v>3</v>
      </c>
      <c r="H213">
        <v>1</v>
      </c>
      <c r="I213">
        <v>0</v>
      </c>
      <c r="J213">
        <v>1</v>
      </c>
      <c r="K213">
        <v>0</v>
      </c>
      <c r="L213">
        <v>1</v>
      </c>
    </row>
    <row r="214" spans="2:12" x14ac:dyDescent="0.3">
      <c r="B214">
        <v>15</v>
      </c>
      <c r="C214">
        <v>6</v>
      </c>
      <c r="D214">
        <v>8</v>
      </c>
      <c r="E214">
        <v>3</v>
      </c>
      <c r="F214">
        <v>3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1</v>
      </c>
    </row>
    <row r="215" spans="2:12" x14ac:dyDescent="0.3">
      <c r="B215">
        <v>16</v>
      </c>
      <c r="C215">
        <v>5</v>
      </c>
      <c r="D215">
        <v>7</v>
      </c>
      <c r="E215">
        <v>4</v>
      </c>
      <c r="F215">
        <v>1</v>
      </c>
      <c r="G215">
        <v>4</v>
      </c>
      <c r="H215">
        <v>0</v>
      </c>
      <c r="I215">
        <v>0</v>
      </c>
      <c r="J215">
        <v>1</v>
      </c>
      <c r="K215">
        <v>1</v>
      </c>
      <c r="L215">
        <v>1</v>
      </c>
    </row>
    <row r="216" spans="2:12" x14ac:dyDescent="0.3">
      <c r="B216">
        <v>19</v>
      </c>
      <c r="C216">
        <v>15</v>
      </c>
      <c r="D216">
        <v>4</v>
      </c>
      <c r="E216">
        <v>9</v>
      </c>
      <c r="F216">
        <v>6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</v>
      </c>
    </row>
    <row r="217" spans="2:12" x14ac:dyDescent="0.3">
      <c r="B217">
        <v>19</v>
      </c>
      <c r="C217">
        <v>14</v>
      </c>
      <c r="D217">
        <v>2</v>
      </c>
      <c r="E217">
        <v>4</v>
      </c>
      <c r="F217">
        <v>10</v>
      </c>
      <c r="G217">
        <v>3</v>
      </c>
      <c r="H217">
        <v>1</v>
      </c>
      <c r="I217">
        <v>0</v>
      </c>
      <c r="J217">
        <v>0</v>
      </c>
      <c r="K217">
        <v>1</v>
      </c>
      <c r="L217">
        <v>1</v>
      </c>
    </row>
    <row r="218" spans="2:12" x14ac:dyDescent="0.3">
      <c r="B218">
        <v>20</v>
      </c>
      <c r="C218">
        <v>7</v>
      </c>
      <c r="D218">
        <v>9</v>
      </c>
      <c r="E218">
        <v>2</v>
      </c>
      <c r="F218">
        <v>5</v>
      </c>
      <c r="G218">
        <v>4</v>
      </c>
      <c r="H218">
        <v>0</v>
      </c>
      <c r="I218">
        <v>0</v>
      </c>
      <c r="J218">
        <v>1</v>
      </c>
      <c r="K218">
        <v>1</v>
      </c>
      <c r="L218">
        <v>1</v>
      </c>
    </row>
    <row r="219" spans="2:12" x14ac:dyDescent="0.3">
      <c r="B219">
        <v>16</v>
      </c>
      <c r="C219">
        <v>2</v>
      </c>
      <c r="D219">
        <v>8</v>
      </c>
      <c r="E219">
        <v>2</v>
      </c>
      <c r="F219">
        <v>0</v>
      </c>
      <c r="G219">
        <v>6</v>
      </c>
      <c r="H219">
        <v>1</v>
      </c>
      <c r="I219">
        <v>0</v>
      </c>
      <c r="J219">
        <v>1</v>
      </c>
      <c r="K219">
        <v>1</v>
      </c>
      <c r="L219">
        <v>1</v>
      </c>
    </row>
    <row r="220" spans="2:12" x14ac:dyDescent="0.3">
      <c r="B220">
        <v>17</v>
      </c>
      <c r="C220">
        <v>14</v>
      </c>
      <c r="D220">
        <v>2</v>
      </c>
      <c r="E220">
        <v>9</v>
      </c>
      <c r="F220">
        <v>5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1</v>
      </c>
    </row>
    <row r="221" spans="2:12" x14ac:dyDescent="0.3">
      <c r="B221">
        <v>18</v>
      </c>
      <c r="C221">
        <v>11</v>
      </c>
      <c r="D221">
        <v>4</v>
      </c>
      <c r="E221">
        <v>10</v>
      </c>
      <c r="F221">
        <v>1</v>
      </c>
      <c r="G221">
        <v>3</v>
      </c>
      <c r="H221">
        <v>1</v>
      </c>
      <c r="I221">
        <v>0</v>
      </c>
      <c r="J221">
        <v>1</v>
      </c>
      <c r="K221">
        <v>0</v>
      </c>
      <c r="L221">
        <v>1</v>
      </c>
    </row>
    <row r="222" spans="2:12" x14ac:dyDescent="0.3">
      <c r="B222">
        <v>16</v>
      </c>
      <c r="C222">
        <v>12</v>
      </c>
      <c r="D222">
        <v>4</v>
      </c>
      <c r="E222">
        <v>6</v>
      </c>
      <c r="F222">
        <v>6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1</v>
      </c>
    </row>
    <row r="223" spans="2:12" x14ac:dyDescent="0.3">
      <c r="B223">
        <v>18</v>
      </c>
      <c r="C223">
        <v>6</v>
      </c>
      <c r="D223">
        <v>9</v>
      </c>
      <c r="E223">
        <v>0</v>
      </c>
      <c r="F223">
        <v>6</v>
      </c>
      <c r="G223">
        <v>3</v>
      </c>
      <c r="H223">
        <v>1</v>
      </c>
      <c r="I223">
        <v>0</v>
      </c>
      <c r="J223">
        <v>1</v>
      </c>
      <c r="K223">
        <v>1</v>
      </c>
      <c r="L223">
        <v>1</v>
      </c>
    </row>
    <row r="224" spans="2:12" x14ac:dyDescent="0.3">
      <c r="B224">
        <v>23</v>
      </c>
      <c r="C224">
        <v>11</v>
      </c>
      <c r="D224">
        <v>8</v>
      </c>
      <c r="E224">
        <v>10</v>
      </c>
      <c r="F224">
        <v>1</v>
      </c>
      <c r="G224">
        <v>4</v>
      </c>
      <c r="H224">
        <v>1</v>
      </c>
      <c r="I224">
        <v>0</v>
      </c>
      <c r="J224">
        <v>1</v>
      </c>
      <c r="K224">
        <v>1</v>
      </c>
      <c r="L224">
        <v>1</v>
      </c>
    </row>
    <row r="225" spans="2:12" x14ac:dyDescent="0.3">
      <c r="B225">
        <v>16</v>
      </c>
      <c r="C225">
        <v>9</v>
      </c>
      <c r="D225">
        <v>2</v>
      </c>
      <c r="E225">
        <v>1</v>
      </c>
      <c r="F225">
        <v>8</v>
      </c>
      <c r="G225">
        <v>5</v>
      </c>
      <c r="H225">
        <v>0</v>
      </c>
      <c r="I225">
        <v>0</v>
      </c>
      <c r="J225">
        <v>1</v>
      </c>
      <c r="K225">
        <v>1</v>
      </c>
      <c r="L225">
        <v>1</v>
      </c>
    </row>
    <row r="226" spans="2:12" x14ac:dyDescent="0.3">
      <c r="B226">
        <v>19</v>
      </c>
      <c r="C226">
        <v>10</v>
      </c>
      <c r="D226">
        <v>4</v>
      </c>
      <c r="E226">
        <v>4</v>
      </c>
      <c r="F226">
        <v>6</v>
      </c>
      <c r="G226">
        <v>5</v>
      </c>
      <c r="H226">
        <v>0</v>
      </c>
      <c r="I226">
        <v>0</v>
      </c>
      <c r="J226">
        <v>1</v>
      </c>
      <c r="K226">
        <v>1</v>
      </c>
      <c r="L226">
        <v>1</v>
      </c>
    </row>
    <row r="227" spans="2:12" x14ac:dyDescent="0.3">
      <c r="B227">
        <v>25</v>
      </c>
      <c r="C227">
        <v>17</v>
      </c>
      <c r="D227">
        <v>3</v>
      </c>
      <c r="E227">
        <v>9</v>
      </c>
      <c r="F227">
        <v>8</v>
      </c>
      <c r="G227">
        <v>5</v>
      </c>
      <c r="H227">
        <v>1</v>
      </c>
      <c r="I227">
        <v>0</v>
      </c>
      <c r="J227">
        <v>0</v>
      </c>
      <c r="K227">
        <v>1</v>
      </c>
      <c r="L227">
        <v>1</v>
      </c>
    </row>
    <row r="228" spans="2:12" x14ac:dyDescent="0.3">
      <c r="B228">
        <v>15</v>
      </c>
      <c r="C228">
        <v>11</v>
      </c>
      <c r="D228">
        <v>4</v>
      </c>
      <c r="E228">
        <v>2</v>
      </c>
      <c r="F228">
        <v>9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1</v>
      </c>
    </row>
    <row r="229" spans="2:12" x14ac:dyDescent="0.3">
      <c r="B229">
        <v>22</v>
      </c>
      <c r="C229">
        <v>11</v>
      </c>
      <c r="D229">
        <v>6</v>
      </c>
      <c r="E229">
        <v>1</v>
      </c>
      <c r="F229">
        <v>10</v>
      </c>
      <c r="G229">
        <v>5</v>
      </c>
      <c r="H229">
        <v>1</v>
      </c>
      <c r="I229">
        <v>0</v>
      </c>
      <c r="J229">
        <v>1</v>
      </c>
      <c r="K229">
        <v>1</v>
      </c>
      <c r="L229">
        <v>1</v>
      </c>
    </row>
    <row r="230" spans="2:12" x14ac:dyDescent="0.3">
      <c r="B230">
        <v>28</v>
      </c>
      <c r="C230">
        <v>14</v>
      </c>
      <c r="D230">
        <v>9</v>
      </c>
      <c r="E230">
        <v>5</v>
      </c>
      <c r="F230">
        <v>9</v>
      </c>
      <c r="G230">
        <v>5</v>
      </c>
      <c r="H230">
        <v>0</v>
      </c>
      <c r="I230">
        <v>0</v>
      </c>
      <c r="J230">
        <v>1</v>
      </c>
      <c r="K230">
        <v>1</v>
      </c>
      <c r="L230">
        <v>1</v>
      </c>
    </row>
    <row r="231" spans="2:12" x14ac:dyDescent="0.3">
      <c r="B231">
        <v>26</v>
      </c>
      <c r="C231">
        <v>17</v>
      </c>
      <c r="D231">
        <v>4</v>
      </c>
      <c r="E231">
        <v>7</v>
      </c>
      <c r="F231">
        <v>10</v>
      </c>
      <c r="G231">
        <v>5</v>
      </c>
      <c r="H231">
        <v>1</v>
      </c>
      <c r="I231">
        <v>0</v>
      </c>
      <c r="J231">
        <v>1</v>
      </c>
      <c r="K231">
        <v>0</v>
      </c>
      <c r="L231">
        <v>1</v>
      </c>
    </row>
    <row r="232" spans="2:12" x14ac:dyDescent="0.3">
      <c r="B232">
        <v>18</v>
      </c>
      <c r="C232">
        <v>10</v>
      </c>
      <c r="D232">
        <v>3</v>
      </c>
      <c r="E232">
        <v>3</v>
      </c>
      <c r="F232">
        <v>7</v>
      </c>
      <c r="G232">
        <v>5</v>
      </c>
      <c r="H232">
        <v>1</v>
      </c>
      <c r="I232">
        <v>0</v>
      </c>
      <c r="J232">
        <v>1</v>
      </c>
      <c r="K232">
        <v>1</v>
      </c>
      <c r="L23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ADA0-E14D-46DD-B84B-826B8B822454}">
  <sheetPr codeName="Sheet3"/>
  <dimension ref="B2:P198"/>
  <sheetViews>
    <sheetView zoomScaleNormal="100" workbookViewId="0">
      <selection activeCell="M18" sqref="M18"/>
    </sheetView>
  </sheetViews>
  <sheetFormatPr defaultRowHeight="14.4" x14ac:dyDescent="0.3"/>
  <cols>
    <col min="2" max="2" width="10.33203125" customWidth="1"/>
    <col min="3" max="3" width="13.44140625" customWidth="1"/>
    <col min="4" max="4" width="12.44140625" customWidth="1"/>
    <col min="5" max="6" width="13.6640625" customWidth="1"/>
    <col min="7" max="7" width="19.21875" customWidth="1"/>
    <col min="8" max="8" width="12.6640625" customWidth="1"/>
    <col min="9" max="9" width="13.44140625" customWidth="1"/>
    <col min="10" max="10" width="14.109375" customWidth="1"/>
    <col min="11" max="11" width="11.109375" customWidth="1"/>
    <col min="12" max="12" width="23.33203125" customWidth="1"/>
    <col min="13" max="13" width="18.33203125" bestFit="1" customWidth="1"/>
    <col min="14" max="14" width="19.88671875" customWidth="1"/>
    <col min="15" max="15" width="11" customWidth="1"/>
    <col min="16" max="16" width="11.6640625" customWidth="1"/>
  </cols>
  <sheetData>
    <row r="2" spans="2:16" x14ac:dyDescent="0.3">
      <c r="B2" t="s">
        <v>12</v>
      </c>
      <c r="C2" t="s">
        <v>13</v>
      </c>
      <c r="D2" t="s">
        <v>14</v>
      </c>
      <c r="E2" t="s">
        <v>10</v>
      </c>
      <c r="F2" t="s">
        <v>11</v>
      </c>
      <c r="G2" t="s">
        <v>15</v>
      </c>
      <c r="H2" t="s">
        <v>17</v>
      </c>
      <c r="I2" t="s">
        <v>18</v>
      </c>
      <c r="J2" t="s">
        <v>19</v>
      </c>
      <c r="K2" t="s">
        <v>16</v>
      </c>
      <c r="L2" t="s">
        <v>9</v>
      </c>
    </row>
    <row r="3" spans="2:16" x14ac:dyDescent="0.3">
      <c r="B3" s="5">
        <v>13</v>
      </c>
      <c r="C3" s="6">
        <v>4</v>
      </c>
      <c r="D3" s="6">
        <v>3</v>
      </c>
      <c r="E3" s="6">
        <v>1</v>
      </c>
      <c r="F3" s="6">
        <v>3</v>
      </c>
      <c r="G3" s="6">
        <v>6</v>
      </c>
      <c r="H3" s="6">
        <v>1</v>
      </c>
      <c r="I3" s="6">
        <v>1</v>
      </c>
      <c r="J3" s="6">
        <v>1</v>
      </c>
      <c r="K3" s="6">
        <v>0</v>
      </c>
      <c r="L3" s="7">
        <v>0</v>
      </c>
      <c r="N3" s="15" t="s">
        <v>24</v>
      </c>
      <c r="O3" s="15" t="s">
        <v>3</v>
      </c>
      <c r="P3" s="15" t="s">
        <v>0</v>
      </c>
    </row>
    <row r="4" spans="2:16" x14ac:dyDescent="0.3">
      <c r="B4" s="8">
        <v>14</v>
      </c>
      <c r="C4" s="9">
        <v>10</v>
      </c>
      <c r="D4" s="9">
        <v>0</v>
      </c>
      <c r="E4" s="9">
        <v>10</v>
      </c>
      <c r="F4" s="9">
        <v>0</v>
      </c>
      <c r="G4" s="9">
        <v>4</v>
      </c>
      <c r="H4" s="9">
        <v>0</v>
      </c>
      <c r="I4" s="9">
        <v>1</v>
      </c>
      <c r="J4" s="9">
        <v>1</v>
      </c>
      <c r="K4" s="9">
        <v>1</v>
      </c>
      <c r="L4" s="10">
        <v>0</v>
      </c>
      <c r="N4" s="16" t="str" cm="1">
        <f t="array" ref="N4:N14">TRANSPOSE(Table5[[#Headers],[Length]:[Password Strengthness]])</f>
        <v>Length</v>
      </c>
      <c r="O4" s="14">
        <f ca="1">SUM(INDIRECT("Table5["&amp;N4&amp;"]"))</f>
        <v>2630</v>
      </c>
      <c r="P4" s="14">
        <f ca="1">(O4+1)/$O$15</f>
        <v>0.37113838341091832</v>
      </c>
    </row>
    <row r="5" spans="2:16" x14ac:dyDescent="0.3">
      <c r="B5" s="5">
        <v>6</v>
      </c>
      <c r="C5" s="6">
        <v>2</v>
      </c>
      <c r="D5" s="6">
        <v>0</v>
      </c>
      <c r="E5" s="6">
        <v>0</v>
      </c>
      <c r="F5" s="6">
        <v>2</v>
      </c>
      <c r="G5" s="6">
        <v>4</v>
      </c>
      <c r="H5" s="6">
        <v>0</v>
      </c>
      <c r="I5" s="6">
        <v>1</v>
      </c>
      <c r="J5" s="6">
        <v>1</v>
      </c>
      <c r="K5" s="6">
        <v>1</v>
      </c>
      <c r="L5" s="7">
        <v>0</v>
      </c>
      <c r="N5" s="16" t="str">
        <v>Alphabets</v>
      </c>
      <c r="O5" s="14">
        <f t="shared" ref="O5:O14" ca="1" si="0">SUM(INDIRECT("Table5["&amp;N5&amp;"]"))</f>
        <v>1452</v>
      </c>
      <c r="P5" s="14">
        <f t="shared" ref="P5:P14" ca="1" si="1">(O5+1)/$O$15</f>
        <v>0.20496543941317535</v>
      </c>
    </row>
    <row r="6" spans="2:16" x14ac:dyDescent="0.3">
      <c r="B6" s="8">
        <v>14</v>
      </c>
      <c r="C6" s="9">
        <v>10</v>
      </c>
      <c r="D6" s="9">
        <v>0</v>
      </c>
      <c r="E6" s="9">
        <v>6</v>
      </c>
      <c r="F6" s="9">
        <v>4</v>
      </c>
      <c r="G6" s="9">
        <v>4</v>
      </c>
      <c r="H6" s="9">
        <v>0</v>
      </c>
      <c r="I6" s="9">
        <v>1</v>
      </c>
      <c r="J6" s="9">
        <v>0</v>
      </c>
      <c r="K6" s="9">
        <v>1</v>
      </c>
      <c r="L6" s="10">
        <v>0</v>
      </c>
      <c r="N6" s="16" t="str">
        <v>Numbers</v>
      </c>
      <c r="O6" s="14">
        <f t="shared" ca="1" si="0"/>
        <v>703</v>
      </c>
      <c r="P6" s="14">
        <f t="shared" ca="1" si="1"/>
        <v>9.9308788263506836E-2</v>
      </c>
    </row>
    <row r="7" spans="2:16" x14ac:dyDescent="0.3">
      <c r="B7" s="5">
        <v>10</v>
      </c>
      <c r="C7" s="6">
        <v>5</v>
      </c>
      <c r="D7" s="6">
        <v>4</v>
      </c>
      <c r="E7" s="6">
        <v>0</v>
      </c>
      <c r="F7" s="6">
        <v>5</v>
      </c>
      <c r="G7" s="6">
        <v>1</v>
      </c>
      <c r="H7" s="6">
        <v>0</v>
      </c>
      <c r="I7" s="6">
        <v>1</v>
      </c>
      <c r="J7" s="6">
        <v>0</v>
      </c>
      <c r="K7" s="6">
        <v>0</v>
      </c>
      <c r="L7" s="7">
        <v>0</v>
      </c>
      <c r="N7" s="16" t="str">
        <v>Lowercase</v>
      </c>
      <c r="O7" s="14">
        <f t="shared" ca="1" si="0"/>
        <v>720</v>
      </c>
      <c r="P7" s="14">
        <f t="shared" ca="1" si="1"/>
        <v>0.10170686979827902</v>
      </c>
    </row>
    <row r="8" spans="2:16" x14ac:dyDescent="0.3">
      <c r="B8" s="8">
        <v>13</v>
      </c>
      <c r="C8" s="9">
        <v>0</v>
      </c>
      <c r="D8" s="9">
        <v>8</v>
      </c>
      <c r="E8" s="9">
        <v>0</v>
      </c>
      <c r="F8" s="9">
        <v>0</v>
      </c>
      <c r="G8" s="9">
        <v>5</v>
      </c>
      <c r="H8" s="9">
        <v>0</v>
      </c>
      <c r="I8" s="9">
        <v>1</v>
      </c>
      <c r="J8" s="9">
        <v>1</v>
      </c>
      <c r="K8" s="9">
        <v>0</v>
      </c>
      <c r="L8" s="10">
        <v>0</v>
      </c>
      <c r="N8" s="16" t="str">
        <v>Uppercase</v>
      </c>
      <c r="O8" s="14">
        <f t="shared" ca="1" si="0"/>
        <v>732</v>
      </c>
      <c r="P8" s="14">
        <f t="shared" ca="1" si="1"/>
        <v>0.1033996332345888</v>
      </c>
    </row>
    <row r="9" spans="2:16" x14ac:dyDescent="0.3">
      <c r="B9" s="5">
        <v>14</v>
      </c>
      <c r="C9" s="6">
        <v>6</v>
      </c>
      <c r="D9" s="6">
        <v>5</v>
      </c>
      <c r="E9" s="6">
        <v>5</v>
      </c>
      <c r="F9" s="6">
        <v>1</v>
      </c>
      <c r="G9" s="6">
        <v>3</v>
      </c>
      <c r="H9" s="6">
        <v>1</v>
      </c>
      <c r="I9" s="6">
        <v>1</v>
      </c>
      <c r="J9" s="6">
        <v>1</v>
      </c>
      <c r="K9" s="6">
        <v>0</v>
      </c>
      <c r="L9" s="7">
        <v>0</v>
      </c>
      <c r="N9" s="16" t="str">
        <v>Special Character</v>
      </c>
      <c r="O9" s="14">
        <f t="shared" ca="1" si="0"/>
        <v>475</v>
      </c>
      <c r="P9" s="14">
        <f t="shared" ca="1" si="1"/>
        <v>6.7146282973621102E-2</v>
      </c>
    </row>
    <row r="10" spans="2:16" x14ac:dyDescent="0.3">
      <c r="B10" s="8">
        <v>11</v>
      </c>
      <c r="C10" s="9">
        <v>5</v>
      </c>
      <c r="D10" s="9">
        <v>0</v>
      </c>
      <c r="E10" s="9">
        <v>5</v>
      </c>
      <c r="F10" s="9">
        <v>0</v>
      </c>
      <c r="G10" s="9">
        <v>6</v>
      </c>
      <c r="H10" s="9">
        <v>0</v>
      </c>
      <c r="I10" s="9">
        <v>1</v>
      </c>
      <c r="J10" s="9">
        <v>1</v>
      </c>
      <c r="K10" s="9">
        <v>1</v>
      </c>
      <c r="L10" s="10">
        <v>0</v>
      </c>
      <c r="N10" s="16" t="str">
        <v>Unique</v>
      </c>
      <c r="O10" s="14">
        <f t="shared" ca="1" si="0"/>
        <v>80</v>
      </c>
      <c r="P10" s="14">
        <f t="shared" ca="1" si="1"/>
        <v>1.1426153195090986E-2</v>
      </c>
    </row>
    <row r="11" spans="2:16" x14ac:dyDescent="0.3">
      <c r="B11" s="5">
        <v>12</v>
      </c>
      <c r="C11" s="6">
        <v>6</v>
      </c>
      <c r="D11" s="6">
        <v>5</v>
      </c>
      <c r="E11" s="6">
        <v>1</v>
      </c>
      <c r="F11" s="6">
        <v>5</v>
      </c>
      <c r="G11" s="6">
        <v>1</v>
      </c>
      <c r="H11" s="6">
        <v>0</v>
      </c>
      <c r="I11" s="6">
        <v>1</v>
      </c>
      <c r="J11" s="6">
        <v>0</v>
      </c>
      <c r="K11" s="6">
        <v>1</v>
      </c>
      <c r="L11" s="7">
        <v>0</v>
      </c>
      <c r="N11" s="16" t="str">
        <v>Randomize</v>
      </c>
      <c r="O11" s="14">
        <f t="shared" ca="1" si="0"/>
        <v>135</v>
      </c>
      <c r="P11" s="14">
        <f t="shared" ca="1" si="1"/>
        <v>1.9184652278177457E-2</v>
      </c>
    </row>
    <row r="12" spans="2:16" x14ac:dyDescent="0.3">
      <c r="B12" s="8">
        <v>13</v>
      </c>
      <c r="C12" s="9">
        <v>4</v>
      </c>
      <c r="D12" s="9">
        <v>8</v>
      </c>
      <c r="E12" s="9">
        <v>4</v>
      </c>
      <c r="F12" s="9">
        <v>0</v>
      </c>
      <c r="G12" s="9">
        <v>1</v>
      </c>
      <c r="H12" s="9">
        <v>1</v>
      </c>
      <c r="I12" s="9">
        <v>1</v>
      </c>
      <c r="J12" s="9">
        <v>0</v>
      </c>
      <c r="K12" s="9">
        <v>1</v>
      </c>
      <c r="L12" s="10">
        <v>0</v>
      </c>
      <c r="N12" s="16" t="str">
        <v>In Language</v>
      </c>
      <c r="O12" s="14">
        <f t="shared" ca="1" si="0"/>
        <v>78</v>
      </c>
      <c r="P12" s="14">
        <f t="shared" ca="1" si="1"/>
        <v>1.1144025955706023E-2</v>
      </c>
    </row>
    <row r="13" spans="2:16" x14ac:dyDescent="0.3">
      <c r="B13" s="5">
        <v>24</v>
      </c>
      <c r="C13" s="6">
        <v>15</v>
      </c>
      <c r="D13" s="6">
        <v>4</v>
      </c>
      <c r="E13" s="6">
        <v>9</v>
      </c>
      <c r="F13" s="6">
        <v>6</v>
      </c>
      <c r="G13" s="6">
        <v>5</v>
      </c>
      <c r="H13" s="6">
        <v>0</v>
      </c>
      <c r="I13" s="6">
        <v>1</v>
      </c>
      <c r="J13" s="6">
        <v>0</v>
      </c>
      <c r="K13" s="6">
        <v>0</v>
      </c>
      <c r="L13" s="7">
        <v>0</v>
      </c>
      <c r="N13" s="16" t="str">
        <v>Pattern</v>
      </c>
      <c r="O13" s="14">
        <f t="shared" ca="1" si="0"/>
        <v>84</v>
      </c>
      <c r="P13" s="14">
        <f t="shared" ca="1" si="1"/>
        <v>1.1990407673860911E-2</v>
      </c>
    </row>
    <row r="14" spans="2:16" x14ac:dyDescent="0.3">
      <c r="B14" s="8">
        <v>9</v>
      </c>
      <c r="C14" s="9">
        <v>1</v>
      </c>
      <c r="D14" s="9">
        <v>2</v>
      </c>
      <c r="E14" s="9">
        <v>0</v>
      </c>
      <c r="F14" s="9">
        <v>1</v>
      </c>
      <c r="G14" s="9">
        <v>6</v>
      </c>
      <c r="H14" s="9">
        <v>0</v>
      </c>
      <c r="I14" s="9">
        <v>1</v>
      </c>
      <c r="J14" s="9">
        <v>1</v>
      </c>
      <c r="K14" s="9">
        <v>0</v>
      </c>
      <c r="L14" s="10">
        <v>0</v>
      </c>
      <c r="N14" s="17" t="str">
        <v>Password Strengthness</v>
      </c>
      <c r="O14" s="18">
        <f t="shared" ca="1" si="0"/>
        <v>0</v>
      </c>
      <c r="P14" s="18">
        <f t="shared" ca="1" si="1"/>
        <v>1.410636196924813E-4</v>
      </c>
    </row>
    <row r="15" spans="2:16" x14ac:dyDescent="0.3">
      <c r="B15" s="5">
        <v>9</v>
      </c>
      <c r="C15" s="6">
        <v>8</v>
      </c>
      <c r="D15" s="6">
        <v>0</v>
      </c>
      <c r="E15" s="6">
        <v>0</v>
      </c>
      <c r="F15" s="6">
        <v>8</v>
      </c>
      <c r="G15" s="6">
        <v>1</v>
      </c>
      <c r="H15" s="6">
        <v>0</v>
      </c>
      <c r="I15" s="6">
        <v>1</v>
      </c>
      <c r="J15" s="6">
        <v>1</v>
      </c>
      <c r="K15" s="6">
        <v>1</v>
      </c>
      <c r="L15" s="7">
        <v>0</v>
      </c>
      <c r="N15" s="16" t="s">
        <v>23</v>
      </c>
      <c r="O15" s="1">
        <f ca="1">SUM(O4:O13)</f>
        <v>7089</v>
      </c>
      <c r="P15" s="1">
        <f ca="1">SUM(P4:P13)</f>
        <v>1.0014106361969248</v>
      </c>
    </row>
    <row r="16" spans="2:16" x14ac:dyDescent="0.3">
      <c r="B16" s="8">
        <v>7</v>
      </c>
      <c r="C16" s="9">
        <v>2</v>
      </c>
      <c r="D16" s="9">
        <v>0</v>
      </c>
      <c r="E16" s="9">
        <v>1</v>
      </c>
      <c r="F16" s="9">
        <v>1</v>
      </c>
      <c r="G16" s="9">
        <v>5</v>
      </c>
      <c r="H16" s="9">
        <v>1</v>
      </c>
      <c r="I16" s="9">
        <v>1</v>
      </c>
      <c r="J16" s="9">
        <v>0</v>
      </c>
      <c r="K16" s="9">
        <v>1</v>
      </c>
      <c r="L16" s="10">
        <v>0</v>
      </c>
    </row>
    <row r="17" spans="2:12" x14ac:dyDescent="0.3">
      <c r="B17" s="5">
        <v>17</v>
      </c>
      <c r="C17" s="6">
        <v>11</v>
      </c>
      <c r="D17" s="6">
        <v>4</v>
      </c>
      <c r="E17" s="6">
        <v>9</v>
      </c>
      <c r="F17" s="6">
        <v>2</v>
      </c>
      <c r="G17" s="6">
        <v>2</v>
      </c>
      <c r="H17" s="6">
        <v>0</v>
      </c>
      <c r="I17" s="6">
        <v>1</v>
      </c>
      <c r="J17" s="6">
        <v>0</v>
      </c>
      <c r="K17" s="6">
        <v>0</v>
      </c>
      <c r="L17" s="7">
        <v>0</v>
      </c>
    </row>
    <row r="18" spans="2:12" x14ac:dyDescent="0.3">
      <c r="B18" s="8">
        <v>4</v>
      </c>
      <c r="C18" s="9">
        <v>1</v>
      </c>
      <c r="D18" s="9">
        <v>0</v>
      </c>
      <c r="E18" s="9">
        <v>0</v>
      </c>
      <c r="F18" s="9">
        <v>1</v>
      </c>
      <c r="G18" s="9">
        <v>3</v>
      </c>
      <c r="H18" s="9">
        <v>0</v>
      </c>
      <c r="I18" s="9">
        <v>1</v>
      </c>
      <c r="J18" s="9">
        <v>1</v>
      </c>
      <c r="K18" s="9">
        <v>0</v>
      </c>
      <c r="L18" s="10">
        <v>0</v>
      </c>
    </row>
    <row r="19" spans="2:12" x14ac:dyDescent="0.3">
      <c r="B19" s="5">
        <v>12</v>
      </c>
      <c r="C19" s="6">
        <v>6</v>
      </c>
      <c r="D19" s="6">
        <v>0</v>
      </c>
      <c r="E19" s="6">
        <v>5</v>
      </c>
      <c r="F19" s="6">
        <v>1</v>
      </c>
      <c r="G19" s="6">
        <v>6</v>
      </c>
      <c r="H19" s="6">
        <v>1</v>
      </c>
      <c r="I19" s="6">
        <v>1</v>
      </c>
      <c r="J19" s="6">
        <v>0</v>
      </c>
      <c r="K19" s="6">
        <v>0</v>
      </c>
      <c r="L19" s="7">
        <v>0</v>
      </c>
    </row>
    <row r="20" spans="2:12" x14ac:dyDescent="0.3">
      <c r="B20" s="8">
        <v>21</v>
      </c>
      <c r="C20" s="9">
        <v>17</v>
      </c>
      <c r="D20" s="9">
        <v>2</v>
      </c>
      <c r="E20" s="9">
        <v>8</v>
      </c>
      <c r="F20" s="9">
        <v>9</v>
      </c>
      <c r="G20" s="9">
        <v>2</v>
      </c>
      <c r="H20" s="9">
        <v>0</v>
      </c>
      <c r="I20" s="9">
        <v>1</v>
      </c>
      <c r="J20" s="9">
        <v>0</v>
      </c>
      <c r="K20" s="9">
        <v>0</v>
      </c>
      <c r="L20" s="10">
        <v>0</v>
      </c>
    </row>
    <row r="21" spans="2:12" x14ac:dyDescent="0.3">
      <c r="B21" s="5">
        <v>14</v>
      </c>
      <c r="C21" s="6">
        <v>5</v>
      </c>
      <c r="D21" s="6">
        <v>4</v>
      </c>
      <c r="E21" s="6">
        <v>3</v>
      </c>
      <c r="F21" s="6">
        <v>2</v>
      </c>
      <c r="G21" s="6">
        <v>5</v>
      </c>
      <c r="H21" s="6">
        <v>1</v>
      </c>
      <c r="I21" s="6">
        <v>1</v>
      </c>
      <c r="J21" s="6">
        <v>0</v>
      </c>
      <c r="K21" s="6">
        <v>1</v>
      </c>
      <c r="L21" s="7">
        <v>0</v>
      </c>
    </row>
    <row r="22" spans="2:12" x14ac:dyDescent="0.3">
      <c r="B22" s="8">
        <v>8</v>
      </c>
      <c r="C22" s="9">
        <v>5</v>
      </c>
      <c r="D22" s="9">
        <v>2</v>
      </c>
      <c r="E22" s="9">
        <v>5</v>
      </c>
      <c r="F22" s="9">
        <v>0</v>
      </c>
      <c r="G22" s="9">
        <v>1</v>
      </c>
      <c r="H22" s="9">
        <v>0</v>
      </c>
      <c r="I22" s="9">
        <v>1</v>
      </c>
      <c r="J22" s="9">
        <v>1</v>
      </c>
      <c r="K22" s="9">
        <v>1</v>
      </c>
      <c r="L22" s="10">
        <v>0</v>
      </c>
    </row>
    <row r="23" spans="2:12" x14ac:dyDescent="0.3">
      <c r="B23" s="5">
        <v>14</v>
      </c>
      <c r="C23" s="6">
        <v>9</v>
      </c>
      <c r="D23" s="6">
        <v>2</v>
      </c>
      <c r="E23" s="6">
        <v>1</v>
      </c>
      <c r="F23" s="6">
        <v>8</v>
      </c>
      <c r="G23" s="6">
        <v>3</v>
      </c>
      <c r="H23" s="6">
        <v>0</v>
      </c>
      <c r="I23" s="6">
        <v>1</v>
      </c>
      <c r="J23" s="6">
        <v>1</v>
      </c>
      <c r="K23" s="6">
        <v>1</v>
      </c>
      <c r="L23" s="7">
        <v>0</v>
      </c>
    </row>
    <row r="24" spans="2:12" x14ac:dyDescent="0.3">
      <c r="B24" s="8">
        <v>14</v>
      </c>
      <c r="C24" s="9">
        <v>13</v>
      </c>
      <c r="D24" s="9">
        <v>1</v>
      </c>
      <c r="E24" s="9">
        <v>10</v>
      </c>
      <c r="F24" s="9">
        <v>3</v>
      </c>
      <c r="G24" s="9">
        <v>0</v>
      </c>
      <c r="H24" s="9">
        <v>0</v>
      </c>
      <c r="I24" s="9">
        <v>1</v>
      </c>
      <c r="J24" s="9">
        <v>1</v>
      </c>
      <c r="K24" s="9">
        <v>0</v>
      </c>
      <c r="L24" s="10">
        <v>0</v>
      </c>
    </row>
    <row r="25" spans="2:12" x14ac:dyDescent="0.3">
      <c r="B25" s="5">
        <v>13</v>
      </c>
      <c r="C25" s="6">
        <v>13</v>
      </c>
      <c r="D25" s="6">
        <v>0</v>
      </c>
      <c r="E25" s="6">
        <v>8</v>
      </c>
      <c r="F25" s="6">
        <v>5</v>
      </c>
      <c r="G25" s="6">
        <v>0</v>
      </c>
      <c r="H25" s="6">
        <v>1</v>
      </c>
      <c r="I25" s="6">
        <v>1</v>
      </c>
      <c r="J25" s="6">
        <v>1</v>
      </c>
      <c r="K25" s="6">
        <v>0</v>
      </c>
      <c r="L25" s="7">
        <v>0</v>
      </c>
    </row>
    <row r="26" spans="2:12" x14ac:dyDescent="0.3">
      <c r="B26" s="8">
        <v>12</v>
      </c>
      <c r="C26" s="9">
        <v>12</v>
      </c>
      <c r="D26" s="9">
        <v>0</v>
      </c>
      <c r="E26" s="9">
        <v>6</v>
      </c>
      <c r="F26" s="9">
        <v>6</v>
      </c>
      <c r="G26" s="9">
        <v>0</v>
      </c>
      <c r="H26" s="9">
        <v>1</v>
      </c>
      <c r="I26" s="9">
        <v>1</v>
      </c>
      <c r="J26" s="9">
        <v>1</v>
      </c>
      <c r="K26" s="9">
        <v>1</v>
      </c>
      <c r="L26" s="10">
        <v>0</v>
      </c>
    </row>
    <row r="27" spans="2:12" x14ac:dyDescent="0.3">
      <c r="B27" s="5">
        <v>13</v>
      </c>
      <c r="C27" s="6">
        <v>7</v>
      </c>
      <c r="D27" s="6">
        <v>2</v>
      </c>
      <c r="E27" s="6">
        <v>4</v>
      </c>
      <c r="F27" s="6">
        <v>3</v>
      </c>
      <c r="G27" s="6">
        <v>4</v>
      </c>
      <c r="H27" s="6">
        <v>1</v>
      </c>
      <c r="I27" s="6">
        <v>1</v>
      </c>
      <c r="J27" s="6">
        <v>1</v>
      </c>
      <c r="K27" s="6">
        <v>0</v>
      </c>
      <c r="L27" s="7">
        <v>0</v>
      </c>
    </row>
    <row r="28" spans="2:12" x14ac:dyDescent="0.3">
      <c r="B28" s="8">
        <v>10</v>
      </c>
      <c r="C28" s="9">
        <v>4</v>
      </c>
      <c r="D28" s="9">
        <v>6</v>
      </c>
      <c r="E28" s="9">
        <v>0</v>
      </c>
      <c r="F28" s="9">
        <v>4</v>
      </c>
      <c r="G28" s="9">
        <v>0</v>
      </c>
      <c r="H28" s="9">
        <v>0</v>
      </c>
      <c r="I28" s="9">
        <v>1</v>
      </c>
      <c r="J28" s="9">
        <v>1</v>
      </c>
      <c r="K28" s="9">
        <v>0</v>
      </c>
      <c r="L28" s="10">
        <v>0</v>
      </c>
    </row>
    <row r="29" spans="2:12" x14ac:dyDescent="0.3">
      <c r="B29" s="5">
        <v>5</v>
      </c>
      <c r="C29" s="6">
        <v>5</v>
      </c>
      <c r="D29" s="6">
        <v>0</v>
      </c>
      <c r="E29" s="6">
        <v>4</v>
      </c>
      <c r="F29" s="6">
        <v>1</v>
      </c>
      <c r="G29" s="6">
        <v>0</v>
      </c>
      <c r="H29" s="6">
        <v>0</v>
      </c>
      <c r="I29" s="6">
        <v>1</v>
      </c>
      <c r="J29" s="6">
        <v>0</v>
      </c>
      <c r="K29" s="6">
        <v>0</v>
      </c>
      <c r="L29" s="7">
        <v>0</v>
      </c>
    </row>
    <row r="30" spans="2:12" x14ac:dyDescent="0.3">
      <c r="B30" s="8">
        <v>14</v>
      </c>
      <c r="C30" s="9">
        <v>8</v>
      </c>
      <c r="D30" s="9">
        <v>5</v>
      </c>
      <c r="E30" s="9">
        <v>8</v>
      </c>
      <c r="F30" s="9">
        <v>0</v>
      </c>
      <c r="G30" s="9">
        <v>1</v>
      </c>
      <c r="H30" s="9">
        <v>0</v>
      </c>
      <c r="I30" s="9">
        <v>1</v>
      </c>
      <c r="J30" s="9">
        <v>1</v>
      </c>
      <c r="K30" s="9">
        <v>1</v>
      </c>
      <c r="L30" s="10">
        <v>0</v>
      </c>
    </row>
    <row r="31" spans="2:12" x14ac:dyDescent="0.3">
      <c r="B31" s="5">
        <v>19</v>
      </c>
      <c r="C31" s="6">
        <v>9</v>
      </c>
      <c r="D31" s="6">
        <v>9</v>
      </c>
      <c r="E31" s="6">
        <v>3</v>
      </c>
      <c r="F31" s="6">
        <v>6</v>
      </c>
      <c r="G31" s="6">
        <v>1</v>
      </c>
      <c r="H31" s="6">
        <v>0</v>
      </c>
      <c r="I31" s="6">
        <v>1</v>
      </c>
      <c r="J31" s="6">
        <v>0</v>
      </c>
      <c r="K31" s="6">
        <v>0</v>
      </c>
      <c r="L31" s="7">
        <v>0</v>
      </c>
    </row>
    <row r="32" spans="2:12" x14ac:dyDescent="0.3">
      <c r="B32" s="8">
        <v>14</v>
      </c>
      <c r="C32" s="9">
        <v>12</v>
      </c>
      <c r="D32" s="9">
        <v>2</v>
      </c>
      <c r="E32" s="9">
        <v>4</v>
      </c>
      <c r="F32" s="9">
        <v>8</v>
      </c>
      <c r="G32" s="9">
        <v>0</v>
      </c>
      <c r="H32" s="9">
        <v>1</v>
      </c>
      <c r="I32" s="9">
        <v>1</v>
      </c>
      <c r="J32" s="9">
        <v>1</v>
      </c>
      <c r="K32" s="9">
        <v>0</v>
      </c>
      <c r="L32" s="10">
        <v>0</v>
      </c>
    </row>
    <row r="33" spans="2:12" x14ac:dyDescent="0.3">
      <c r="B33" s="5">
        <v>11</v>
      </c>
      <c r="C33" s="6">
        <v>2</v>
      </c>
      <c r="D33" s="6">
        <v>6</v>
      </c>
      <c r="E33" s="6">
        <v>2</v>
      </c>
      <c r="F33" s="6">
        <v>0</v>
      </c>
      <c r="G33" s="6">
        <v>3</v>
      </c>
      <c r="H33" s="6">
        <v>0</v>
      </c>
      <c r="I33" s="6">
        <v>1</v>
      </c>
      <c r="J33" s="6">
        <v>0</v>
      </c>
      <c r="K33" s="6">
        <v>0</v>
      </c>
      <c r="L33" s="7">
        <v>0</v>
      </c>
    </row>
    <row r="34" spans="2:12" x14ac:dyDescent="0.3">
      <c r="B34" s="8">
        <v>13</v>
      </c>
      <c r="C34" s="9">
        <v>9</v>
      </c>
      <c r="D34" s="9">
        <v>4</v>
      </c>
      <c r="E34" s="9">
        <v>6</v>
      </c>
      <c r="F34" s="9">
        <v>3</v>
      </c>
      <c r="G34" s="9">
        <v>0</v>
      </c>
      <c r="H34" s="9">
        <v>0</v>
      </c>
      <c r="I34" s="9">
        <v>1</v>
      </c>
      <c r="J34" s="9">
        <v>0</v>
      </c>
      <c r="K34" s="9">
        <v>1</v>
      </c>
      <c r="L34" s="10">
        <v>0</v>
      </c>
    </row>
    <row r="35" spans="2:12" x14ac:dyDescent="0.3">
      <c r="B35" s="5">
        <v>14</v>
      </c>
      <c r="C35" s="6">
        <v>12</v>
      </c>
      <c r="D35" s="6">
        <v>0</v>
      </c>
      <c r="E35" s="6">
        <v>2</v>
      </c>
      <c r="F35" s="6">
        <v>10</v>
      </c>
      <c r="G35" s="6">
        <v>2</v>
      </c>
      <c r="H35" s="6">
        <v>1</v>
      </c>
      <c r="I35" s="6">
        <v>1</v>
      </c>
      <c r="J35" s="6">
        <v>0</v>
      </c>
      <c r="K35" s="6">
        <v>0</v>
      </c>
      <c r="L35" s="7">
        <v>0</v>
      </c>
    </row>
    <row r="36" spans="2:12" x14ac:dyDescent="0.3">
      <c r="B36" s="8">
        <v>2</v>
      </c>
      <c r="C36" s="9">
        <v>0</v>
      </c>
      <c r="D36" s="9">
        <v>0</v>
      </c>
      <c r="E36" s="9">
        <v>0</v>
      </c>
      <c r="F36" s="9">
        <v>0</v>
      </c>
      <c r="G36" s="9">
        <v>2</v>
      </c>
      <c r="H36" s="9">
        <v>0</v>
      </c>
      <c r="I36" s="9">
        <v>1</v>
      </c>
      <c r="J36" s="9">
        <v>0</v>
      </c>
      <c r="K36" s="9">
        <v>0</v>
      </c>
      <c r="L36" s="10">
        <v>0</v>
      </c>
    </row>
    <row r="37" spans="2:12" x14ac:dyDescent="0.3">
      <c r="B37" s="5">
        <v>8</v>
      </c>
      <c r="C37" s="6">
        <v>1</v>
      </c>
      <c r="D37" s="6">
        <v>3</v>
      </c>
      <c r="E37" s="6">
        <v>0</v>
      </c>
      <c r="F37" s="6">
        <v>1</v>
      </c>
      <c r="G37" s="6">
        <v>4</v>
      </c>
      <c r="H37" s="6">
        <v>0</v>
      </c>
      <c r="I37" s="6">
        <v>1</v>
      </c>
      <c r="J37" s="6">
        <v>0</v>
      </c>
      <c r="K37" s="6">
        <v>0</v>
      </c>
      <c r="L37" s="7">
        <v>0</v>
      </c>
    </row>
    <row r="38" spans="2:12" x14ac:dyDescent="0.3">
      <c r="B38" s="8">
        <v>10</v>
      </c>
      <c r="C38" s="9">
        <v>3</v>
      </c>
      <c r="D38" s="9">
        <v>6</v>
      </c>
      <c r="E38" s="9">
        <v>0</v>
      </c>
      <c r="F38" s="9">
        <v>3</v>
      </c>
      <c r="G38" s="9">
        <v>1</v>
      </c>
      <c r="H38" s="9">
        <v>0</v>
      </c>
      <c r="I38" s="9">
        <v>1</v>
      </c>
      <c r="J38" s="9">
        <v>1</v>
      </c>
      <c r="K38" s="9">
        <v>1</v>
      </c>
      <c r="L38" s="10">
        <v>0</v>
      </c>
    </row>
    <row r="39" spans="2:12" x14ac:dyDescent="0.3">
      <c r="B39" s="5">
        <v>8</v>
      </c>
      <c r="C39" s="6">
        <v>6</v>
      </c>
      <c r="D39" s="6">
        <v>1</v>
      </c>
      <c r="E39" s="6">
        <v>2</v>
      </c>
      <c r="F39" s="6">
        <v>4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7">
        <v>0</v>
      </c>
    </row>
    <row r="40" spans="2:12" x14ac:dyDescent="0.3">
      <c r="B40" s="8">
        <v>12</v>
      </c>
      <c r="C40" s="9">
        <v>3</v>
      </c>
      <c r="D40" s="9">
        <v>9</v>
      </c>
      <c r="E40" s="9">
        <v>3</v>
      </c>
      <c r="F40" s="9">
        <v>0</v>
      </c>
      <c r="G40" s="9">
        <v>0</v>
      </c>
      <c r="H40" s="9">
        <v>1</v>
      </c>
      <c r="I40" s="9">
        <v>1</v>
      </c>
      <c r="J40" s="9">
        <v>1</v>
      </c>
      <c r="K40" s="9">
        <v>0</v>
      </c>
      <c r="L40" s="10">
        <v>0</v>
      </c>
    </row>
    <row r="41" spans="2:12" x14ac:dyDescent="0.3">
      <c r="B41" s="5">
        <v>14</v>
      </c>
      <c r="C41" s="6">
        <v>7</v>
      </c>
      <c r="D41" s="6">
        <v>3</v>
      </c>
      <c r="E41" s="6">
        <v>1</v>
      </c>
      <c r="F41" s="6">
        <v>6</v>
      </c>
      <c r="G41" s="6">
        <v>4</v>
      </c>
      <c r="H41" s="6">
        <v>0</v>
      </c>
      <c r="I41" s="6">
        <v>1</v>
      </c>
      <c r="J41" s="6">
        <v>1</v>
      </c>
      <c r="K41" s="6">
        <v>1</v>
      </c>
      <c r="L41" s="7">
        <v>0</v>
      </c>
    </row>
    <row r="42" spans="2:12" x14ac:dyDescent="0.3">
      <c r="B42" s="8">
        <v>13</v>
      </c>
      <c r="C42" s="9">
        <v>6</v>
      </c>
      <c r="D42" s="9">
        <v>6</v>
      </c>
      <c r="E42" s="9">
        <v>1</v>
      </c>
      <c r="F42" s="9">
        <v>5</v>
      </c>
      <c r="G42" s="9">
        <v>1</v>
      </c>
      <c r="H42" s="9">
        <v>1</v>
      </c>
      <c r="I42" s="9">
        <v>1</v>
      </c>
      <c r="J42" s="9">
        <v>0</v>
      </c>
      <c r="K42" s="9">
        <v>1</v>
      </c>
      <c r="L42" s="10">
        <v>0</v>
      </c>
    </row>
    <row r="43" spans="2:12" x14ac:dyDescent="0.3">
      <c r="B43" s="5">
        <v>11</v>
      </c>
      <c r="C43" s="6">
        <v>3</v>
      </c>
      <c r="D43" s="6">
        <v>3</v>
      </c>
      <c r="E43" s="6">
        <v>3</v>
      </c>
      <c r="F43" s="6">
        <v>0</v>
      </c>
      <c r="G43" s="6">
        <v>5</v>
      </c>
      <c r="H43" s="6">
        <v>1</v>
      </c>
      <c r="I43" s="6">
        <v>1</v>
      </c>
      <c r="J43" s="6">
        <v>1</v>
      </c>
      <c r="K43" s="6">
        <v>1</v>
      </c>
      <c r="L43" s="7">
        <v>0</v>
      </c>
    </row>
    <row r="44" spans="2:12" x14ac:dyDescent="0.3">
      <c r="B44" s="8">
        <v>10</v>
      </c>
      <c r="C44" s="9">
        <v>7</v>
      </c>
      <c r="D44" s="9">
        <v>1</v>
      </c>
      <c r="E44" s="9">
        <v>0</v>
      </c>
      <c r="F44" s="9">
        <v>7</v>
      </c>
      <c r="G44" s="9">
        <v>2</v>
      </c>
      <c r="H44" s="9">
        <v>0</v>
      </c>
      <c r="I44" s="9">
        <v>1</v>
      </c>
      <c r="J44" s="9">
        <v>1</v>
      </c>
      <c r="K44" s="9">
        <v>1</v>
      </c>
      <c r="L44" s="10">
        <v>0</v>
      </c>
    </row>
    <row r="45" spans="2:12" x14ac:dyDescent="0.3">
      <c r="B45" s="5">
        <v>29</v>
      </c>
      <c r="C45" s="6">
        <v>19</v>
      </c>
      <c r="D45" s="6">
        <v>8</v>
      </c>
      <c r="E45" s="6">
        <v>10</v>
      </c>
      <c r="F45" s="6">
        <v>9</v>
      </c>
      <c r="G45" s="6">
        <v>2</v>
      </c>
      <c r="H45" s="6">
        <v>0</v>
      </c>
      <c r="I45" s="6">
        <v>1</v>
      </c>
      <c r="J45" s="6">
        <v>0</v>
      </c>
      <c r="K45" s="6">
        <v>0</v>
      </c>
      <c r="L45" s="7">
        <v>0</v>
      </c>
    </row>
    <row r="46" spans="2:12" x14ac:dyDescent="0.3">
      <c r="B46" s="8">
        <v>4</v>
      </c>
      <c r="C46" s="9">
        <v>1</v>
      </c>
      <c r="D46" s="9">
        <v>1</v>
      </c>
      <c r="E46" s="9">
        <v>0</v>
      </c>
      <c r="F46" s="9">
        <v>1</v>
      </c>
      <c r="G46" s="9">
        <v>2</v>
      </c>
      <c r="H46" s="9">
        <v>0</v>
      </c>
      <c r="I46" s="9">
        <v>1</v>
      </c>
      <c r="J46" s="9">
        <v>1</v>
      </c>
      <c r="K46" s="9">
        <v>1</v>
      </c>
      <c r="L46" s="10">
        <v>0</v>
      </c>
    </row>
    <row r="47" spans="2:12" x14ac:dyDescent="0.3">
      <c r="B47" s="5">
        <v>11</v>
      </c>
      <c r="C47" s="6">
        <v>11</v>
      </c>
      <c r="D47" s="6">
        <v>0</v>
      </c>
      <c r="E47" s="6">
        <v>6</v>
      </c>
      <c r="F47" s="6">
        <v>5</v>
      </c>
      <c r="G47" s="6">
        <v>0</v>
      </c>
      <c r="H47" s="6">
        <v>0</v>
      </c>
      <c r="I47" s="6">
        <v>1</v>
      </c>
      <c r="J47" s="6">
        <v>0</v>
      </c>
      <c r="K47" s="6">
        <v>0</v>
      </c>
      <c r="L47" s="7">
        <v>0</v>
      </c>
    </row>
    <row r="48" spans="2:12" x14ac:dyDescent="0.3">
      <c r="B48" s="8">
        <v>17</v>
      </c>
      <c r="C48" s="9">
        <v>12</v>
      </c>
      <c r="D48" s="9">
        <v>4</v>
      </c>
      <c r="E48" s="9">
        <v>5</v>
      </c>
      <c r="F48" s="9">
        <v>7</v>
      </c>
      <c r="G48" s="9">
        <v>1</v>
      </c>
      <c r="H48" s="9">
        <v>0</v>
      </c>
      <c r="I48" s="9">
        <v>1</v>
      </c>
      <c r="J48" s="9">
        <v>0</v>
      </c>
      <c r="K48" s="9">
        <v>0</v>
      </c>
      <c r="L48" s="10">
        <v>0</v>
      </c>
    </row>
    <row r="49" spans="2:12" x14ac:dyDescent="0.3">
      <c r="B49" s="5">
        <v>10</v>
      </c>
      <c r="C49" s="6">
        <v>0</v>
      </c>
      <c r="D49" s="6">
        <v>6</v>
      </c>
      <c r="E49" s="6">
        <v>0</v>
      </c>
      <c r="F49" s="6">
        <v>0</v>
      </c>
      <c r="G49" s="6">
        <v>4</v>
      </c>
      <c r="H49" s="6">
        <v>0</v>
      </c>
      <c r="I49" s="6">
        <v>1</v>
      </c>
      <c r="J49" s="6">
        <v>0</v>
      </c>
      <c r="K49" s="6">
        <v>0</v>
      </c>
      <c r="L49" s="7">
        <v>0</v>
      </c>
    </row>
    <row r="50" spans="2:12" x14ac:dyDescent="0.3">
      <c r="B50" s="8">
        <v>13</v>
      </c>
      <c r="C50" s="9">
        <v>6</v>
      </c>
      <c r="D50" s="9">
        <v>3</v>
      </c>
      <c r="E50" s="9">
        <v>0</v>
      </c>
      <c r="F50" s="9">
        <v>6</v>
      </c>
      <c r="G50" s="9">
        <v>4</v>
      </c>
      <c r="H50" s="9">
        <v>0</v>
      </c>
      <c r="I50" s="9">
        <v>1</v>
      </c>
      <c r="J50" s="9">
        <v>1</v>
      </c>
      <c r="K50" s="9">
        <v>1</v>
      </c>
      <c r="L50" s="10">
        <v>0</v>
      </c>
    </row>
    <row r="51" spans="2:12" x14ac:dyDescent="0.3">
      <c r="B51" s="5">
        <v>10</v>
      </c>
      <c r="C51" s="6">
        <v>1</v>
      </c>
      <c r="D51" s="6">
        <v>8</v>
      </c>
      <c r="E51" s="6">
        <v>0</v>
      </c>
      <c r="F51" s="6">
        <v>1</v>
      </c>
      <c r="G51" s="6">
        <v>1</v>
      </c>
      <c r="H51" s="6">
        <v>0</v>
      </c>
      <c r="I51" s="6">
        <v>1</v>
      </c>
      <c r="J51" s="6">
        <v>0</v>
      </c>
      <c r="K51" s="6">
        <v>1</v>
      </c>
      <c r="L51" s="7">
        <v>0</v>
      </c>
    </row>
    <row r="52" spans="2:12" x14ac:dyDescent="0.3">
      <c r="B52" s="8">
        <v>5</v>
      </c>
      <c r="C52" s="9">
        <v>2</v>
      </c>
      <c r="D52" s="9">
        <v>3</v>
      </c>
      <c r="E52" s="9">
        <v>1</v>
      </c>
      <c r="F52" s="9">
        <v>1</v>
      </c>
      <c r="G52" s="9">
        <v>0</v>
      </c>
      <c r="H52" s="9">
        <v>1</v>
      </c>
      <c r="I52" s="9">
        <v>1</v>
      </c>
      <c r="J52" s="9">
        <v>0</v>
      </c>
      <c r="K52" s="9">
        <v>0</v>
      </c>
      <c r="L52" s="10">
        <v>0</v>
      </c>
    </row>
    <row r="53" spans="2:12" x14ac:dyDescent="0.3">
      <c r="B53" s="5">
        <v>22</v>
      </c>
      <c r="C53" s="6">
        <v>18</v>
      </c>
      <c r="D53" s="6">
        <v>4</v>
      </c>
      <c r="E53" s="6">
        <v>9</v>
      </c>
      <c r="F53" s="6">
        <v>9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7">
        <v>0</v>
      </c>
    </row>
    <row r="54" spans="2:12" x14ac:dyDescent="0.3">
      <c r="B54" s="8">
        <v>9</v>
      </c>
      <c r="C54" s="9">
        <v>8</v>
      </c>
      <c r="D54" s="9">
        <v>1</v>
      </c>
      <c r="E54" s="9">
        <v>5</v>
      </c>
      <c r="F54" s="9">
        <v>3</v>
      </c>
      <c r="G54" s="9">
        <v>0</v>
      </c>
      <c r="H54" s="9">
        <v>0</v>
      </c>
      <c r="I54" s="9">
        <v>1</v>
      </c>
      <c r="J54" s="9">
        <v>0</v>
      </c>
      <c r="K54" s="9">
        <v>0</v>
      </c>
      <c r="L54" s="10">
        <v>0</v>
      </c>
    </row>
    <row r="55" spans="2:12" x14ac:dyDescent="0.3">
      <c r="B55" s="5">
        <v>8</v>
      </c>
      <c r="C55" s="6">
        <v>8</v>
      </c>
      <c r="D55" s="6">
        <v>0</v>
      </c>
      <c r="E55" s="6">
        <v>5</v>
      </c>
      <c r="F55" s="6">
        <v>3</v>
      </c>
      <c r="G55" s="6">
        <v>0</v>
      </c>
      <c r="H55" s="6">
        <v>0</v>
      </c>
      <c r="I55" s="6">
        <v>1</v>
      </c>
      <c r="J55" s="6">
        <v>1</v>
      </c>
      <c r="K55" s="6">
        <v>0</v>
      </c>
      <c r="L55" s="7">
        <v>0</v>
      </c>
    </row>
    <row r="56" spans="2:12" x14ac:dyDescent="0.3">
      <c r="B56" s="8">
        <v>11</v>
      </c>
      <c r="C56" s="9">
        <v>4</v>
      </c>
      <c r="D56" s="9">
        <v>7</v>
      </c>
      <c r="E56" s="9">
        <v>1</v>
      </c>
      <c r="F56" s="9">
        <v>3</v>
      </c>
      <c r="G56" s="9">
        <v>0</v>
      </c>
      <c r="H56" s="9">
        <v>0</v>
      </c>
      <c r="I56" s="9">
        <v>1</v>
      </c>
      <c r="J56" s="9">
        <v>0</v>
      </c>
      <c r="K56" s="9">
        <v>0</v>
      </c>
      <c r="L56" s="10">
        <v>0</v>
      </c>
    </row>
    <row r="57" spans="2:12" x14ac:dyDescent="0.3">
      <c r="B57" s="5">
        <v>12</v>
      </c>
      <c r="C57" s="6">
        <v>7</v>
      </c>
      <c r="D57" s="6">
        <v>1</v>
      </c>
      <c r="E57" s="6">
        <v>4</v>
      </c>
      <c r="F57" s="6">
        <v>3</v>
      </c>
      <c r="G57" s="6">
        <v>4</v>
      </c>
      <c r="H57" s="6">
        <v>0</v>
      </c>
      <c r="I57" s="6">
        <v>1</v>
      </c>
      <c r="J57" s="6">
        <v>1</v>
      </c>
      <c r="K57" s="6">
        <v>1</v>
      </c>
      <c r="L57" s="7">
        <v>0</v>
      </c>
    </row>
    <row r="58" spans="2:12" x14ac:dyDescent="0.3">
      <c r="B58" s="8">
        <v>16</v>
      </c>
      <c r="C58" s="9">
        <v>10</v>
      </c>
      <c r="D58" s="9">
        <v>5</v>
      </c>
      <c r="E58" s="9">
        <v>1</v>
      </c>
      <c r="F58" s="9">
        <v>9</v>
      </c>
      <c r="G58" s="9">
        <v>1</v>
      </c>
      <c r="H58" s="9">
        <v>0</v>
      </c>
      <c r="I58" s="9">
        <v>1</v>
      </c>
      <c r="J58" s="9">
        <v>0</v>
      </c>
      <c r="K58" s="9">
        <v>0</v>
      </c>
      <c r="L58" s="10">
        <v>0</v>
      </c>
    </row>
    <row r="59" spans="2:12" x14ac:dyDescent="0.3">
      <c r="B59" s="5">
        <v>17</v>
      </c>
      <c r="C59" s="6">
        <v>8</v>
      </c>
      <c r="D59" s="6">
        <v>3</v>
      </c>
      <c r="E59" s="6">
        <v>6</v>
      </c>
      <c r="F59" s="6">
        <v>2</v>
      </c>
      <c r="G59" s="6">
        <v>6</v>
      </c>
      <c r="H59" s="6">
        <v>0</v>
      </c>
      <c r="I59" s="6">
        <v>1</v>
      </c>
      <c r="J59" s="6">
        <v>0</v>
      </c>
      <c r="K59" s="6">
        <v>0</v>
      </c>
      <c r="L59" s="7">
        <v>0</v>
      </c>
    </row>
    <row r="60" spans="2:12" x14ac:dyDescent="0.3">
      <c r="B60" s="8">
        <v>21</v>
      </c>
      <c r="C60" s="9">
        <v>14</v>
      </c>
      <c r="D60" s="9">
        <v>6</v>
      </c>
      <c r="E60" s="9">
        <v>7</v>
      </c>
      <c r="F60" s="9">
        <v>7</v>
      </c>
      <c r="G60" s="9">
        <v>1</v>
      </c>
      <c r="H60" s="9">
        <v>0</v>
      </c>
      <c r="I60" s="9">
        <v>1</v>
      </c>
      <c r="J60" s="9">
        <v>0</v>
      </c>
      <c r="K60" s="9">
        <v>0</v>
      </c>
      <c r="L60" s="10">
        <v>0</v>
      </c>
    </row>
    <row r="61" spans="2:12" x14ac:dyDescent="0.3">
      <c r="B61" s="5">
        <v>14</v>
      </c>
      <c r="C61" s="6">
        <v>5</v>
      </c>
      <c r="D61" s="6">
        <v>3</v>
      </c>
      <c r="E61" s="6">
        <v>1</v>
      </c>
      <c r="F61" s="6">
        <v>4</v>
      </c>
      <c r="G61" s="6">
        <v>6</v>
      </c>
      <c r="H61" s="6">
        <v>0</v>
      </c>
      <c r="I61" s="6">
        <v>1</v>
      </c>
      <c r="J61" s="6">
        <v>0</v>
      </c>
      <c r="K61" s="6">
        <v>1</v>
      </c>
      <c r="L61" s="7">
        <v>0</v>
      </c>
    </row>
    <row r="62" spans="2:12" x14ac:dyDescent="0.3">
      <c r="B62" s="8">
        <v>19</v>
      </c>
      <c r="C62" s="9">
        <v>8</v>
      </c>
      <c r="D62" s="9">
        <v>8</v>
      </c>
      <c r="E62" s="9">
        <v>3</v>
      </c>
      <c r="F62" s="9">
        <v>5</v>
      </c>
      <c r="G62" s="9">
        <v>3</v>
      </c>
      <c r="H62" s="9">
        <v>0</v>
      </c>
      <c r="I62" s="9">
        <v>1</v>
      </c>
      <c r="J62" s="9">
        <v>0</v>
      </c>
      <c r="K62" s="9">
        <v>0</v>
      </c>
      <c r="L62" s="10">
        <v>0</v>
      </c>
    </row>
    <row r="63" spans="2:12" x14ac:dyDescent="0.3">
      <c r="B63" s="5">
        <v>13</v>
      </c>
      <c r="C63" s="6">
        <v>4</v>
      </c>
      <c r="D63" s="6">
        <v>5</v>
      </c>
      <c r="E63" s="6">
        <v>4</v>
      </c>
      <c r="F63" s="6">
        <v>0</v>
      </c>
      <c r="G63" s="6">
        <v>4</v>
      </c>
      <c r="H63" s="6">
        <v>0</v>
      </c>
      <c r="I63" s="6">
        <v>1</v>
      </c>
      <c r="J63" s="6">
        <v>1</v>
      </c>
      <c r="K63" s="6">
        <v>1</v>
      </c>
      <c r="L63" s="7">
        <v>0</v>
      </c>
    </row>
    <row r="64" spans="2:12" x14ac:dyDescent="0.3">
      <c r="B64" s="8">
        <v>9</v>
      </c>
      <c r="C64" s="9">
        <v>6</v>
      </c>
      <c r="D64" s="9">
        <v>0</v>
      </c>
      <c r="E64" s="9">
        <v>5</v>
      </c>
      <c r="F64" s="9">
        <v>1</v>
      </c>
      <c r="G64" s="9">
        <v>3</v>
      </c>
      <c r="H64" s="9">
        <v>1</v>
      </c>
      <c r="I64" s="9">
        <v>1</v>
      </c>
      <c r="J64" s="9">
        <v>1</v>
      </c>
      <c r="K64" s="9">
        <v>1</v>
      </c>
      <c r="L64" s="10">
        <v>0</v>
      </c>
    </row>
    <row r="65" spans="2:12" x14ac:dyDescent="0.3">
      <c r="B65" s="5">
        <v>14</v>
      </c>
      <c r="C65" s="6">
        <v>8</v>
      </c>
      <c r="D65" s="6">
        <v>3</v>
      </c>
      <c r="E65" s="6">
        <v>6</v>
      </c>
      <c r="F65" s="6">
        <v>2</v>
      </c>
      <c r="G65" s="6">
        <v>3</v>
      </c>
      <c r="H65" s="6">
        <v>1</v>
      </c>
      <c r="I65" s="6">
        <v>1</v>
      </c>
      <c r="J65" s="6">
        <v>1</v>
      </c>
      <c r="K65" s="6">
        <v>1</v>
      </c>
      <c r="L65" s="7">
        <v>0</v>
      </c>
    </row>
    <row r="66" spans="2:12" x14ac:dyDescent="0.3">
      <c r="B66" s="8">
        <v>14</v>
      </c>
      <c r="C66" s="9">
        <v>3</v>
      </c>
      <c r="D66" s="9">
        <v>9</v>
      </c>
      <c r="E66" s="9">
        <v>3</v>
      </c>
      <c r="F66" s="9">
        <v>0</v>
      </c>
      <c r="G66" s="9">
        <v>2</v>
      </c>
      <c r="H66" s="9">
        <v>1</v>
      </c>
      <c r="I66" s="9">
        <v>1</v>
      </c>
      <c r="J66" s="9">
        <v>0</v>
      </c>
      <c r="K66" s="9">
        <v>0</v>
      </c>
      <c r="L66" s="10">
        <v>0</v>
      </c>
    </row>
    <row r="67" spans="2:12" x14ac:dyDescent="0.3">
      <c r="B67" s="5">
        <v>11</v>
      </c>
      <c r="C67" s="6">
        <v>4</v>
      </c>
      <c r="D67" s="6">
        <v>5</v>
      </c>
      <c r="E67" s="6">
        <v>0</v>
      </c>
      <c r="F67" s="6">
        <v>4</v>
      </c>
      <c r="G67" s="6">
        <v>2</v>
      </c>
      <c r="H67" s="6">
        <v>0</v>
      </c>
      <c r="I67" s="6">
        <v>1</v>
      </c>
      <c r="J67" s="6">
        <v>0</v>
      </c>
      <c r="K67" s="6">
        <v>1</v>
      </c>
      <c r="L67" s="7">
        <v>0</v>
      </c>
    </row>
    <row r="68" spans="2:12" x14ac:dyDescent="0.3">
      <c r="B68" s="8">
        <v>7</v>
      </c>
      <c r="C68" s="9">
        <v>5</v>
      </c>
      <c r="D68" s="9">
        <v>2</v>
      </c>
      <c r="E68" s="9">
        <v>1</v>
      </c>
      <c r="F68" s="9">
        <v>4</v>
      </c>
      <c r="G68" s="9">
        <v>0</v>
      </c>
      <c r="H68" s="9">
        <v>1</v>
      </c>
      <c r="I68" s="9">
        <v>1</v>
      </c>
      <c r="J68" s="9">
        <v>1</v>
      </c>
      <c r="K68" s="9">
        <v>0</v>
      </c>
      <c r="L68" s="10">
        <v>0</v>
      </c>
    </row>
    <row r="69" spans="2:12" x14ac:dyDescent="0.3">
      <c r="B69" s="5">
        <v>14</v>
      </c>
      <c r="C69" s="6">
        <v>6</v>
      </c>
      <c r="D69" s="6">
        <v>7</v>
      </c>
      <c r="E69" s="6">
        <v>6</v>
      </c>
      <c r="F69" s="6">
        <v>0</v>
      </c>
      <c r="G69" s="6">
        <v>1</v>
      </c>
      <c r="H69" s="6">
        <v>0</v>
      </c>
      <c r="I69" s="6">
        <v>1</v>
      </c>
      <c r="J69" s="6">
        <v>1</v>
      </c>
      <c r="K69" s="6">
        <v>1</v>
      </c>
      <c r="L69" s="7">
        <v>0</v>
      </c>
    </row>
    <row r="70" spans="2:12" x14ac:dyDescent="0.3">
      <c r="B70" s="8">
        <v>11</v>
      </c>
      <c r="C70" s="9">
        <v>5</v>
      </c>
      <c r="D70" s="9">
        <v>2</v>
      </c>
      <c r="E70" s="9">
        <v>2</v>
      </c>
      <c r="F70" s="9">
        <v>3</v>
      </c>
      <c r="G70" s="9">
        <v>4</v>
      </c>
      <c r="H70" s="9">
        <v>0</v>
      </c>
      <c r="I70" s="9">
        <v>1</v>
      </c>
      <c r="J70" s="9">
        <v>1</v>
      </c>
      <c r="K70" s="9">
        <v>0</v>
      </c>
      <c r="L70" s="10">
        <v>0</v>
      </c>
    </row>
    <row r="71" spans="2:12" x14ac:dyDescent="0.3">
      <c r="B71" s="5">
        <v>13</v>
      </c>
      <c r="C71" s="6">
        <v>2</v>
      </c>
      <c r="D71" s="6">
        <v>7</v>
      </c>
      <c r="E71" s="6">
        <v>2</v>
      </c>
      <c r="F71" s="6">
        <v>0</v>
      </c>
      <c r="G71" s="6">
        <v>4</v>
      </c>
      <c r="H71" s="6">
        <v>1</v>
      </c>
      <c r="I71" s="6">
        <v>1</v>
      </c>
      <c r="J71" s="6">
        <v>0</v>
      </c>
      <c r="K71" s="6">
        <v>0</v>
      </c>
      <c r="L71" s="7">
        <v>0</v>
      </c>
    </row>
    <row r="72" spans="2:12" x14ac:dyDescent="0.3">
      <c r="B72" s="8">
        <v>14</v>
      </c>
      <c r="C72" s="9">
        <v>11</v>
      </c>
      <c r="D72" s="9">
        <v>1</v>
      </c>
      <c r="E72" s="9">
        <v>3</v>
      </c>
      <c r="F72" s="9">
        <v>8</v>
      </c>
      <c r="G72" s="9">
        <v>2</v>
      </c>
      <c r="H72" s="9">
        <v>0</v>
      </c>
      <c r="I72" s="9">
        <v>1</v>
      </c>
      <c r="J72" s="9">
        <v>1</v>
      </c>
      <c r="K72" s="9">
        <v>0</v>
      </c>
      <c r="L72" s="10">
        <v>0</v>
      </c>
    </row>
    <row r="73" spans="2:12" x14ac:dyDescent="0.3">
      <c r="B73" s="5">
        <v>10</v>
      </c>
      <c r="C73" s="6">
        <v>1</v>
      </c>
      <c r="D73" s="6">
        <v>6</v>
      </c>
      <c r="E73" s="6">
        <v>0</v>
      </c>
      <c r="F73" s="6">
        <v>1</v>
      </c>
      <c r="G73" s="6">
        <v>3</v>
      </c>
      <c r="H73" s="6">
        <v>1</v>
      </c>
      <c r="I73" s="6">
        <v>1</v>
      </c>
      <c r="J73" s="6">
        <v>0</v>
      </c>
      <c r="K73" s="6">
        <v>0</v>
      </c>
      <c r="L73" s="7">
        <v>0</v>
      </c>
    </row>
    <row r="74" spans="2:12" x14ac:dyDescent="0.3">
      <c r="B74" s="8">
        <v>16</v>
      </c>
      <c r="C74" s="9">
        <v>7</v>
      </c>
      <c r="D74" s="9">
        <v>7</v>
      </c>
      <c r="E74" s="9">
        <v>1</v>
      </c>
      <c r="F74" s="9">
        <v>6</v>
      </c>
      <c r="G74" s="9">
        <v>2</v>
      </c>
      <c r="H74" s="9">
        <v>0</v>
      </c>
      <c r="I74" s="9">
        <v>1</v>
      </c>
      <c r="J74" s="9">
        <v>0</v>
      </c>
      <c r="K74" s="9">
        <v>0</v>
      </c>
      <c r="L74" s="10">
        <v>0</v>
      </c>
    </row>
    <row r="75" spans="2:12" x14ac:dyDescent="0.3">
      <c r="B75" s="5">
        <v>6</v>
      </c>
      <c r="C75" s="6">
        <v>0</v>
      </c>
      <c r="D75" s="6">
        <v>6</v>
      </c>
      <c r="E75" s="6">
        <v>0</v>
      </c>
      <c r="F75" s="6">
        <v>0</v>
      </c>
      <c r="G75" s="6">
        <v>0</v>
      </c>
      <c r="H75" s="6">
        <v>1</v>
      </c>
      <c r="I75" s="6">
        <v>1</v>
      </c>
      <c r="J75" s="6">
        <v>0</v>
      </c>
      <c r="K75" s="6">
        <v>1</v>
      </c>
      <c r="L75" s="7">
        <v>0</v>
      </c>
    </row>
    <row r="76" spans="2:12" x14ac:dyDescent="0.3">
      <c r="B76" s="8">
        <v>13</v>
      </c>
      <c r="C76" s="9">
        <v>7</v>
      </c>
      <c r="D76" s="9">
        <v>5</v>
      </c>
      <c r="E76" s="9">
        <v>6</v>
      </c>
      <c r="F76" s="9">
        <v>1</v>
      </c>
      <c r="G76" s="9">
        <v>1</v>
      </c>
      <c r="H76" s="9">
        <v>1</v>
      </c>
      <c r="I76" s="9">
        <v>1</v>
      </c>
      <c r="J76" s="9">
        <v>0</v>
      </c>
      <c r="K76" s="9">
        <v>1</v>
      </c>
      <c r="L76" s="10">
        <v>0</v>
      </c>
    </row>
    <row r="77" spans="2:12" x14ac:dyDescent="0.3">
      <c r="B77" s="5">
        <v>6</v>
      </c>
      <c r="C77" s="6">
        <v>2</v>
      </c>
      <c r="D77" s="6">
        <v>0</v>
      </c>
      <c r="E77" s="6">
        <v>0</v>
      </c>
      <c r="F77" s="6">
        <v>2</v>
      </c>
      <c r="G77" s="6">
        <v>4</v>
      </c>
      <c r="H77" s="6">
        <v>0</v>
      </c>
      <c r="I77" s="6">
        <v>1</v>
      </c>
      <c r="J77" s="6">
        <v>0</v>
      </c>
      <c r="K77" s="6">
        <v>1</v>
      </c>
      <c r="L77" s="7">
        <v>0</v>
      </c>
    </row>
    <row r="78" spans="2:12" x14ac:dyDescent="0.3">
      <c r="B78" s="8">
        <v>8</v>
      </c>
      <c r="C78" s="9">
        <v>3</v>
      </c>
      <c r="D78" s="9">
        <v>4</v>
      </c>
      <c r="E78" s="9">
        <v>0</v>
      </c>
      <c r="F78" s="9">
        <v>3</v>
      </c>
      <c r="G78" s="9">
        <v>1</v>
      </c>
      <c r="H78" s="9">
        <v>1</v>
      </c>
      <c r="I78" s="9">
        <v>1</v>
      </c>
      <c r="J78" s="9">
        <v>1</v>
      </c>
      <c r="K78" s="9">
        <v>1</v>
      </c>
      <c r="L78" s="10">
        <v>0</v>
      </c>
    </row>
    <row r="79" spans="2:12" x14ac:dyDescent="0.3">
      <c r="B79" s="5">
        <v>25</v>
      </c>
      <c r="C79" s="6">
        <v>12</v>
      </c>
      <c r="D79" s="6">
        <v>8</v>
      </c>
      <c r="E79" s="6">
        <v>8</v>
      </c>
      <c r="F79" s="6">
        <v>4</v>
      </c>
      <c r="G79" s="6">
        <v>5</v>
      </c>
      <c r="H79" s="6">
        <v>0</v>
      </c>
      <c r="I79" s="6">
        <v>1</v>
      </c>
      <c r="J79" s="6">
        <v>0</v>
      </c>
      <c r="K79" s="6">
        <v>0</v>
      </c>
      <c r="L79" s="7">
        <v>0</v>
      </c>
    </row>
    <row r="80" spans="2:12" x14ac:dyDescent="0.3">
      <c r="B80" s="8">
        <v>11</v>
      </c>
      <c r="C80" s="9">
        <v>6</v>
      </c>
      <c r="D80" s="9">
        <v>5</v>
      </c>
      <c r="E80" s="9">
        <v>6</v>
      </c>
      <c r="F80" s="9">
        <v>0</v>
      </c>
      <c r="G80" s="9">
        <v>0</v>
      </c>
      <c r="H80" s="9">
        <v>1</v>
      </c>
      <c r="I80" s="9">
        <v>1</v>
      </c>
      <c r="J80" s="9">
        <v>1</v>
      </c>
      <c r="K80" s="9">
        <v>0</v>
      </c>
      <c r="L80" s="10">
        <v>0</v>
      </c>
    </row>
    <row r="81" spans="2:12" x14ac:dyDescent="0.3">
      <c r="B81" s="5">
        <v>14</v>
      </c>
      <c r="C81" s="6">
        <v>2</v>
      </c>
      <c r="D81" s="6">
        <v>6</v>
      </c>
      <c r="E81" s="6">
        <v>1</v>
      </c>
      <c r="F81" s="6">
        <v>1</v>
      </c>
      <c r="G81" s="6">
        <v>6</v>
      </c>
      <c r="H81" s="6">
        <v>1</v>
      </c>
      <c r="I81" s="6">
        <v>1</v>
      </c>
      <c r="J81" s="6">
        <v>0</v>
      </c>
      <c r="K81" s="6">
        <v>0</v>
      </c>
      <c r="L81" s="7">
        <v>0</v>
      </c>
    </row>
    <row r="82" spans="2:12" x14ac:dyDescent="0.3">
      <c r="B82" s="8">
        <v>13</v>
      </c>
      <c r="C82" s="9">
        <v>10</v>
      </c>
      <c r="D82" s="9">
        <v>2</v>
      </c>
      <c r="E82" s="9">
        <v>0</v>
      </c>
      <c r="F82" s="9">
        <v>10</v>
      </c>
      <c r="G82" s="9">
        <v>1</v>
      </c>
      <c r="H82" s="9">
        <v>0</v>
      </c>
      <c r="I82" s="9">
        <v>1</v>
      </c>
      <c r="J82" s="9">
        <v>1</v>
      </c>
      <c r="K82" s="9">
        <v>0</v>
      </c>
      <c r="L82" s="10">
        <v>0</v>
      </c>
    </row>
    <row r="83" spans="2:12" x14ac:dyDescent="0.3">
      <c r="B83" s="5">
        <v>19</v>
      </c>
      <c r="C83" s="6">
        <v>8</v>
      </c>
      <c r="D83" s="6">
        <v>8</v>
      </c>
      <c r="E83" s="6">
        <v>2</v>
      </c>
      <c r="F83" s="6">
        <v>6</v>
      </c>
      <c r="G83" s="6">
        <v>3</v>
      </c>
      <c r="H83" s="6">
        <v>0</v>
      </c>
      <c r="I83" s="6">
        <v>1</v>
      </c>
      <c r="J83" s="6">
        <v>0</v>
      </c>
      <c r="K83" s="6">
        <v>0</v>
      </c>
      <c r="L83" s="7">
        <v>0</v>
      </c>
    </row>
    <row r="84" spans="2:12" x14ac:dyDescent="0.3">
      <c r="B84" s="8">
        <v>12</v>
      </c>
      <c r="C84" s="9">
        <v>9</v>
      </c>
      <c r="D84" s="9">
        <v>1</v>
      </c>
      <c r="E84" s="9">
        <v>4</v>
      </c>
      <c r="F84" s="9">
        <v>5</v>
      </c>
      <c r="G84" s="9">
        <v>2</v>
      </c>
      <c r="H84" s="9">
        <v>1</v>
      </c>
      <c r="I84" s="9">
        <v>1</v>
      </c>
      <c r="J84" s="9">
        <v>0</v>
      </c>
      <c r="K84" s="9">
        <v>0</v>
      </c>
      <c r="L84" s="10">
        <v>0</v>
      </c>
    </row>
    <row r="85" spans="2:12" x14ac:dyDescent="0.3">
      <c r="B85" s="5">
        <v>5</v>
      </c>
      <c r="C85" s="6">
        <v>2</v>
      </c>
      <c r="D85" s="6">
        <v>2</v>
      </c>
      <c r="E85" s="6">
        <v>0</v>
      </c>
      <c r="F85" s="6">
        <v>2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7">
        <v>0</v>
      </c>
    </row>
    <row r="86" spans="2:12" x14ac:dyDescent="0.3">
      <c r="B86" s="8">
        <v>12</v>
      </c>
      <c r="C86" s="9">
        <v>3</v>
      </c>
      <c r="D86" s="9">
        <v>4</v>
      </c>
      <c r="E86" s="9">
        <v>0</v>
      </c>
      <c r="F86" s="9">
        <v>3</v>
      </c>
      <c r="G86" s="9">
        <v>5</v>
      </c>
      <c r="H86" s="9">
        <v>0</v>
      </c>
      <c r="I86" s="9">
        <v>1</v>
      </c>
      <c r="J86" s="9">
        <v>0</v>
      </c>
      <c r="K86" s="9">
        <v>1</v>
      </c>
      <c r="L86" s="10">
        <v>0</v>
      </c>
    </row>
    <row r="87" spans="2:12" x14ac:dyDescent="0.3">
      <c r="B87" s="5">
        <v>12</v>
      </c>
      <c r="C87" s="6">
        <v>10</v>
      </c>
      <c r="D87" s="6">
        <v>0</v>
      </c>
      <c r="E87" s="6">
        <v>8</v>
      </c>
      <c r="F87" s="6">
        <v>2</v>
      </c>
      <c r="G87" s="6">
        <v>2</v>
      </c>
      <c r="H87" s="6">
        <v>0</v>
      </c>
      <c r="I87" s="6">
        <v>1</v>
      </c>
      <c r="J87" s="6">
        <v>1</v>
      </c>
      <c r="K87" s="6">
        <v>0</v>
      </c>
      <c r="L87" s="7">
        <v>0</v>
      </c>
    </row>
    <row r="88" spans="2:12" x14ac:dyDescent="0.3">
      <c r="B88" s="8">
        <v>20</v>
      </c>
      <c r="C88" s="9">
        <v>17</v>
      </c>
      <c r="D88" s="9">
        <v>2</v>
      </c>
      <c r="E88" s="9">
        <v>8</v>
      </c>
      <c r="F88" s="9">
        <v>9</v>
      </c>
      <c r="G88" s="9">
        <v>1</v>
      </c>
      <c r="H88" s="9">
        <v>0</v>
      </c>
      <c r="I88" s="9">
        <v>1</v>
      </c>
      <c r="J88" s="9">
        <v>0</v>
      </c>
      <c r="K88" s="9">
        <v>0</v>
      </c>
      <c r="L88" s="10">
        <v>0</v>
      </c>
    </row>
    <row r="89" spans="2:12" x14ac:dyDescent="0.3">
      <c r="B89" s="5">
        <v>14</v>
      </c>
      <c r="C89" s="6">
        <v>10</v>
      </c>
      <c r="D89" s="6">
        <v>2</v>
      </c>
      <c r="E89" s="6">
        <v>10</v>
      </c>
      <c r="F89" s="6">
        <v>0</v>
      </c>
      <c r="G89" s="6">
        <v>2</v>
      </c>
      <c r="H89" s="6">
        <v>0</v>
      </c>
      <c r="I89" s="6">
        <v>1</v>
      </c>
      <c r="J89" s="6">
        <v>1</v>
      </c>
      <c r="K89" s="6">
        <v>1</v>
      </c>
      <c r="L89" s="7">
        <v>0</v>
      </c>
    </row>
    <row r="90" spans="2:12" x14ac:dyDescent="0.3">
      <c r="B90" s="8">
        <v>12</v>
      </c>
      <c r="C90" s="9">
        <v>10</v>
      </c>
      <c r="D90" s="9">
        <v>1</v>
      </c>
      <c r="E90" s="9">
        <v>3</v>
      </c>
      <c r="F90" s="9">
        <v>7</v>
      </c>
      <c r="G90" s="9">
        <v>1</v>
      </c>
      <c r="H90" s="9">
        <v>0</v>
      </c>
      <c r="I90" s="9">
        <v>1</v>
      </c>
      <c r="J90" s="9">
        <v>0</v>
      </c>
      <c r="K90" s="9">
        <v>0</v>
      </c>
      <c r="L90" s="10">
        <v>0</v>
      </c>
    </row>
    <row r="91" spans="2:12" x14ac:dyDescent="0.3">
      <c r="B91" s="5">
        <v>14</v>
      </c>
      <c r="C91" s="6">
        <v>8</v>
      </c>
      <c r="D91" s="6">
        <v>1</v>
      </c>
      <c r="E91" s="6">
        <v>5</v>
      </c>
      <c r="F91" s="6">
        <v>3</v>
      </c>
      <c r="G91" s="6">
        <v>5</v>
      </c>
      <c r="H91" s="6">
        <v>0</v>
      </c>
      <c r="I91" s="6">
        <v>1</v>
      </c>
      <c r="J91" s="6">
        <v>1</v>
      </c>
      <c r="K91" s="6">
        <v>1</v>
      </c>
      <c r="L91" s="7">
        <v>0</v>
      </c>
    </row>
    <row r="92" spans="2:12" x14ac:dyDescent="0.3">
      <c r="B92" s="8">
        <v>14</v>
      </c>
      <c r="C92" s="9">
        <v>7</v>
      </c>
      <c r="D92" s="9">
        <v>4</v>
      </c>
      <c r="E92" s="9">
        <v>5</v>
      </c>
      <c r="F92" s="9">
        <v>2</v>
      </c>
      <c r="G92" s="9">
        <v>3</v>
      </c>
      <c r="H92" s="9">
        <v>1</v>
      </c>
      <c r="I92" s="9">
        <v>1</v>
      </c>
      <c r="J92" s="9">
        <v>0</v>
      </c>
      <c r="K92" s="9">
        <v>0</v>
      </c>
      <c r="L92" s="10">
        <v>0</v>
      </c>
    </row>
    <row r="93" spans="2:12" x14ac:dyDescent="0.3">
      <c r="B93" s="5">
        <v>11</v>
      </c>
      <c r="C93" s="6">
        <v>10</v>
      </c>
      <c r="D93" s="6">
        <v>0</v>
      </c>
      <c r="E93" s="6">
        <v>4</v>
      </c>
      <c r="F93" s="6">
        <v>6</v>
      </c>
      <c r="G93" s="6">
        <v>1</v>
      </c>
      <c r="H93" s="6">
        <v>0</v>
      </c>
      <c r="I93" s="6">
        <v>1</v>
      </c>
      <c r="J93" s="6">
        <v>0</v>
      </c>
      <c r="K93" s="6">
        <v>0</v>
      </c>
      <c r="L93" s="7">
        <v>0</v>
      </c>
    </row>
    <row r="94" spans="2:12" x14ac:dyDescent="0.3">
      <c r="B94" s="8">
        <v>13</v>
      </c>
      <c r="C94" s="9">
        <v>12</v>
      </c>
      <c r="D94" s="9">
        <v>0</v>
      </c>
      <c r="E94" s="9">
        <v>3</v>
      </c>
      <c r="F94" s="9">
        <v>9</v>
      </c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10">
        <v>0</v>
      </c>
    </row>
    <row r="95" spans="2:12" x14ac:dyDescent="0.3">
      <c r="B95" s="5">
        <v>13</v>
      </c>
      <c r="C95" s="6">
        <v>10</v>
      </c>
      <c r="D95" s="6">
        <v>0</v>
      </c>
      <c r="E95" s="6">
        <v>5</v>
      </c>
      <c r="F95" s="6">
        <v>5</v>
      </c>
      <c r="G95" s="6">
        <v>3</v>
      </c>
      <c r="H95" s="6">
        <v>1</v>
      </c>
      <c r="I95" s="6">
        <v>1</v>
      </c>
      <c r="J95" s="6">
        <v>0</v>
      </c>
      <c r="K95" s="6">
        <v>1</v>
      </c>
      <c r="L95" s="7">
        <v>0</v>
      </c>
    </row>
    <row r="96" spans="2:12" x14ac:dyDescent="0.3">
      <c r="B96" s="8">
        <v>14</v>
      </c>
      <c r="C96" s="9">
        <v>9</v>
      </c>
      <c r="D96" s="9">
        <v>0</v>
      </c>
      <c r="E96" s="9">
        <v>4</v>
      </c>
      <c r="F96" s="9">
        <v>5</v>
      </c>
      <c r="G96" s="9">
        <v>5</v>
      </c>
      <c r="H96" s="9">
        <v>1</v>
      </c>
      <c r="I96" s="9">
        <v>1</v>
      </c>
      <c r="J96" s="9">
        <v>0</v>
      </c>
      <c r="K96" s="9">
        <v>0</v>
      </c>
      <c r="L96" s="10">
        <v>0</v>
      </c>
    </row>
    <row r="97" spans="2:12" x14ac:dyDescent="0.3">
      <c r="B97" s="5">
        <v>14</v>
      </c>
      <c r="C97" s="6">
        <v>7</v>
      </c>
      <c r="D97" s="6">
        <v>4</v>
      </c>
      <c r="E97" s="6">
        <v>1</v>
      </c>
      <c r="F97" s="6">
        <v>6</v>
      </c>
      <c r="G97" s="6">
        <v>3</v>
      </c>
      <c r="H97" s="6">
        <v>1</v>
      </c>
      <c r="I97" s="6">
        <v>1</v>
      </c>
      <c r="J97" s="6">
        <v>1</v>
      </c>
      <c r="K97" s="6">
        <v>0</v>
      </c>
      <c r="L97" s="7">
        <v>0</v>
      </c>
    </row>
    <row r="98" spans="2:12" x14ac:dyDescent="0.3">
      <c r="B98" s="8">
        <v>7</v>
      </c>
      <c r="C98" s="9">
        <v>2</v>
      </c>
      <c r="D98" s="9">
        <v>4</v>
      </c>
      <c r="E98" s="9">
        <v>1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0</v>
      </c>
      <c r="L98" s="10">
        <v>0</v>
      </c>
    </row>
    <row r="99" spans="2:12" x14ac:dyDescent="0.3">
      <c r="B99" s="5">
        <v>11</v>
      </c>
      <c r="C99" s="6">
        <v>5</v>
      </c>
      <c r="D99" s="6">
        <v>0</v>
      </c>
      <c r="E99" s="6">
        <v>3</v>
      </c>
      <c r="F99" s="6">
        <v>2</v>
      </c>
      <c r="G99" s="6">
        <v>6</v>
      </c>
      <c r="H99" s="6">
        <v>0</v>
      </c>
      <c r="I99" s="6">
        <v>1</v>
      </c>
      <c r="J99" s="6">
        <v>0</v>
      </c>
      <c r="K99" s="6">
        <v>0</v>
      </c>
      <c r="L99" s="7">
        <v>0</v>
      </c>
    </row>
    <row r="100" spans="2:12" x14ac:dyDescent="0.3">
      <c r="B100" s="8">
        <v>14</v>
      </c>
      <c r="C100" s="9">
        <v>5</v>
      </c>
      <c r="D100" s="9">
        <v>3</v>
      </c>
      <c r="E100" s="9">
        <v>2</v>
      </c>
      <c r="F100" s="9">
        <v>3</v>
      </c>
      <c r="G100" s="9">
        <v>6</v>
      </c>
      <c r="H100" s="9">
        <v>1</v>
      </c>
      <c r="I100" s="9">
        <v>1</v>
      </c>
      <c r="J100" s="9">
        <v>1</v>
      </c>
      <c r="K100" s="9">
        <v>0</v>
      </c>
      <c r="L100" s="10">
        <v>0</v>
      </c>
    </row>
    <row r="101" spans="2:12" x14ac:dyDescent="0.3">
      <c r="B101" s="5">
        <v>13</v>
      </c>
      <c r="C101" s="6">
        <v>11</v>
      </c>
      <c r="D101" s="6">
        <v>1</v>
      </c>
      <c r="E101" s="6">
        <v>8</v>
      </c>
      <c r="F101" s="6">
        <v>3</v>
      </c>
      <c r="G101" s="6">
        <v>1</v>
      </c>
      <c r="H101" s="6">
        <v>1</v>
      </c>
      <c r="I101" s="6">
        <v>1</v>
      </c>
      <c r="J101" s="6">
        <v>0</v>
      </c>
      <c r="K101" s="6">
        <v>1</v>
      </c>
      <c r="L101" s="7">
        <v>0</v>
      </c>
    </row>
    <row r="102" spans="2:12" x14ac:dyDescent="0.3">
      <c r="B102" s="8">
        <v>13</v>
      </c>
      <c r="C102" s="9">
        <v>6</v>
      </c>
      <c r="D102" s="9">
        <v>2</v>
      </c>
      <c r="E102" s="9">
        <v>1</v>
      </c>
      <c r="F102" s="9">
        <v>5</v>
      </c>
      <c r="G102" s="9">
        <v>5</v>
      </c>
      <c r="H102" s="9">
        <v>0</v>
      </c>
      <c r="I102" s="9">
        <v>1</v>
      </c>
      <c r="J102" s="9">
        <v>1</v>
      </c>
      <c r="K102" s="9">
        <v>1</v>
      </c>
      <c r="L102" s="10">
        <v>0</v>
      </c>
    </row>
    <row r="103" spans="2:12" x14ac:dyDescent="0.3">
      <c r="B103" s="5">
        <v>12</v>
      </c>
      <c r="C103" s="6">
        <v>11</v>
      </c>
      <c r="D103" s="6">
        <v>1</v>
      </c>
      <c r="E103" s="6">
        <v>9</v>
      </c>
      <c r="F103" s="6">
        <v>2</v>
      </c>
      <c r="G103" s="6">
        <v>0</v>
      </c>
      <c r="H103" s="6">
        <v>1</v>
      </c>
      <c r="I103" s="6">
        <v>1</v>
      </c>
      <c r="J103" s="6">
        <v>0</v>
      </c>
      <c r="K103" s="6">
        <v>0</v>
      </c>
      <c r="L103" s="7">
        <v>0</v>
      </c>
    </row>
    <row r="104" spans="2:12" x14ac:dyDescent="0.3">
      <c r="B104" s="8">
        <v>17</v>
      </c>
      <c r="C104" s="9">
        <v>8</v>
      </c>
      <c r="D104" s="9">
        <v>8</v>
      </c>
      <c r="E104" s="9">
        <v>1</v>
      </c>
      <c r="F104" s="9">
        <v>7</v>
      </c>
      <c r="G104" s="9">
        <v>1</v>
      </c>
      <c r="H104" s="9">
        <v>0</v>
      </c>
      <c r="I104" s="9">
        <v>1</v>
      </c>
      <c r="J104" s="9">
        <v>0</v>
      </c>
      <c r="K104" s="9">
        <v>0</v>
      </c>
      <c r="L104" s="10">
        <v>0</v>
      </c>
    </row>
    <row r="105" spans="2:12" x14ac:dyDescent="0.3">
      <c r="B105" s="5">
        <v>9</v>
      </c>
      <c r="C105" s="6">
        <v>4</v>
      </c>
      <c r="D105" s="6">
        <v>2</v>
      </c>
      <c r="E105" s="6">
        <v>0</v>
      </c>
      <c r="F105" s="6">
        <v>4</v>
      </c>
      <c r="G105" s="6">
        <v>3</v>
      </c>
      <c r="H105" s="6">
        <v>0</v>
      </c>
      <c r="I105" s="6">
        <v>1</v>
      </c>
      <c r="J105" s="6">
        <v>0</v>
      </c>
      <c r="K105" s="6">
        <v>1</v>
      </c>
      <c r="L105" s="7">
        <v>0</v>
      </c>
    </row>
    <row r="106" spans="2:12" x14ac:dyDescent="0.3">
      <c r="B106" s="8">
        <v>13</v>
      </c>
      <c r="C106" s="9">
        <v>6</v>
      </c>
      <c r="D106" s="9">
        <v>7</v>
      </c>
      <c r="E106" s="9">
        <v>4</v>
      </c>
      <c r="F106" s="9">
        <v>2</v>
      </c>
      <c r="G106" s="9">
        <v>0</v>
      </c>
      <c r="H106" s="9">
        <v>1</v>
      </c>
      <c r="I106" s="9">
        <v>1</v>
      </c>
      <c r="J106" s="9">
        <v>1</v>
      </c>
      <c r="K106" s="9">
        <v>1</v>
      </c>
      <c r="L106" s="10">
        <v>0</v>
      </c>
    </row>
    <row r="107" spans="2:12" x14ac:dyDescent="0.3">
      <c r="B107" s="5">
        <v>13</v>
      </c>
      <c r="C107" s="6">
        <v>12</v>
      </c>
      <c r="D107" s="6">
        <v>1</v>
      </c>
      <c r="E107" s="6">
        <v>3</v>
      </c>
      <c r="F107" s="6">
        <v>9</v>
      </c>
      <c r="G107" s="6">
        <v>0</v>
      </c>
      <c r="H107" s="6">
        <v>0</v>
      </c>
      <c r="I107" s="6">
        <v>1</v>
      </c>
      <c r="J107" s="6">
        <v>1</v>
      </c>
      <c r="K107" s="6">
        <v>1</v>
      </c>
      <c r="L107" s="7">
        <v>0</v>
      </c>
    </row>
    <row r="108" spans="2:12" x14ac:dyDescent="0.3">
      <c r="B108" s="8">
        <v>14</v>
      </c>
      <c r="C108" s="9">
        <v>2</v>
      </c>
      <c r="D108" s="9">
        <v>7</v>
      </c>
      <c r="E108" s="9">
        <v>1</v>
      </c>
      <c r="F108" s="9">
        <v>1</v>
      </c>
      <c r="G108" s="9">
        <v>5</v>
      </c>
      <c r="H108" s="9">
        <v>0</v>
      </c>
      <c r="I108" s="9">
        <v>1</v>
      </c>
      <c r="J108" s="9">
        <v>1</v>
      </c>
      <c r="K108" s="9">
        <v>1</v>
      </c>
      <c r="L108" s="10">
        <v>0</v>
      </c>
    </row>
    <row r="109" spans="2:12" x14ac:dyDescent="0.3">
      <c r="B109" s="5">
        <v>13</v>
      </c>
      <c r="C109" s="6">
        <v>0</v>
      </c>
      <c r="D109" s="6">
        <v>7</v>
      </c>
      <c r="E109" s="6">
        <v>0</v>
      </c>
      <c r="F109" s="6">
        <v>0</v>
      </c>
      <c r="G109" s="6">
        <v>6</v>
      </c>
      <c r="H109" s="6">
        <v>1</v>
      </c>
      <c r="I109" s="6">
        <v>1</v>
      </c>
      <c r="J109" s="6">
        <v>1</v>
      </c>
      <c r="K109" s="6">
        <v>0</v>
      </c>
      <c r="L109" s="7">
        <v>0</v>
      </c>
    </row>
    <row r="110" spans="2:12" x14ac:dyDescent="0.3">
      <c r="B110" s="8">
        <v>12</v>
      </c>
      <c r="C110" s="9">
        <v>4</v>
      </c>
      <c r="D110" s="9">
        <v>8</v>
      </c>
      <c r="E110" s="9">
        <v>0</v>
      </c>
      <c r="F110" s="9">
        <v>4</v>
      </c>
      <c r="G110" s="9">
        <v>0</v>
      </c>
      <c r="H110" s="9">
        <v>0</v>
      </c>
      <c r="I110" s="9">
        <v>1</v>
      </c>
      <c r="J110" s="9">
        <v>0</v>
      </c>
      <c r="K110" s="9">
        <v>1</v>
      </c>
      <c r="L110" s="10">
        <v>0</v>
      </c>
    </row>
    <row r="111" spans="2:12" x14ac:dyDescent="0.3">
      <c r="B111" s="5">
        <v>16</v>
      </c>
      <c r="C111" s="6">
        <v>12</v>
      </c>
      <c r="D111" s="6">
        <v>2</v>
      </c>
      <c r="E111" s="6">
        <v>2</v>
      </c>
      <c r="F111" s="6">
        <v>10</v>
      </c>
      <c r="G111" s="6">
        <v>2</v>
      </c>
      <c r="H111" s="6">
        <v>0</v>
      </c>
      <c r="I111" s="6">
        <v>1</v>
      </c>
      <c r="J111" s="6">
        <v>0</v>
      </c>
      <c r="K111" s="6">
        <v>0</v>
      </c>
      <c r="L111" s="7">
        <v>0</v>
      </c>
    </row>
    <row r="112" spans="2:12" x14ac:dyDescent="0.3">
      <c r="B112" s="8">
        <v>8</v>
      </c>
      <c r="C112" s="9">
        <v>3</v>
      </c>
      <c r="D112" s="9">
        <v>4</v>
      </c>
      <c r="E112" s="9">
        <v>3</v>
      </c>
      <c r="F112" s="9">
        <v>0</v>
      </c>
      <c r="G112" s="9">
        <v>1</v>
      </c>
      <c r="H112" s="9">
        <v>0</v>
      </c>
      <c r="I112" s="9">
        <v>1</v>
      </c>
      <c r="J112" s="9">
        <v>1</v>
      </c>
      <c r="K112" s="9">
        <v>1</v>
      </c>
      <c r="L112" s="10">
        <v>0</v>
      </c>
    </row>
    <row r="113" spans="2:12" x14ac:dyDescent="0.3">
      <c r="B113" s="5">
        <v>9</v>
      </c>
      <c r="C113" s="6">
        <v>4</v>
      </c>
      <c r="D113" s="6">
        <v>4</v>
      </c>
      <c r="E113" s="6">
        <v>0</v>
      </c>
      <c r="F113" s="6">
        <v>4</v>
      </c>
      <c r="G113" s="6">
        <v>1</v>
      </c>
      <c r="H113" s="6">
        <v>1</v>
      </c>
      <c r="I113" s="6">
        <v>1</v>
      </c>
      <c r="J113" s="6">
        <v>1</v>
      </c>
      <c r="K113" s="6">
        <v>1</v>
      </c>
      <c r="L113" s="7">
        <v>0</v>
      </c>
    </row>
    <row r="114" spans="2:12" x14ac:dyDescent="0.3">
      <c r="B114" s="8">
        <v>12</v>
      </c>
      <c r="C114" s="9">
        <v>6</v>
      </c>
      <c r="D114" s="9">
        <v>3</v>
      </c>
      <c r="E114" s="9">
        <v>3</v>
      </c>
      <c r="F114" s="9">
        <v>3</v>
      </c>
      <c r="G114" s="9">
        <v>3</v>
      </c>
      <c r="H114" s="9">
        <v>1</v>
      </c>
      <c r="I114" s="9">
        <v>1</v>
      </c>
      <c r="J114" s="9">
        <v>1</v>
      </c>
      <c r="K114" s="9">
        <v>0</v>
      </c>
      <c r="L114" s="10">
        <v>0</v>
      </c>
    </row>
    <row r="115" spans="2:12" x14ac:dyDescent="0.3">
      <c r="B115" s="5">
        <v>11</v>
      </c>
      <c r="C115" s="6">
        <v>5</v>
      </c>
      <c r="D115" s="6">
        <v>4</v>
      </c>
      <c r="E115" s="6">
        <v>5</v>
      </c>
      <c r="F115" s="6">
        <v>0</v>
      </c>
      <c r="G115" s="6">
        <v>2</v>
      </c>
      <c r="H115" s="6">
        <v>0</v>
      </c>
      <c r="I115" s="6">
        <v>1</v>
      </c>
      <c r="J115" s="6">
        <v>1</v>
      </c>
      <c r="K115" s="6">
        <v>0</v>
      </c>
      <c r="L115" s="7">
        <v>0</v>
      </c>
    </row>
    <row r="116" spans="2:12" x14ac:dyDescent="0.3">
      <c r="B116" s="8">
        <v>8</v>
      </c>
      <c r="C116" s="9">
        <v>6</v>
      </c>
      <c r="D116" s="9">
        <v>1</v>
      </c>
      <c r="E116" s="9">
        <v>6</v>
      </c>
      <c r="F116" s="9">
        <v>0</v>
      </c>
      <c r="G116" s="9">
        <v>1</v>
      </c>
      <c r="H116" s="9">
        <v>1</v>
      </c>
      <c r="I116" s="9">
        <v>1</v>
      </c>
      <c r="J116" s="9">
        <v>0</v>
      </c>
      <c r="K116" s="9">
        <v>1</v>
      </c>
      <c r="L116" s="10">
        <v>0</v>
      </c>
    </row>
    <row r="117" spans="2:12" x14ac:dyDescent="0.3">
      <c r="B117" s="5">
        <v>21</v>
      </c>
      <c r="C117" s="6">
        <v>9</v>
      </c>
      <c r="D117" s="6">
        <v>6</v>
      </c>
      <c r="E117" s="6">
        <v>4</v>
      </c>
      <c r="F117" s="6">
        <v>5</v>
      </c>
      <c r="G117" s="6">
        <v>6</v>
      </c>
      <c r="H117" s="6">
        <v>0</v>
      </c>
      <c r="I117" s="6">
        <v>1</v>
      </c>
      <c r="J117" s="6">
        <v>0</v>
      </c>
      <c r="K117" s="6">
        <v>0</v>
      </c>
      <c r="L117" s="7">
        <v>0</v>
      </c>
    </row>
    <row r="118" spans="2:12" x14ac:dyDescent="0.3">
      <c r="B118" s="8">
        <v>12</v>
      </c>
      <c r="C118" s="9">
        <v>10</v>
      </c>
      <c r="D118" s="9">
        <v>2</v>
      </c>
      <c r="E118" s="9">
        <v>7</v>
      </c>
      <c r="F118" s="9">
        <v>3</v>
      </c>
      <c r="G118" s="9">
        <v>0</v>
      </c>
      <c r="H118" s="9">
        <v>0</v>
      </c>
      <c r="I118" s="9">
        <v>1</v>
      </c>
      <c r="J118" s="9">
        <v>1</v>
      </c>
      <c r="K118" s="9">
        <v>0</v>
      </c>
      <c r="L118" s="10">
        <v>0</v>
      </c>
    </row>
    <row r="119" spans="2:12" x14ac:dyDescent="0.3">
      <c r="B119" s="5">
        <v>14</v>
      </c>
      <c r="C119" s="6">
        <v>9</v>
      </c>
      <c r="D119" s="6">
        <v>5</v>
      </c>
      <c r="E119" s="6">
        <v>1</v>
      </c>
      <c r="F119" s="6">
        <v>8</v>
      </c>
      <c r="G119" s="6">
        <v>0</v>
      </c>
      <c r="H119" s="6">
        <v>1</v>
      </c>
      <c r="I119" s="6">
        <v>1</v>
      </c>
      <c r="J119" s="6">
        <v>0</v>
      </c>
      <c r="K119" s="6">
        <v>0</v>
      </c>
      <c r="L119" s="7">
        <v>0</v>
      </c>
    </row>
    <row r="120" spans="2:12" x14ac:dyDescent="0.3">
      <c r="B120" s="8">
        <v>9</v>
      </c>
      <c r="C120" s="9">
        <v>3</v>
      </c>
      <c r="D120" s="9">
        <v>5</v>
      </c>
      <c r="E120" s="9">
        <v>1</v>
      </c>
      <c r="F120" s="9">
        <v>2</v>
      </c>
      <c r="G120" s="9">
        <v>1</v>
      </c>
      <c r="H120" s="9">
        <v>1</v>
      </c>
      <c r="I120" s="9">
        <v>1</v>
      </c>
      <c r="J120" s="9">
        <v>0</v>
      </c>
      <c r="K120" s="9">
        <v>1</v>
      </c>
      <c r="L120" s="10">
        <v>0</v>
      </c>
    </row>
    <row r="121" spans="2:12" x14ac:dyDescent="0.3">
      <c r="B121" s="5">
        <v>14</v>
      </c>
      <c r="C121" s="6">
        <v>5</v>
      </c>
      <c r="D121" s="6">
        <v>5</v>
      </c>
      <c r="E121" s="6">
        <v>0</v>
      </c>
      <c r="F121" s="6">
        <v>5</v>
      </c>
      <c r="G121" s="6">
        <v>4</v>
      </c>
      <c r="H121" s="6">
        <v>0</v>
      </c>
      <c r="I121" s="6">
        <v>1</v>
      </c>
      <c r="J121" s="6">
        <v>1</v>
      </c>
      <c r="K121" s="6">
        <v>1</v>
      </c>
      <c r="L121" s="7">
        <v>0</v>
      </c>
    </row>
    <row r="122" spans="2:12" x14ac:dyDescent="0.3">
      <c r="B122" s="8">
        <v>14</v>
      </c>
      <c r="C122" s="9">
        <v>2</v>
      </c>
      <c r="D122" s="9">
        <v>7</v>
      </c>
      <c r="E122" s="9">
        <v>0</v>
      </c>
      <c r="F122" s="9">
        <v>2</v>
      </c>
      <c r="G122" s="9">
        <v>5</v>
      </c>
      <c r="H122" s="9">
        <v>0</v>
      </c>
      <c r="I122" s="9">
        <v>1</v>
      </c>
      <c r="J122" s="9">
        <v>0</v>
      </c>
      <c r="K122" s="9">
        <v>0</v>
      </c>
      <c r="L122" s="10">
        <v>0</v>
      </c>
    </row>
    <row r="123" spans="2:12" x14ac:dyDescent="0.3">
      <c r="B123" s="5">
        <v>5</v>
      </c>
      <c r="C123" s="6">
        <v>4</v>
      </c>
      <c r="D123" s="6">
        <v>0</v>
      </c>
      <c r="E123" s="6">
        <v>2</v>
      </c>
      <c r="F123" s="6">
        <v>2</v>
      </c>
      <c r="G123" s="6">
        <v>1</v>
      </c>
      <c r="H123" s="6">
        <v>0</v>
      </c>
      <c r="I123" s="6">
        <v>1</v>
      </c>
      <c r="J123" s="6">
        <v>0</v>
      </c>
      <c r="K123" s="6">
        <v>1</v>
      </c>
      <c r="L123" s="7">
        <v>0</v>
      </c>
    </row>
    <row r="124" spans="2:12" x14ac:dyDescent="0.3">
      <c r="B124" s="8">
        <v>14</v>
      </c>
      <c r="C124" s="9">
        <v>4</v>
      </c>
      <c r="D124" s="9">
        <v>8</v>
      </c>
      <c r="E124" s="9">
        <v>2</v>
      </c>
      <c r="F124" s="9">
        <v>2</v>
      </c>
      <c r="G124" s="9">
        <v>2</v>
      </c>
      <c r="H124" s="9">
        <v>1</v>
      </c>
      <c r="I124" s="9">
        <v>1</v>
      </c>
      <c r="J124" s="9">
        <v>0</v>
      </c>
      <c r="K124" s="9">
        <v>1</v>
      </c>
      <c r="L124" s="10">
        <v>0</v>
      </c>
    </row>
    <row r="125" spans="2:12" x14ac:dyDescent="0.3">
      <c r="B125" s="5">
        <v>13</v>
      </c>
      <c r="C125" s="6">
        <v>3</v>
      </c>
      <c r="D125" s="6">
        <v>6</v>
      </c>
      <c r="E125" s="6">
        <v>1</v>
      </c>
      <c r="F125" s="6">
        <v>2</v>
      </c>
      <c r="G125" s="6">
        <v>4</v>
      </c>
      <c r="H125" s="6">
        <v>0</v>
      </c>
      <c r="I125" s="6">
        <v>1</v>
      </c>
      <c r="J125" s="6">
        <v>0</v>
      </c>
      <c r="K125" s="6">
        <v>0</v>
      </c>
      <c r="L125" s="7">
        <v>0</v>
      </c>
    </row>
    <row r="126" spans="2:12" x14ac:dyDescent="0.3">
      <c r="B126" s="8">
        <v>14</v>
      </c>
      <c r="C126" s="9">
        <v>12</v>
      </c>
      <c r="D126" s="9">
        <v>2</v>
      </c>
      <c r="E126" s="9">
        <v>2</v>
      </c>
      <c r="F126" s="9">
        <v>10</v>
      </c>
      <c r="G126" s="9">
        <v>0</v>
      </c>
      <c r="H126" s="9">
        <v>0</v>
      </c>
      <c r="I126" s="9">
        <v>1</v>
      </c>
      <c r="J126" s="9">
        <v>0</v>
      </c>
      <c r="K126" s="9">
        <v>1</v>
      </c>
      <c r="L126" s="10">
        <v>0</v>
      </c>
    </row>
    <row r="127" spans="2:12" x14ac:dyDescent="0.3">
      <c r="B127" s="5">
        <v>23</v>
      </c>
      <c r="C127" s="6">
        <v>13</v>
      </c>
      <c r="D127" s="6">
        <v>4</v>
      </c>
      <c r="E127" s="6">
        <v>7</v>
      </c>
      <c r="F127" s="6">
        <v>6</v>
      </c>
      <c r="G127" s="6">
        <v>6</v>
      </c>
      <c r="H127" s="6">
        <v>0</v>
      </c>
      <c r="I127" s="6">
        <v>1</v>
      </c>
      <c r="J127" s="6">
        <v>0</v>
      </c>
      <c r="K127" s="6">
        <v>0</v>
      </c>
      <c r="L127" s="7">
        <v>0</v>
      </c>
    </row>
    <row r="128" spans="2:12" x14ac:dyDescent="0.3">
      <c r="B128" s="8">
        <v>16</v>
      </c>
      <c r="C128" s="9">
        <v>10</v>
      </c>
      <c r="D128" s="9">
        <v>6</v>
      </c>
      <c r="E128" s="9">
        <v>3</v>
      </c>
      <c r="F128" s="9">
        <v>7</v>
      </c>
      <c r="G128" s="9">
        <v>0</v>
      </c>
      <c r="H128" s="9">
        <v>0</v>
      </c>
      <c r="I128" s="9">
        <v>1</v>
      </c>
      <c r="J128" s="9">
        <v>0</v>
      </c>
      <c r="K128" s="9">
        <v>0</v>
      </c>
      <c r="L128" s="10">
        <v>0</v>
      </c>
    </row>
    <row r="129" spans="2:12" x14ac:dyDescent="0.3">
      <c r="B129" s="5">
        <v>7</v>
      </c>
      <c r="C129" s="6">
        <v>6</v>
      </c>
      <c r="D129" s="6">
        <v>0</v>
      </c>
      <c r="E129" s="6">
        <v>1</v>
      </c>
      <c r="F129" s="6">
        <v>5</v>
      </c>
      <c r="G129" s="6">
        <v>1</v>
      </c>
      <c r="H129" s="6">
        <v>1</v>
      </c>
      <c r="I129" s="6">
        <v>1</v>
      </c>
      <c r="J129" s="6">
        <v>0</v>
      </c>
      <c r="K129" s="6">
        <v>0</v>
      </c>
      <c r="L129" s="7">
        <v>0</v>
      </c>
    </row>
    <row r="130" spans="2:12" x14ac:dyDescent="0.3">
      <c r="B130" s="8">
        <v>10</v>
      </c>
      <c r="C130" s="9">
        <v>5</v>
      </c>
      <c r="D130" s="9">
        <v>2</v>
      </c>
      <c r="E130" s="9">
        <v>1</v>
      </c>
      <c r="F130" s="9">
        <v>4</v>
      </c>
      <c r="G130" s="9">
        <v>3</v>
      </c>
      <c r="H130" s="9">
        <v>1</v>
      </c>
      <c r="I130" s="9">
        <v>1</v>
      </c>
      <c r="J130" s="9">
        <v>0</v>
      </c>
      <c r="K130" s="9">
        <v>1</v>
      </c>
      <c r="L130" s="10">
        <v>0</v>
      </c>
    </row>
    <row r="131" spans="2:12" x14ac:dyDescent="0.3">
      <c r="B131" s="5">
        <v>11</v>
      </c>
      <c r="C131" s="6">
        <v>1</v>
      </c>
      <c r="D131" s="6">
        <v>9</v>
      </c>
      <c r="E131" s="6">
        <v>1</v>
      </c>
      <c r="F131" s="6">
        <v>0</v>
      </c>
      <c r="G131" s="6">
        <v>1</v>
      </c>
      <c r="H131" s="6">
        <v>0</v>
      </c>
      <c r="I131" s="6">
        <v>1</v>
      </c>
      <c r="J131" s="6">
        <v>0</v>
      </c>
      <c r="K131" s="6">
        <v>1</v>
      </c>
      <c r="L131" s="7">
        <v>0</v>
      </c>
    </row>
    <row r="132" spans="2:12" x14ac:dyDescent="0.3">
      <c r="B132" s="8">
        <v>14</v>
      </c>
      <c r="C132" s="9">
        <v>8</v>
      </c>
      <c r="D132" s="9">
        <v>6</v>
      </c>
      <c r="E132" s="9">
        <v>2</v>
      </c>
      <c r="F132" s="9">
        <v>6</v>
      </c>
      <c r="G132" s="9">
        <v>0</v>
      </c>
      <c r="H132" s="9">
        <v>0</v>
      </c>
      <c r="I132" s="9">
        <v>1</v>
      </c>
      <c r="J132" s="9">
        <v>0</v>
      </c>
      <c r="K132" s="9">
        <v>0</v>
      </c>
      <c r="L132" s="10">
        <v>0</v>
      </c>
    </row>
    <row r="133" spans="2:12" x14ac:dyDescent="0.3">
      <c r="B133" s="5">
        <v>11</v>
      </c>
      <c r="C133" s="6">
        <v>4</v>
      </c>
      <c r="D133" s="6">
        <v>7</v>
      </c>
      <c r="E133" s="6">
        <v>3</v>
      </c>
      <c r="F133" s="6">
        <v>1</v>
      </c>
      <c r="G133" s="6">
        <v>0</v>
      </c>
      <c r="H133" s="6">
        <v>1</v>
      </c>
      <c r="I133" s="6">
        <v>1</v>
      </c>
      <c r="J133" s="6">
        <v>0</v>
      </c>
      <c r="K133" s="6">
        <v>0</v>
      </c>
      <c r="L133" s="7">
        <v>0</v>
      </c>
    </row>
    <row r="134" spans="2:12" x14ac:dyDescent="0.3">
      <c r="B134" s="8">
        <v>16</v>
      </c>
      <c r="C134" s="9">
        <v>11</v>
      </c>
      <c r="D134" s="9">
        <v>5</v>
      </c>
      <c r="E134" s="9">
        <v>1</v>
      </c>
      <c r="F134" s="9">
        <v>10</v>
      </c>
      <c r="G134" s="9">
        <v>0</v>
      </c>
      <c r="H134" s="9">
        <v>0</v>
      </c>
      <c r="I134" s="9">
        <v>1</v>
      </c>
      <c r="J134" s="9">
        <v>0</v>
      </c>
      <c r="K134" s="9">
        <v>0</v>
      </c>
      <c r="L134" s="10">
        <v>0</v>
      </c>
    </row>
    <row r="135" spans="2:12" x14ac:dyDescent="0.3">
      <c r="B135" s="5">
        <v>9</v>
      </c>
      <c r="C135" s="6">
        <v>2</v>
      </c>
      <c r="D135" s="6">
        <v>3</v>
      </c>
      <c r="E135" s="6">
        <v>2</v>
      </c>
      <c r="F135" s="6">
        <v>0</v>
      </c>
      <c r="G135" s="6">
        <v>4</v>
      </c>
      <c r="H135" s="6">
        <v>0</v>
      </c>
      <c r="I135" s="6">
        <v>1</v>
      </c>
      <c r="J135" s="6">
        <v>0</v>
      </c>
      <c r="K135" s="6">
        <v>0</v>
      </c>
      <c r="L135" s="7">
        <v>0</v>
      </c>
    </row>
    <row r="136" spans="2:12" x14ac:dyDescent="0.3">
      <c r="B136" s="8">
        <v>7</v>
      </c>
      <c r="C136" s="9">
        <v>3</v>
      </c>
      <c r="D136" s="9">
        <v>0</v>
      </c>
      <c r="E136" s="9">
        <v>3</v>
      </c>
      <c r="F136" s="9">
        <v>0</v>
      </c>
      <c r="G136" s="9">
        <v>4</v>
      </c>
      <c r="H136" s="9">
        <v>1</v>
      </c>
      <c r="I136" s="9">
        <v>1</v>
      </c>
      <c r="J136" s="9">
        <v>0</v>
      </c>
      <c r="K136" s="9">
        <v>0</v>
      </c>
      <c r="L136" s="10">
        <v>0</v>
      </c>
    </row>
    <row r="137" spans="2:12" x14ac:dyDescent="0.3">
      <c r="B137" s="5">
        <v>11</v>
      </c>
      <c r="C137" s="6">
        <v>7</v>
      </c>
      <c r="D137" s="6">
        <v>1</v>
      </c>
      <c r="E137" s="6">
        <v>6</v>
      </c>
      <c r="F137" s="6">
        <v>1</v>
      </c>
      <c r="G137" s="6">
        <v>3</v>
      </c>
      <c r="H137" s="6">
        <v>1</v>
      </c>
      <c r="I137" s="6">
        <v>1</v>
      </c>
      <c r="J137" s="6">
        <v>0</v>
      </c>
      <c r="K137" s="6">
        <v>1</v>
      </c>
      <c r="L137" s="7">
        <v>0</v>
      </c>
    </row>
    <row r="138" spans="2:12" x14ac:dyDescent="0.3">
      <c r="B138" s="8">
        <v>12</v>
      </c>
      <c r="C138" s="9">
        <v>5</v>
      </c>
      <c r="D138" s="9">
        <v>7</v>
      </c>
      <c r="E138" s="9">
        <v>4</v>
      </c>
      <c r="F138" s="9">
        <v>1</v>
      </c>
      <c r="G138" s="9">
        <v>0</v>
      </c>
      <c r="H138" s="9">
        <v>0</v>
      </c>
      <c r="I138" s="9">
        <v>0</v>
      </c>
      <c r="J138" s="9">
        <v>1</v>
      </c>
      <c r="K138" s="9">
        <v>1</v>
      </c>
      <c r="L138" s="10">
        <v>0</v>
      </c>
    </row>
    <row r="139" spans="2:12" x14ac:dyDescent="0.3">
      <c r="B139" s="5">
        <v>30</v>
      </c>
      <c r="C139" s="6">
        <v>17</v>
      </c>
      <c r="D139" s="6">
        <v>9</v>
      </c>
      <c r="E139" s="6">
        <v>10</v>
      </c>
      <c r="F139" s="6">
        <v>7</v>
      </c>
      <c r="G139" s="6">
        <v>4</v>
      </c>
      <c r="H139" s="6">
        <v>1</v>
      </c>
      <c r="I139" s="6">
        <v>0</v>
      </c>
      <c r="J139" s="6">
        <v>0</v>
      </c>
      <c r="K139" s="6">
        <v>0</v>
      </c>
      <c r="L139" s="7">
        <v>0</v>
      </c>
    </row>
    <row r="140" spans="2:12" x14ac:dyDescent="0.3">
      <c r="B140" s="8">
        <v>16</v>
      </c>
      <c r="C140" s="9">
        <v>11</v>
      </c>
      <c r="D140" s="9">
        <v>5</v>
      </c>
      <c r="E140" s="9">
        <v>10</v>
      </c>
      <c r="F140" s="9">
        <v>1</v>
      </c>
      <c r="G140" s="9">
        <v>0</v>
      </c>
      <c r="H140" s="9">
        <v>0</v>
      </c>
      <c r="I140" s="9">
        <v>0</v>
      </c>
      <c r="J140" s="9">
        <v>0</v>
      </c>
      <c r="K140" s="9">
        <v>1</v>
      </c>
      <c r="L140" s="10">
        <v>0</v>
      </c>
    </row>
    <row r="141" spans="2:12" x14ac:dyDescent="0.3">
      <c r="B141" s="5">
        <v>13</v>
      </c>
      <c r="C141" s="6">
        <v>7</v>
      </c>
      <c r="D141" s="6">
        <v>6</v>
      </c>
      <c r="E141" s="6">
        <v>4</v>
      </c>
      <c r="F141" s="6">
        <v>3</v>
      </c>
      <c r="G141" s="6">
        <v>0</v>
      </c>
      <c r="H141" s="6">
        <v>1</v>
      </c>
      <c r="I141" s="6">
        <v>0</v>
      </c>
      <c r="J141" s="6">
        <v>1</v>
      </c>
      <c r="K141" s="6">
        <v>0</v>
      </c>
      <c r="L141" s="7">
        <v>0</v>
      </c>
    </row>
    <row r="142" spans="2:12" x14ac:dyDescent="0.3">
      <c r="B142" s="8">
        <v>12</v>
      </c>
      <c r="C142" s="9">
        <v>9</v>
      </c>
      <c r="D142" s="9">
        <v>3</v>
      </c>
      <c r="E142" s="9">
        <v>9</v>
      </c>
      <c r="F142" s="9">
        <v>0</v>
      </c>
      <c r="G142" s="9">
        <v>0</v>
      </c>
      <c r="H142" s="9">
        <v>1</v>
      </c>
      <c r="I142" s="9">
        <v>0</v>
      </c>
      <c r="J142" s="9">
        <v>0</v>
      </c>
      <c r="K142" s="9">
        <v>1</v>
      </c>
      <c r="L142" s="10">
        <v>0</v>
      </c>
    </row>
    <row r="143" spans="2:12" x14ac:dyDescent="0.3">
      <c r="B143" s="5">
        <v>16</v>
      </c>
      <c r="C143" s="6">
        <v>8</v>
      </c>
      <c r="D143" s="6">
        <v>6</v>
      </c>
      <c r="E143" s="6">
        <v>1</v>
      </c>
      <c r="F143" s="6">
        <v>7</v>
      </c>
      <c r="G143" s="6">
        <v>2</v>
      </c>
      <c r="H143" s="6">
        <v>0</v>
      </c>
      <c r="I143" s="6">
        <v>0</v>
      </c>
      <c r="J143" s="6">
        <v>0</v>
      </c>
      <c r="K143" s="6">
        <v>0</v>
      </c>
      <c r="L143" s="7">
        <v>0</v>
      </c>
    </row>
    <row r="144" spans="2:12" x14ac:dyDescent="0.3">
      <c r="B144" s="8">
        <v>16</v>
      </c>
      <c r="C144" s="9">
        <v>6</v>
      </c>
      <c r="D144" s="9">
        <v>5</v>
      </c>
      <c r="E144" s="9">
        <v>0</v>
      </c>
      <c r="F144" s="9">
        <v>6</v>
      </c>
      <c r="G144" s="9">
        <v>5</v>
      </c>
      <c r="H144" s="9">
        <v>1</v>
      </c>
      <c r="I144" s="9">
        <v>0</v>
      </c>
      <c r="J144" s="9">
        <v>0</v>
      </c>
      <c r="K144" s="9">
        <v>0</v>
      </c>
      <c r="L144" s="10">
        <v>0</v>
      </c>
    </row>
    <row r="145" spans="2:12" x14ac:dyDescent="0.3">
      <c r="B145" s="5">
        <v>17</v>
      </c>
      <c r="C145" s="6">
        <v>9</v>
      </c>
      <c r="D145" s="6">
        <v>4</v>
      </c>
      <c r="E145" s="6">
        <v>7</v>
      </c>
      <c r="F145" s="6">
        <v>2</v>
      </c>
      <c r="G145" s="6">
        <v>4</v>
      </c>
      <c r="H145" s="6">
        <v>0</v>
      </c>
      <c r="I145" s="6">
        <v>0</v>
      </c>
      <c r="J145" s="6">
        <v>1</v>
      </c>
      <c r="K145" s="6">
        <v>0</v>
      </c>
      <c r="L145" s="7">
        <v>0</v>
      </c>
    </row>
    <row r="146" spans="2:12" x14ac:dyDescent="0.3">
      <c r="B146" s="8">
        <v>12</v>
      </c>
      <c r="C146" s="9">
        <v>8</v>
      </c>
      <c r="D146" s="9">
        <v>2</v>
      </c>
      <c r="E146" s="9">
        <v>3</v>
      </c>
      <c r="F146" s="9">
        <v>5</v>
      </c>
      <c r="G146" s="9">
        <v>2</v>
      </c>
      <c r="H146" s="9">
        <v>1</v>
      </c>
      <c r="I146" s="9">
        <v>0</v>
      </c>
      <c r="J146" s="9">
        <v>0</v>
      </c>
      <c r="K146" s="9">
        <v>1</v>
      </c>
      <c r="L146" s="10">
        <v>0</v>
      </c>
    </row>
    <row r="147" spans="2:12" x14ac:dyDescent="0.3">
      <c r="B147" s="5">
        <v>16</v>
      </c>
      <c r="C147" s="6">
        <v>9</v>
      </c>
      <c r="D147" s="6">
        <v>5</v>
      </c>
      <c r="E147" s="6">
        <v>4</v>
      </c>
      <c r="F147" s="6">
        <v>5</v>
      </c>
      <c r="G147" s="6">
        <v>2</v>
      </c>
      <c r="H147" s="6">
        <v>0</v>
      </c>
      <c r="I147" s="6">
        <v>0</v>
      </c>
      <c r="J147" s="6">
        <v>0</v>
      </c>
      <c r="K147" s="6">
        <v>1</v>
      </c>
      <c r="L147" s="7">
        <v>0</v>
      </c>
    </row>
    <row r="148" spans="2:12" x14ac:dyDescent="0.3">
      <c r="B148" s="8">
        <v>10</v>
      </c>
      <c r="C148" s="9">
        <v>6</v>
      </c>
      <c r="D148" s="9">
        <v>0</v>
      </c>
      <c r="E148" s="9">
        <v>0</v>
      </c>
      <c r="F148" s="9">
        <v>6</v>
      </c>
      <c r="G148" s="9">
        <v>4</v>
      </c>
      <c r="H148" s="9">
        <v>1</v>
      </c>
      <c r="I148" s="9">
        <v>0</v>
      </c>
      <c r="J148" s="9">
        <v>0</v>
      </c>
      <c r="K148" s="9">
        <v>0</v>
      </c>
      <c r="L148" s="10">
        <v>0</v>
      </c>
    </row>
    <row r="149" spans="2:12" x14ac:dyDescent="0.3">
      <c r="B149" s="5">
        <v>20</v>
      </c>
      <c r="C149" s="6">
        <v>16</v>
      </c>
      <c r="D149" s="6">
        <v>0</v>
      </c>
      <c r="E149" s="6">
        <v>9</v>
      </c>
      <c r="F149" s="6">
        <v>7</v>
      </c>
      <c r="G149" s="6">
        <v>4</v>
      </c>
      <c r="H149" s="6">
        <v>0</v>
      </c>
      <c r="I149" s="6">
        <v>0</v>
      </c>
      <c r="J149" s="6">
        <v>0</v>
      </c>
      <c r="K149" s="6">
        <v>1</v>
      </c>
      <c r="L149" s="7">
        <v>0</v>
      </c>
    </row>
    <row r="150" spans="2:12" x14ac:dyDescent="0.3">
      <c r="B150" s="8">
        <v>17</v>
      </c>
      <c r="C150" s="9">
        <v>13</v>
      </c>
      <c r="D150" s="9">
        <v>4</v>
      </c>
      <c r="E150" s="9">
        <v>5</v>
      </c>
      <c r="F150" s="9">
        <v>8</v>
      </c>
      <c r="G150" s="9">
        <v>0</v>
      </c>
      <c r="H150" s="9">
        <v>0</v>
      </c>
      <c r="I150" s="9">
        <v>0</v>
      </c>
      <c r="J150" s="9">
        <v>0</v>
      </c>
      <c r="K150" s="9">
        <v>1</v>
      </c>
      <c r="L150" s="10">
        <v>0</v>
      </c>
    </row>
    <row r="151" spans="2:12" x14ac:dyDescent="0.3">
      <c r="B151" s="5">
        <v>19</v>
      </c>
      <c r="C151" s="6">
        <v>16</v>
      </c>
      <c r="D151" s="6">
        <v>3</v>
      </c>
      <c r="E151" s="6">
        <v>9</v>
      </c>
      <c r="F151" s="6">
        <v>7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7">
        <v>0</v>
      </c>
    </row>
    <row r="152" spans="2:12" x14ac:dyDescent="0.3">
      <c r="B152" s="8">
        <v>20</v>
      </c>
      <c r="C152" s="9">
        <v>9</v>
      </c>
      <c r="D152" s="9">
        <v>5</v>
      </c>
      <c r="E152" s="9">
        <v>9</v>
      </c>
      <c r="F152" s="9">
        <v>0</v>
      </c>
      <c r="G152" s="9">
        <v>6</v>
      </c>
      <c r="H152" s="9">
        <v>0</v>
      </c>
      <c r="I152" s="9">
        <v>0</v>
      </c>
      <c r="J152" s="9">
        <v>0</v>
      </c>
      <c r="K152" s="9">
        <v>1</v>
      </c>
      <c r="L152" s="10">
        <v>0</v>
      </c>
    </row>
    <row r="153" spans="2:12" x14ac:dyDescent="0.3">
      <c r="B153" s="5">
        <v>22</v>
      </c>
      <c r="C153" s="6">
        <v>15</v>
      </c>
      <c r="D153" s="6">
        <v>1</v>
      </c>
      <c r="E153" s="6">
        <v>10</v>
      </c>
      <c r="F153" s="6">
        <v>5</v>
      </c>
      <c r="G153" s="6">
        <v>6</v>
      </c>
      <c r="H153" s="6">
        <v>1</v>
      </c>
      <c r="I153" s="6">
        <v>0</v>
      </c>
      <c r="J153" s="6">
        <v>0</v>
      </c>
      <c r="K153" s="6">
        <v>0</v>
      </c>
      <c r="L153" s="7">
        <v>0</v>
      </c>
    </row>
    <row r="154" spans="2:12" x14ac:dyDescent="0.3">
      <c r="B154" s="8">
        <v>27</v>
      </c>
      <c r="C154" s="9">
        <v>19</v>
      </c>
      <c r="D154" s="9">
        <v>6</v>
      </c>
      <c r="E154" s="9">
        <v>10</v>
      </c>
      <c r="F154" s="9">
        <v>9</v>
      </c>
      <c r="G154" s="9">
        <v>2</v>
      </c>
      <c r="H154" s="9">
        <v>0</v>
      </c>
      <c r="I154" s="9">
        <v>0</v>
      </c>
      <c r="J154" s="9">
        <v>0</v>
      </c>
      <c r="K154" s="9">
        <v>0</v>
      </c>
      <c r="L154" s="10">
        <v>0</v>
      </c>
    </row>
    <row r="155" spans="2:12" x14ac:dyDescent="0.3">
      <c r="B155" s="5">
        <v>3</v>
      </c>
      <c r="C155" s="6">
        <v>3</v>
      </c>
      <c r="D155" s="6">
        <v>0</v>
      </c>
      <c r="E155" s="6">
        <v>2</v>
      </c>
      <c r="F155" s="6">
        <v>1</v>
      </c>
      <c r="G155" s="6">
        <v>0</v>
      </c>
      <c r="H155" s="6">
        <v>1</v>
      </c>
      <c r="I155" s="6">
        <v>0</v>
      </c>
      <c r="J155" s="6">
        <v>1</v>
      </c>
      <c r="K155" s="6">
        <v>0</v>
      </c>
      <c r="L155" s="7">
        <v>0</v>
      </c>
    </row>
    <row r="156" spans="2:12" x14ac:dyDescent="0.3">
      <c r="B156" s="8">
        <v>13</v>
      </c>
      <c r="C156" s="9">
        <v>7</v>
      </c>
      <c r="D156" s="9">
        <v>0</v>
      </c>
      <c r="E156" s="9">
        <v>2</v>
      </c>
      <c r="F156" s="9">
        <v>5</v>
      </c>
      <c r="G156" s="9">
        <v>6</v>
      </c>
      <c r="H156" s="9">
        <v>0</v>
      </c>
      <c r="I156" s="9">
        <v>0</v>
      </c>
      <c r="J156" s="9">
        <v>0</v>
      </c>
      <c r="K156" s="9">
        <v>0</v>
      </c>
      <c r="L156" s="10">
        <v>0</v>
      </c>
    </row>
    <row r="157" spans="2:12" x14ac:dyDescent="0.3">
      <c r="B157" s="5">
        <v>12</v>
      </c>
      <c r="C157" s="6">
        <v>10</v>
      </c>
      <c r="D157" s="6">
        <v>1</v>
      </c>
      <c r="E157" s="6">
        <v>8</v>
      </c>
      <c r="F157" s="6">
        <v>2</v>
      </c>
      <c r="G157" s="6">
        <v>1</v>
      </c>
      <c r="H157" s="6">
        <v>1</v>
      </c>
      <c r="I157" s="6">
        <v>0</v>
      </c>
      <c r="J157" s="6">
        <v>1</v>
      </c>
      <c r="K157" s="6">
        <v>0</v>
      </c>
      <c r="L157" s="7">
        <v>0</v>
      </c>
    </row>
    <row r="158" spans="2:12" x14ac:dyDescent="0.3">
      <c r="B158" s="8">
        <v>16</v>
      </c>
      <c r="C158" s="9">
        <v>12</v>
      </c>
      <c r="D158" s="9">
        <v>3</v>
      </c>
      <c r="E158" s="9">
        <v>2</v>
      </c>
      <c r="F158" s="9">
        <v>10</v>
      </c>
      <c r="G158" s="9">
        <v>1</v>
      </c>
      <c r="H158" s="9">
        <v>0</v>
      </c>
      <c r="I158" s="9">
        <v>0</v>
      </c>
      <c r="J158" s="9">
        <v>0</v>
      </c>
      <c r="K158" s="9">
        <v>0</v>
      </c>
      <c r="L158" s="10">
        <v>0</v>
      </c>
    </row>
    <row r="159" spans="2:12" x14ac:dyDescent="0.3">
      <c r="B159" s="5">
        <v>13</v>
      </c>
      <c r="C159" s="6">
        <v>8</v>
      </c>
      <c r="D159" s="6">
        <v>0</v>
      </c>
      <c r="E159" s="6">
        <v>2</v>
      </c>
      <c r="F159" s="6">
        <v>6</v>
      </c>
      <c r="G159" s="6">
        <v>5</v>
      </c>
      <c r="H159" s="6">
        <v>0</v>
      </c>
      <c r="I159" s="6">
        <v>0</v>
      </c>
      <c r="J159" s="6">
        <v>1</v>
      </c>
      <c r="K159" s="6">
        <v>1</v>
      </c>
      <c r="L159" s="7">
        <v>0</v>
      </c>
    </row>
    <row r="160" spans="2:12" x14ac:dyDescent="0.3">
      <c r="B160" s="8">
        <v>13</v>
      </c>
      <c r="C160" s="9">
        <v>7</v>
      </c>
      <c r="D160" s="9">
        <v>5</v>
      </c>
      <c r="E160" s="9">
        <v>6</v>
      </c>
      <c r="F160" s="9">
        <v>1</v>
      </c>
      <c r="G160" s="9">
        <v>1</v>
      </c>
      <c r="H160" s="9">
        <v>1</v>
      </c>
      <c r="I160" s="9">
        <v>0</v>
      </c>
      <c r="J160" s="9">
        <v>1</v>
      </c>
      <c r="K160" s="9">
        <v>1</v>
      </c>
      <c r="L160" s="10">
        <v>0</v>
      </c>
    </row>
    <row r="161" spans="2:12" x14ac:dyDescent="0.3">
      <c r="B161" s="5">
        <v>13</v>
      </c>
      <c r="C161" s="6">
        <v>6</v>
      </c>
      <c r="D161" s="6">
        <v>1</v>
      </c>
      <c r="E161" s="6">
        <v>0</v>
      </c>
      <c r="F161" s="6">
        <v>6</v>
      </c>
      <c r="G161" s="6">
        <v>6</v>
      </c>
      <c r="H161" s="6">
        <v>0</v>
      </c>
      <c r="I161" s="6">
        <v>0</v>
      </c>
      <c r="J161" s="6">
        <v>1</v>
      </c>
      <c r="K161" s="6">
        <v>0</v>
      </c>
      <c r="L161" s="7">
        <v>0</v>
      </c>
    </row>
    <row r="162" spans="2:12" x14ac:dyDescent="0.3">
      <c r="B162" s="8">
        <v>23</v>
      </c>
      <c r="C162" s="9">
        <v>11</v>
      </c>
      <c r="D162" s="9">
        <v>8</v>
      </c>
      <c r="E162" s="9">
        <v>3</v>
      </c>
      <c r="F162" s="9">
        <v>8</v>
      </c>
      <c r="G162" s="9">
        <v>4</v>
      </c>
      <c r="H162" s="9">
        <v>1</v>
      </c>
      <c r="I162" s="9">
        <v>0</v>
      </c>
      <c r="J162" s="9">
        <v>0</v>
      </c>
      <c r="K162" s="9">
        <v>0</v>
      </c>
      <c r="L162" s="10">
        <v>0</v>
      </c>
    </row>
    <row r="163" spans="2:12" x14ac:dyDescent="0.3">
      <c r="B163" s="5">
        <v>13</v>
      </c>
      <c r="C163" s="6">
        <v>10</v>
      </c>
      <c r="D163" s="6">
        <v>3</v>
      </c>
      <c r="E163" s="6">
        <v>9</v>
      </c>
      <c r="F163" s="6">
        <v>1</v>
      </c>
      <c r="G163" s="6">
        <v>0</v>
      </c>
      <c r="H163" s="6">
        <v>0</v>
      </c>
      <c r="I163" s="6">
        <v>0</v>
      </c>
      <c r="J163" s="6">
        <v>1</v>
      </c>
      <c r="K163" s="6">
        <v>1</v>
      </c>
      <c r="L163" s="7">
        <v>0</v>
      </c>
    </row>
    <row r="164" spans="2:12" x14ac:dyDescent="0.3">
      <c r="B164" s="8">
        <v>22</v>
      </c>
      <c r="C164" s="9">
        <v>8</v>
      </c>
      <c r="D164" s="9">
        <v>8</v>
      </c>
      <c r="E164" s="9">
        <v>8</v>
      </c>
      <c r="F164" s="9">
        <v>0</v>
      </c>
      <c r="G164" s="9">
        <v>6</v>
      </c>
      <c r="H164" s="9">
        <v>1</v>
      </c>
      <c r="I164" s="9">
        <v>0</v>
      </c>
      <c r="J164" s="9">
        <v>0</v>
      </c>
      <c r="K164" s="9">
        <v>0</v>
      </c>
      <c r="L164" s="10">
        <v>0</v>
      </c>
    </row>
    <row r="165" spans="2:12" x14ac:dyDescent="0.3">
      <c r="B165" s="5">
        <v>22</v>
      </c>
      <c r="C165" s="6">
        <v>11</v>
      </c>
      <c r="D165" s="6">
        <v>7</v>
      </c>
      <c r="E165" s="6">
        <v>3</v>
      </c>
      <c r="F165" s="6">
        <v>8</v>
      </c>
      <c r="G165" s="6">
        <v>4</v>
      </c>
      <c r="H165" s="6">
        <v>0</v>
      </c>
      <c r="I165" s="6">
        <v>0</v>
      </c>
      <c r="J165" s="6">
        <v>1</v>
      </c>
      <c r="K165" s="6">
        <v>0</v>
      </c>
      <c r="L165" s="7">
        <v>0</v>
      </c>
    </row>
    <row r="166" spans="2:12" x14ac:dyDescent="0.3">
      <c r="B166" s="8">
        <v>27</v>
      </c>
      <c r="C166" s="9">
        <v>16</v>
      </c>
      <c r="D166" s="9">
        <v>7</v>
      </c>
      <c r="E166" s="9">
        <v>6</v>
      </c>
      <c r="F166" s="9">
        <v>10</v>
      </c>
      <c r="G166" s="9">
        <v>4</v>
      </c>
      <c r="H166" s="9">
        <v>1</v>
      </c>
      <c r="I166" s="9">
        <v>0</v>
      </c>
      <c r="J166" s="9">
        <v>0</v>
      </c>
      <c r="K166" s="9">
        <v>0</v>
      </c>
      <c r="L166" s="10">
        <v>0</v>
      </c>
    </row>
    <row r="167" spans="2:12" x14ac:dyDescent="0.3">
      <c r="B167" s="5">
        <v>11</v>
      </c>
      <c r="C167" s="6">
        <v>10</v>
      </c>
      <c r="D167" s="6">
        <v>1</v>
      </c>
      <c r="E167" s="6">
        <v>10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7">
        <v>0</v>
      </c>
    </row>
    <row r="168" spans="2:12" x14ac:dyDescent="0.3">
      <c r="B168" s="8">
        <v>7</v>
      </c>
      <c r="C168" s="9">
        <v>1</v>
      </c>
      <c r="D168" s="9">
        <v>4</v>
      </c>
      <c r="E168" s="9">
        <v>1</v>
      </c>
      <c r="F168" s="9">
        <v>0</v>
      </c>
      <c r="G168" s="9">
        <v>2</v>
      </c>
      <c r="H168" s="9">
        <v>0</v>
      </c>
      <c r="I168" s="9">
        <v>0</v>
      </c>
      <c r="J168" s="9">
        <v>0</v>
      </c>
      <c r="K168" s="9">
        <v>1</v>
      </c>
      <c r="L168" s="10">
        <v>0</v>
      </c>
    </row>
    <row r="169" spans="2:12" x14ac:dyDescent="0.3">
      <c r="B169" s="5">
        <v>20</v>
      </c>
      <c r="C169" s="6">
        <v>12</v>
      </c>
      <c r="D169" s="6">
        <v>5</v>
      </c>
      <c r="E169" s="6">
        <v>5</v>
      </c>
      <c r="F169" s="6">
        <v>7</v>
      </c>
      <c r="G169" s="6">
        <v>3</v>
      </c>
      <c r="H169" s="6">
        <v>0</v>
      </c>
      <c r="I169" s="6">
        <v>0</v>
      </c>
      <c r="J169" s="6">
        <v>0</v>
      </c>
      <c r="K169" s="6">
        <v>1</v>
      </c>
      <c r="L169" s="7">
        <v>0</v>
      </c>
    </row>
    <row r="170" spans="2:12" x14ac:dyDescent="0.3">
      <c r="B170" s="8">
        <v>13</v>
      </c>
      <c r="C170" s="9">
        <v>8</v>
      </c>
      <c r="D170" s="9">
        <v>5</v>
      </c>
      <c r="E170" s="9">
        <v>5</v>
      </c>
      <c r="F170" s="9">
        <v>3</v>
      </c>
      <c r="G170" s="9">
        <v>0</v>
      </c>
      <c r="H170" s="9">
        <v>0</v>
      </c>
      <c r="I170" s="9">
        <v>0</v>
      </c>
      <c r="J170" s="9">
        <v>1</v>
      </c>
      <c r="K170" s="9">
        <v>0</v>
      </c>
      <c r="L170" s="10">
        <v>0</v>
      </c>
    </row>
    <row r="171" spans="2:12" x14ac:dyDescent="0.3">
      <c r="B171" s="5">
        <v>6</v>
      </c>
      <c r="C171" s="6">
        <v>1</v>
      </c>
      <c r="D171" s="6">
        <v>3</v>
      </c>
      <c r="E171" s="6">
        <v>1</v>
      </c>
      <c r="F171" s="6">
        <v>0</v>
      </c>
      <c r="G171" s="6">
        <v>2</v>
      </c>
      <c r="H171" s="6">
        <v>0</v>
      </c>
      <c r="I171" s="6">
        <v>0</v>
      </c>
      <c r="J171" s="6">
        <v>1</v>
      </c>
      <c r="K171" s="6">
        <v>1</v>
      </c>
      <c r="L171" s="7">
        <v>0</v>
      </c>
    </row>
    <row r="172" spans="2:12" x14ac:dyDescent="0.3">
      <c r="B172" s="8">
        <v>18</v>
      </c>
      <c r="C172" s="9">
        <v>15</v>
      </c>
      <c r="D172" s="9">
        <v>0</v>
      </c>
      <c r="E172" s="9">
        <v>8</v>
      </c>
      <c r="F172" s="9">
        <v>7</v>
      </c>
      <c r="G172" s="9">
        <v>3</v>
      </c>
      <c r="H172" s="9">
        <v>1</v>
      </c>
      <c r="I172" s="9">
        <v>0</v>
      </c>
      <c r="J172" s="9">
        <v>0</v>
      </c>
      <c r="K172" s="9">
        <v>0</v>
      </c>
      <c r="L172" s="10">
        <v>0</v>
      </c>
    </row>
    <row r="173" spans="2:12" x14ac:dyDescent="0.3">
      <c r="B173" s="5">
        <v>25</v>
      </c>
      <c r="C173" s="6">
        <v>16</v>
      </c>
      <c r="D173" s="6">
        <v>7</v>
      </c>
      <c r="E173" s="6">
        <v>7</v>
      </c>
      <c r="F173" s="6">
        <v>9</v>
      </c>
      <c r="G173" s="6">
        <v>2</v>
      </c>
      <c r="H173" s="6">
        <v>0</v>
      </c>
      <c r="I173" s="6">
        <v>0</v>
      </c>
      <c r="J173" s="6">
        <v>0</v>
      </c>
      <c r="K173" s="6">
        <v>0</v>
      </c>
      <c r="L173" s="7">
        <v>0</v>
      </c>
    </row>
    <row r="174" spans="2:12" x14ac:dyDescent="0.3">
      <c r="B174" s="8">
        <v>8</v>
      </c>
      <c r="C174" s="9">
        <v>1</v>
      </c>
      <c r="D174" s="9">
        <v>2</v>
      </c>
      <c r="E174" s="9">
        <v>1</v>
      </c>
      <c r="F174" s="9">
        <v>0</v>
      </c>
      <c r="G174" s="9">
        <v>5</v>
      </c>
      <c r="H174" s="9">
        <v>0</v>
      </c>
      <c r="I174" s="9">
        <v>0</v>
      </c>
      <c r="J174" s="9">
        <v>0</v>
      </c>
      <c r="K174" s="9">
        <v>1</v>
      </c>
      <c r="L174" s="10">
        <v>0</v>
      </c>
    </row>
    <row r="175" spans="2:12" x14ac:dyDescent="0.3">
      <c r="B175" s="5">
        <v>17</v>
      </c>
      <c r="C175" s="6">
        <v>11</v>
      </c>
      <c r="D175" s="6">
        <v>0</v>
      </c>
      <c r="E175" s="6">
        <v>5</v>
      </c>
      <c r="F175" s="6">
        <v>6</v>
      </c>
      <c r="G175" s="6">
        <v>6</v>
      </c>
      <c r="H175" s="6">
        <v>0</v>
      </c>
      <c r="I175" s="6">
        <v>0</v>
      </c>
      <c r="J175" s="6">
        <v>0</v>
      </c>
      <c r="K175" s="6">
        <v>0</v>
      </c>
      <c r="L175" s="7">
        <v>0</v>
      </c>
    </row>
    <row r="176" spans="2:12" x14ac:dyDescent="0.3">
      <c r="B176" s="8">
        <v>26</v>
      </c>
      <c r="C176" s="9">
        <v>16</v>
      </c>
      <c r="D176" s="9">
        <v>9</v>
      </c>
      <c r="E176" s="9">
        <v>9</v>
      </c>
      <c r="F176" s="9">
        <v>7</v>
      </c>
      <c r="G176" s="9">
        <v>1</v>
      </c>
      <c r="H176" s="9">
        <v>0</v>
      </c>
      <c r="I176" s="9">
        <v>0</v>
      </c>
      <c r="J176" s="9">
        <v>0</v>
      </c>
      <c r="K176" s="9">
        <v>0</v>
      </c>
      <c r="L176" s="10">
        <v>0</v>
      </c>
    </row>
    <row r="177" spans="2:12" x14ac:dyDescent="0.3">
      <c r="B177" s="5">
        <v>8</v>
      </c>
      <c r="C177" s="6">
        <v>1</v>
      </c>
      <c r="D177" s="6">
        <v>4</v>
      </c>
      <c r="E177" s="6">
        <v>1</v>
      </c>
      <c r="F177" s="6">
        <v>0</v>
      </c>
      <c r="G177" s="6">
        <v>3</v>
      </c>
      <c r="H177" s="6">
        <v>1</v>
      </c>
      <c r="I177" s="6">
        <v>0</v>
      </c>
      <c r="J177" s="6">
        <v>1</v>
      </c>
      <c r="K177" s="6">
        <v>1</v>
      </c>
      <c r="L177" s="7">
        <v>0</v>
      </c>
    </row>
    <row r="178" spans="2:12" x14ac:dyDescent="0.3">
      <c r="B178" s="8">
        <v>25</v>
      </c>
      <c r="C178" s="9">
        <v>14</v>
      </c>
      <c r="D178" s="9">
        <v>5</v>
      </c>
      <c r="E178" s="9">
        <v>10</v>
      </c>
      <c r="F178" s="9">
        <v>4</v>
      </c>
      <c r="G178" s="9">
        <v>6</v>
      </c>
      <c r="H178" s="9">
        <v>1</v>
      </c>
      <c r="I178" s="9">
        <v>0</v>
      </c>
      <c r="J178" s="9">
        <v>0</v>
      </c>
      <c r="K178" s="9">
        <v>0</v>
      </c>
      <c r="L178" s="10">
        <v>0</v>
      </c>
    </row>
    <row r="179" spans="2:12" x14ac:dyDescent="0.3">
      <c r="B179" s="5">
        <v>3</v>
      </c>
      <c r="C179" s="6">
        <v>2</v>
      </c>
      <c r="D179" s="6">
        <v>0</v>
      </c>
      <c r="E179" s="6">
        <v>2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1</v>
      </c>
      <c r="L179" s="7">
        <v>0</v>
      </c>
    </row>
    <row r="180" spans="2:12" x14ac:dyDescent="0.3">
      <c r="B180" s="8">
        <v>13</v>
      </c>
      <c r="C180" s="9">
        <v>8</v>
      </c>
      <c r="D180" s="9">
        <v>4</v>
      </c>
      <c r="E180" s="9">
        <v>2</v>
      </c>
      <c r="F180" s="9">
        <v>6</v>
      </c>
      <c r="G180" s="9">
        <v>1</v>
      </c>
      <c r="H180" s="9">
        <v>1</v>
      </c>
      <c r="I180" s="9">
        <v>0</v>
      </c>
      <c r="J180" s="9">
        <v>1</v>
      </c>
      <c r="K180" s="9">
        <v>0</v>
      </c>
      <c r="L180" s="10">
        <v>0</v>
      </c>
    </row>
    <row r="181" spans="2:12" x14ac:dyDescent="0.3">
      <c r="B181" s="5">
        <v>14</v>
      </c>
      <c r="C181" s="6">
        <v>8</v>
      </c>
      <c r="D181" s="6">
        <v>3</v>
      </c>
      <c r="E181" s="6">
        <v>5</v>
      </c>
      <c r="F181" s="6">
        <v>3</v>
      </c>
      <c r="G181" s="6">
        <v>3</v>
      </c>
      <c r="H181" s="6">
        <v>0</v>
      </c>
      <c r="I181" s="6">
        <v>0</v>
      </c>
      <c r="J181" s="6">
        <v>1</v>
      </c>
      <c r="K181" s="6">
        <v>1</v>
      </c>
      <c r="L181" s="7">
        <v>0</v>
      </c>
    </row>
    <row r="182" spans="2:12" x14ac:dyDescent="0.3">
      <c r="B182" s="8">
        <v>21</v>
      </c>
      <c r="C182" s="9">
        <v>9</v>
      </c>
      <c r="D182" s="9">
        <v>9</v>
      </c>
      <c r="E182" s="9">
        <v>2</v>
      </c>
      <c r="F182" s="9">
        <v>7</v>
      </c>
      <c r="G182" s="9">
        <v>3</v>
      </c>
      <c r="H182" s="9">
        <v>1</v>
      </c>
      <c r="I182" s="9">
        <v>0</v>
      </c>
      <c r="J182" s="9">
        <v>0</v>
      </c>
      <c r="K182" s="9">
        <v>0</v>
      </c>
      <c r="L182" s="10">
        <v>0</v>
      </c>
    </row>
    <row r="183" spans="2:12" x14ac:dyDescent="0.3">
      <c r="B183" s="5">
        <v>18</v>
      </c>
      <c r="C183" s="6">
        <v>12</v>
      </c>
      <c r="D183" s="6">
        <v>5</v>
      </c>
      <c r="E183" s="6">
        <v>5</v>
      </c>
      <c r="F183" s="6">
        <v>7</v>
      </c>
      <c r="G183" s="6">
        <v>1</v>
      </c>
      <c r="H183" s="6">
        <v>0</v>
      </c>
      <c r="I183" s="6">
        <v>0</v>
      </c>
      <c r="J183" s="6">
        <v>0</v>
      </c>
      <c r="K183" s="6">
        <v>1</v>
      </c>
      <c r="L183" s="7">
        <v>0</v>
      </c>
    </row>
    <row r="184" spans="2:12" x14ac:dyDescent="0.3">
      <c r="B184" s="8">
        <v>11</v>
      </c>
      <c r="C184" s="9">
        <v>8</v>
      </c>
      <c r="D184" s="9">
        <v>2</v>
      </c>
      <c r="E184" s="9">
        <v>0</v>
      </c>
      <c r="F184" s="9">
        <v>8</v>
      </c>
      <c r="G184" s="9">
        <v>1</v>
      </c>
      <c r="H184" s="9">
        <v>1</v>
      </c>
      <c r="I184" s="9">
        <v>0</v>
      </c>
      <c r="J184" s="9">
        <v>1</v>
      </c>
      <c r="K184" s="9">
        <v>1</v>
      </c>
      <c r="L184" s="10">
        <v>0</v>
      </c>
    </row>
    <row r="185" spans="2:12" x14ac:dyDescent="0.3">
      <c r="B185" s="5">
        <v>16</v>
      </c>
      <c r="C185" s="6">
        <v>10</v>
      </c>
      <c r="D185" s="6">
        <v>1</v>
      </c>
      <c r="E185" s="6">
        <v>1</v>
      </c>
      <c r="F185" s="6">
        <v>9</v>
      </c>
      <c r="G185" s="6">
        <v>5</v>
      </c>
      <c r="H185" s="6">
        <v>1</v>
      </c>
      <c r="I185" s="6">
        <v>0</v>
      </c>
      <c r="J185" s="6">
        <v>0</v>
      </c>
      <c r="K185" s="6">
        <v>0</v>
      </c>
      <c r="L185" s="7">
        <v>0</v>
      </c>
    </row>
    <row r="186" spans="2:12" x14ac:dyDescent="0.3">
      <c r="B186" s="8">
        <v>9</v>
      </c>
      <c r="C186" s="9">
        <v>3</v>
      </c>
      <c r="D186" s="9">
        <v>5</v>
      </c>
      <c r="E186" s="9">
        <v>2</v>
      </c>
      <c r="F186" s="9">
        <v>1</v>
      </c>
      <c r="G186" s="9">
        <v>1</v>
      </c>
      <c r="H186" s="9">
        <v>1</v>
      </c>
      <c r="I186" s="9">
        <v>0</v>
      </c>
      <c r="J186" s="9">
        <v>1</v>
      </c>
      <c r="K186" s="9">
        <v>0</v>
      </c>
      <c r="L186" s="10">
        <v>0</v>
      </c>
    </row>
    <row r="187" spans="2:12" x14ac:dyDescent="0.3">
      <c r="B187" s="5">
        <v>8</v>
      </c>
      <c r="C187" s="6">
        <v>4</v>
      </c>
      <c r="D187" s="6">
        <v>2</v>
      </c>
      <c r="E187" s="6">
        <v>3</v>
      </c>
      <c r="F187" s="6">
        <v>1</v>
      </c>
      <c r="G187" s="6">
        <v>2</v>
      </c>
      <c r="H187" s="6">
        <v>1</v>
      </c>
      <c r="I187" s="6">
        <v>0</v>
      </c>
      <c r="J187" s="6">
        <v>0</v>
      </c>
      <c r="K187" s="6">
        <v>1</v>
      </c>
      <c r="L187" s="7">
        <v>0</v>
      </c>
    </row>
    <row r="188" spans="2:12" x14ac:dyDescent="0.3">
      <c r="B188" s="8">
        <v>10</v>
      </c>
      <c r="C188" s="9">
        <v>3</v>
      </c>
      <c r="D188" s="9">
        <v>2</v>
      </c>
      <c r="E188" s="9">
        <v>3</v>
      </c>
      <c r="F188" s="9">
        <v>0</v>
      </c>
      <c r="G188" s="9">
        <v>5</v>
      </c>
      <c r="H188" s="9">
        <v>0</v>
      </c>
      <c r="I188" s="9">
        <v>0</v>
      </c>
      <c r="J188" s="9">
        <v>0</v>
      </c>
      <c r="K188" s="9">
        <v>1</v>
      </c>
      <c r="L188" s="10">
        <v>0</v>
      </c>
    </row>
    <row r="189" spans="2:12" x14ac:dyDescent="0.3">
      <c r="B189" s="5">
        <v>21</v>
      </c>
      <c r="C189" s="6">
        <v>13</v>
      </c>
      <c r="D189" s="6">
        <v>5</v>
      </c>
      <c r="E189" s="6">
        <v>10</v>
      </c>
      <c r="F189" s="6">
        <v>3</v>
      </c>
      <c r="G189" s="6">
        <v>3</v>
      </c>
      <c r="H189" s="6">
        <v>0</v>
      </c>
      <c r="I189" s="6">
        <v>0</v>
      </c>
      <c r="J189" s="6">
        <v>0</v>
      </c>
      <c r="K189" s="6">
        <v>0</v>
      </c>
      <c r="L189" s="7">
        <v>0</v>
      </c>
    </row>
    <row r="190" spans="2:12" x14ac:dyDescent="0.3">
      <c r="B190" s="8">
        <v>19</v>
      </c>
      <c r="C190" s="9">
        <v>11</v>
      </c>
      <c r="D190" s="9">
        <v>5</v>
      </c>
      <c r="E190" s="9">
        <v>5</v>
      </c>
      <c r="F190" s="9">
        <v>6</v>
      </c>
      <c r="G190" s="9">
        <v>3</v>
      </c>
      <c r="H190" s="9">
        <v>1</v>
      </c>
      <c r="I190" s="9">
        <v>0</v>
      </c>
      <c r="J190" s="9">
        <v>0</v>
      </c>
      <c r="K190" s="9">
        <v>0</v>
      </c>
      <c r="L190" s="10">
        <v>0</v>
      </c>
    </row>
    <row r="191" spans="2:12" x14ac:dyDescent="0.3">
      <c r="B191" s="5">
        <v>25</v>
      </c>
      <c r="C191" s="6">
        <v>10</v>
      </c>
      <c r="D191" s="6">
        <v>9</v>
      </c>
      <c r="E191" s="6">
        <v>5</v>
      </c>
      <c r="F191" s="6">
        <v>5</v>
      </c>
      <c r="G191" s="6">
        <v>6</v>
      </c>
      <c r="H191" s="6">
        <v>0</v>
      </c>
      <c r="I191" s="6">
        <v>0</v>
      </c>
      <c r="J191" s="6">
        <v>0</v>
      </c>
      <c r="K191" s="6">
        <v>1</v>
      </c>
      <c r="L191" s="7">
        <v>0</v>
      </c>
    </row>
    <row r="192" spans="2:12" x14ac:dyDescent="0.3">
      <c r="B192" s="8">
        <v>13</v>
      </c>
      <c r="C192" s="9">
        <v>11</v>
      </c>
      <c r="D192" s="9">
        <v>1</v>
      </c>
      <c r="E192" s="9">
        <v>5</v>
      </c>
      <c r="F192" s="9">
        <v>6</v>
      </c>
      <c r="G192" s="9">
        <v>1</v>
      </c>
      <c r="H192" s="9">
        <v>1</v>
      </c>
      <c r="I192" s="9">
        <v>0</v>
      </c>
      <c r="J192" s="9">
        <v>1</v>
      </c>
      <c r="K192" s="9">
        <v>0</v>
      </c>
      <c r="L192" s="10">
        <v>0</v>
      </c>
    </row>
    <row r="193" spans="2:12" x14ac:dyDescent="0.3">
      <c r="B193" s="5">
        <v>28</v>
      </c>
      <c r="C193" s="6">
        <v>18</v>
      </c>
      <c r="D193" s="6">
        <v>6</v>
      </c>
      <c r="E193" s="6">
        <v>8</v>
      </c>
      <c r="F193" s="6">
        <v>10</v>
      </c>
      <c r="G193" s="6">
        <v>4</v>
      </c>
      <c r="H193" s="6">
        <v>1</v>
      </c>
      <c r="I193" s="6">
        <v>0</v>
      </c>
      <c r="J193" s="6">
        <v>0</v>
      </c>
      <c r="K193" s="6">
        <v>0</v>
      </c>
      <c r="L193" s="7">
        <v>0</v>
      </c>
    </row>
    <row r="194" spans="2:12" x14ac:dyDescent="0.3">
      <c r="B194" s="8">
        <v>14</v>
      </c>
      <c r="C194" s="9">
        <v>6</v>
      </c>
      <c r="D194" s="9">
        <v>4</v>
      </c>
      <c r="E194" s="9">
        <v>5</v>
      </c>
      <c r="F194" s="9">
        <v>1</v>
      </c>
      <c r="G194" s="9">
        <v>4</v>
      </c>
      <c r="H194" s="9">
        <v>1</v>
      </c>
      <c r="I194" s="9">
        <v>0</v>
      </c>
      <c r="J194" s="9">
        <v>1</v>
      </c>
      <c r="K194" s="9">
        <v>0</v>
      </c>
      <c r="L194" s="10">
        <v>0</v>
      </c>
    </row>
    <row r="195" spans="2:12" x14ac:dyDescent="0.3">
      <c r="B195" s="5">
        <v>7</v>
      </c>
      <c r="C195" s="6">
        <v>4</v>
      </c>
      <c r="D195" s="6">
        <v>1</v>
      </c>
      <c r="E195" s="6">
        <v>3</v>
      </c>
      <c r="F195" s="6">
        <v>1</v>
      </c>
      <c r="G195" s="6">
        <v>2</v>
      </c>
      <c r="H195" s="6">
        <v>1</v>
      </c>
      <c r="I195" s="6">
        <v>0</v>
      </c>
      <c r="J195" s="6">
        <v>0</v>
      </c>
      <c r="K195" s="6">
        <v>0</v>
      </c>
      <c r="L195" s="7">
        <v>0</v>
      </c>
    </row>
    <row r="196" spans="2:12" x14ac:dyDescent="0.3">
      <c r="B196" s="8">
        <v>12</v>
      </c>
      <c r="C196" s="9">
        <v>3</v>
      </c>
      <c r="D196" s="9">
        <v>8</v>
      </c>
      <c r="E196" s="9">
        <v>3</v>
      </c>
      <c r="F196" s="9">
        <v>0</v>
      </c>
      <c r="G196" s="9">
        <v>1</v>
      </c>
      <c r="H196" s="9">
        <v>1</v>
      </c>
      <c r="I196" s="9">
        <v>0</v>
      </c>
      <c r="J196" s="9">
        <v>1</v>
      </c>
      <c r="K196" s="9">
        <v>1</v>
      </c>
      <c r="L196" s="10">
        <v>0</v>
      </c>
    </row>
    <row r="197" spans="2:12" x14ac:dyDescent="0.3">
      <c r="B197" s="5">
        <v>7</v>
      </c>
      <c r="C197" s="6">
        <v>6</v>
      </c>
      <c r="D197" s="6">
        <v>0</v>
      </c>
      <c r="E197" s="6">
        <v>6</v>
      </c>
      <c r="F197" s="6">
        <v>0</v>
      </c>
      <c r="G197" s="6">
        <v>1</v>
      </c>
      <c r="H197" s="6">
        <v>0</v>
      </c>
      <c r="I197" s="6">
        <v>0</v>
      </c>
      <c r="J197" s="6">
        <v>0</v>
      </c>
      <c r="K197" s="6">
        <v>1</v>
      </c>
      <c r="L197" s="7">
        <v>0</v>
      </c>
    </row>
    <row r="198" spans="2:12" x14ac:dyDescent="0.3">
      <c r="B198" s="8">
        <v>14</v>
      </c>
      <c r="C198" s="9">
        <v>10</v>
      </c>
      <c r="D198" s="9">
        <v>4</v>
      </c>
      <c r="E198" s="9">
        <v>5</v>
      </c>
      <c r="F198" s="9">
        <v>5</v>
      </c>
      <c r="G198" s="9">
        <v>0</v>
      </c>
      <c r="H198" s="9">
        <v>1</v>
      </c>
      <c r="I198" s="9">
        <v>0</v>
      </c>
      <c r="J198" s="9">
        <v>1</v>
      </c>
      <c r="K198" s="9">
        <v>0</v>
      </c>
      <c r="L198" s="1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5D9C-738E-463C-88C8-1A8769E2D8D8}">
  <sheetPr codeName="Sheet4"/>
  <dimension ref="C2:R25"/>
  <sheetViews>
    <sheetView tabSelected="1" workbookViewId="0">
      <selection activeCell="N7" sqref="N7"/>
    </sheetView>
  </sheetViews>
  <sheetFormatPr defaultRowHeight="14.4" x14ac:dyDescent="0.3"/>
  <cols>
    <col min="3" max="3" width="15.5546875" bestFit="1" customWidth="1"/>
    <col min="4" max="4" width="13.109375" customWidth="1"/>
    <col min="5" max="5" width="11.5546875" customWidth="1"/>
    <col min="6" max="6" width="14.5546875" customWidth="1"/>
    <col min="7" max="7" width="14.44140625" customWidth="1"/>
    <col min="8" max="8" width="19.109375" customWidth="1"/>
    <col min="9" max="9" width="11.6640625" customWidth="1"/>
    <col min="10" max="10" width="12.77734375" customWidth="1"/>
    <col min="11" max="11" width="15.21875" customWidth="1"/>
    <col min="12" max="12" width="14.21875" customWidth="1"/>
    <col min="13" max="13" width="21.109375" customWidth="1"/>
    <col min="14" max="14" width="10" customWidth="1"/>
    <col min="15" max="15" width="12" customWidth="1"/>
    <col min="16" max="16" width="11.44140625" customWidth="1"/>
    <col min="18" max="18" width="12" bestFit="1" customWidth="1"/>
  </cols>
  <sheetData>
    <row r="2" spans="3:18" x14ac:dyDescent="0.3">
      <c r="C2" s="26" t="s">
        <v>29</v>
      </c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3:18" x14ac:dyDescent="0.3">
      <c r="C3" s="19" t="s">
        <v>12</v>
      </c>
      <c r="D3" s="19" t="s">
        <v>13</v>
      </c>
      <c r="E3" s="19" t="s">
        <v>14</v>
      </c>
      <c r="F3" s="19" t="s">
        <v>10</v>
      </c>
      <c r="G3" s="19" t="s">
        <v>11</v>
      </c>
      <c r="H3" s="19" t="s">
        <v>15</v>
      </c>
      <c r="I3" s="19" t="s">
        <v>17</v>
      </c>
      <c r="J3" s="19" t="s">
        <v>18</v>
      </c>
      <c r="K3" s="19" t="s">
        <v>19</v>
      </c>
      <c r="L3" s="19" t="s">
        <v>16</v>
      </c>
      <c r="M3" s="19" t="s">
        <v>4</v>
      </c>
    </row>
    <row r="4" spans="3:18" x14ac:dyDescent="0.3">
      <c r="C4">
        <f>Table3[[#This Row],[Alphabets]]+Table3[[#This Row],[Numbers]]+Table3[[#This Row],[Special Character]]</f>
        <v>25</v>
      </c>
      <c r="D4">
        <f>Table3[[#This Row],[Lowercase]]+Table3[[#This Row],[Uppercase]]</f>
        <v>13</v>
      </c>
      <c r="E4">
        <v>1</v>
      </c>
      <c r="F4">
        <v>9</v>
      </c>
      <c r="G4">
        <v>10</v>
      </c>
      <c r="H4">
        <v>2</v>
      </c>
      <c r="I4">
        <v>1</v>
      </c>
      <c r="J4">
        <v>1</v>
      </c>
      <c r="K4">
        <v>0</v>
      </c>
      <c r="L4">
        <v>1</v>
      </c>
      <c r="M4" t="str">
        <f t="shared" ref="M4:M8" si="0">IF(R12&gt;R21,"Password Srentgh","Password Weak")</f>
        <v>Password Srentgh</v>
      </c>
    </row>
    <row r="5" spans="3:18" x14ac:dyDescent="0.3">
      <c r="C5">
        <f>Table3[[#This Row],[Alphabets]]+Table3[[#This Row],[Numbers]]+Table3[[#This Row],[Special Character]]</f>
        <v>22</v>
      </c>
      <c r="D5">
        <f>Table3[[#This Row],[Lowercase]]+Table3[[#This Row],[Uppercase]]</f>
        <v>13</v>
      </c>
      <c r="E5">
        <v>0</v>
      </c>
      <c r="F5">
        <v>5</v>
      </c>
      <c r="G5">
        <v>1</v>
      </c>
      <c r="H5">
        <v>3</v>
      </c>
      <c r="I5">
        <v>1</v>
      </c>
      <c r="J5">
        <v>1</v>
      </c>
      <c r="K5">
        <v>1</v>
      </c>
      <c r="L5">
        <v>1</v>
      </c>
      <c r="M5" t="str">
        <f t="shared" si="0"/>
        <v>Password Srentgh</v>
      </c>
    </row>
    <row r="6" spans="3:18" x14ac:dyDescent="0.3">
      <c r="C6">
        <v>13</v>
      </c>
      <c r="D6">
        <f>Table3[[#This Row],[Lowercase]]+Table3[[#This Row],[Uppercase]]</f>
        <v>4</v>
      </c>
      <c r="E6">
        <v>3</v>
      </c>
      <c r="F6">
        <v>6</v>
      </c>
      <c r="G6">
        <v>2</v>
      </c>
      <c r="H6">
        <v>3</v>
      </c>
      <c r="I6">
        <v>1</v>
      </c>
      <c r="J6">
        <v>1</v>
      </c>
      <c r="K6">
        <v>1</v>
      </c>
      <c r="L6">
        <v>1</v>
      </c>
      <c r="M6" t="str">
        <f>IF(R14&gt;R23,"Password Srentgh","Password Weak")</f>
        <v>Password Weak</v>
      </c>
    </row>
    <row r="7" spans="3:18" x14ac:dyDescent="0.3">
      <c r="C7">
        <f>Table3[[#This Row],[Alphabets]]+Table3[[#This Row],[Numbers]]+Table3[[#This Row],[Special Character]]</f>
        <v>14</v>
      </c>
      <c r="D7">
        <f>Table3[[#This Row],[Lowercase]]+Table3[[#This Row],[Uppercase]]</f>
        <v>10</v>
      </c>
      <c r="E7">
        <v>1</v>
      </c>
      <c r="F7">
        <v>2</v>
      </c>
      <c r="G7">
        <v>8</v>
      </c>
      <c r="H7">
        <v>4</v>
      </c>
      <c r="I7">
        <v>1</v>
      </c>
      <c r="J7">
        <v>1</v>
      </c>
      <c r="K7">
        <v>1</v>
      </c>
      <c r="L7">
        <v>1</v>
      </c>
      <c r="M7" t="str">
        <f t="shared" si="0"/>
        <v>Password Srentgh</v>
      </c>
    </row>
    <row r="8" spans="3:18" x14ac:dyDescent="0.3">
      <c r="C8">
        <f>Table3[[#This Row],[Alphabets]]+Table3[[#This Row],[Numbers]]+Table3[[#This Row],[Special Character]]</f>
        <v>28</v>
      </c>
      <c r="D8">
        <f>Table3[[#This Row],[Lowercase]]+Table3[[#This Row],[Uppercase]]</f>
        <v>19</v>
      </c>
      <c r="E8">
        <v>6</v>
      </c>
      <c r="F8">
        <v>4</v>
      </c>
      <c r="G8">
        <v>7</v>
      </c>
      <c r="H8">
        <v>6</v>
      </c>
      <c r="I8">
        <v>1</v>
      </c>
      <c r="J8">
        <v>1</v>
      </c>
      <c r="K8">
        <v>0</v>
      </c>
      <c r="L8">
        <v>1</v>
      </c>
      <c r="M8" t="str">
        <f t="shared" si="0"/>
        <v>Password Srentgh</v>
      </c>
    </row>
    <row r="10" spans="3:18" x14ac:dyDescent="0.3">
      <c r="C10" s="24" t="s">
        <v>24</v>
      </c>
      <c r="D10" s="23" t="s">
        <v>0</v>
      </c>
      <c r="E10" s="23"/>
      <c r="G10" s="23" t="s">
        <v>26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3:18" x14ac:dyDescent="0.3">
      <c r="C11" s="25"/>
      <c r="D11" s="3" t="s">
        <v>8</v>
      </c>
      <c r="E11" s="3" t="s">
        <v>25</v>
      </c>
      <c r="G11" s="3" t="s">
        <v>6</v>
      </c>
      <c r="H11" s="3" t="s">
        <v>12</v>
      </c>
      <c r="I11" s="3" t="s">
        <v>13</v>
      </c>
      <c r="J11" s="3" t="s">
        <v>14</v>
      </c>
      <c r="K11" s="3" t="s">
        <v>10</v>
      </c>
      <c r="L11" s="3" t="s">
        <v>11</v>
      </c>
      <c r="M11" s="3" t="s">
        <v>15</v>
      </c>
      <c r="N11" s="3" t="s">
        <v>17</v>
      </c>
      <c r="O11" s="3" t="s">
        <v>18</v>
      </c>
      <c r="P11" s="3" t="s">
        <v>19</v>
      </c>
      <c r="Q11" s="3" t="s">
        <v>16</v>
      </c>
      <c r="R11" s="3" t="s">
        <v>7</v>
      </c>
    </row>
    <row r="12" spans="3:18" x14ac:dyDescent="0.3">
      <c r="C12" s="3" t="s">
        <v>12</v>
      </c>
      <c r="D12" s="11">
        <v>0.37025366314794389</v>
      </c>
      <c r="E12" s="11">
        <v>0.37113838341091832</v>
      </c>
      <c r="G12" s="11">
        <v>0.539906103286385</v>
      </c>
      <c r="H12" s="2">
        <f>POWER($D$12,C4)</f>
        <v>1.6311131873174129E-11</v>
      </c>
      <c r="I12" s="2">
        <f>POWER($D$13,D4)</f>
        <v>1.8501978517742683E-9</v>
      </c>
      <c r="J12" s="2">
        <f>POWER($D$14,E4)</f>
        <v>9.4375295415156768E-2</v>
      </c>
      <c r="K12" s="2">
        <f>POWER($D$15,F4)</f>
        <v>1.7519096118797162E-9</v>
      </c>
      <c r="L12" s="2">
        <f>POWER($D$16,G4)</f>
        <v>1.8923132320605785E-10</v>
      </c>
      <c r="M12" s="2">
        <f>POWER($D$17,H4)</f>
        <v>3.9816954991197702E-3</v>
      </c>
      <c r="N12" s="2">
        <f>POWER($D$18,I4)</f>
        <v>1.0713723018749016E-2</v>
      </c>
      <c r="O12" s="2">
        <f>POWER($D$19,J4)</f>
        <v>1.5125256026469198E-2</v>
      </c>
      <c r="P12" s="2">
        <f>POWER($D$20,K4)</f>
        <v>1</v>
      </c>
      <c r="Q12" s="2">
        <f>POWER($D$21,L4)</f>
        <v>1.0792500393886876E-2</v>
      </c>
      <c r="R12" s="4">
        <f>PRODUCT(G12:Q12)</f>
        <v>3.5499057313489475E-48</v>
      </c>
    </row>
    <row r="13" spans="3:18" x14ac:dyDescent="0.3">
      <c r="C13" s="3" t="s">
        <v>13</v>
      </c>
      <c r="D13" s="11">
        <v>0.21293524499763669</v>
      </c>
      <c r="E13" s="11">
        <v>0.20496543941317535</v>
      </c>
      <c r="G13" s="11">
        <v>0.539906103286385</v>
      </c>
      <c r="H13" s="2">
        <f t="shared" ref="H13:H16" si="1">POWER($D$12,C5)</f>
        <v>3.2135569964570949E-10</v>
      </c>
      <c r="I13" s="2">
        <f t="shared" ref="I13:I16" si="2">POWER($D$13,D5)</f>
        <v>1.8501978517742683E-9</v>
      </c>
      <c r="J13" s="2">
        <f t="shared" ref="J13:J16" si="3">POWER($D$14,E5)</f>
        <v>1</v>
      </c>
      <c r="K13" s="2">
        <f t="shared" ref="K13:K16" si="4">POWER($D$15,F5)</f>
        <v>1.3654766412843159E-5</v>
      </c>
      <c r="L13" s="2">
        <f t="shared" ref="L13:L16" si="5">POWER($D$16,G5)</f>
        <v>0.10658578856152513</v>
      </c>
      <c r="M13" s="2">
        <f t="shared" ref="M13:M16" si="6">POWER($D$17,H5)</f>
        <v>2.5124768353512966E-4</v>
      </c>
      <c r="N13" s="2">
        <f t="shared" ref="N13:N16" si="7">POWER($D$18,I5)</f>
        <v>1.0713723018749016E-2</v>
      </c>
      <c r="O13" s="2">
        <f t="shared" ref="O13:O16" si="8">POWER($D$19,J5)</f>
        <v>1.5125256026469198E-2</v>
      </c>
      <c r="P13" s="2">
        <f t="shared" ref="P13:P16" si="9">POWER($D$20,K5)</f>
        <v>1.0477390893335435E-2</v>
      </c>
      <c r="Q13" s="2">
        <f t="shared" ref="Q13:Q16" si="10">POWER($D$21,L5)</f>
        <v>1.0792500393886876E-2</v>
      </c>
      <c r="R13" s="4">
        <f>PRODUCT(G13:Q13)</f>
        <v>2.150930757218724E-36</v>
      </c>
    </row>
    <row r="14" spans="3:18" x14ac:dyDescent="0.3">
      <c r="C14" s="3" t="s">
        <v>14</v>
      </c>
      <c r="D14" s="11">
        <v>9.4375295415156768E-2</v>
      </c>
      <c r="E14" s="11">
        <v>9.9308788263506836E-2</v>
      </c>
      <c r="G14" s="11">
        <v>0.539906103286385</v>
      </c>
      <c r="H14" s="2">
        <f t="shared" si="1"/>
        <v>2.4574898425287345E-6</v>
      </c>
      <c r="I14" s="2">
        <f t="shared" si="2"/>
        <v>2.055844237232938E-3</v>
      </c>
      <c r="J14" s="2">
        <f t="shared" si="3"/>
        <v>8.40572102478993E-4</v>
      </c>
      <c r="K14" s="2">
        <f t="shared" si="4"/>
        <v>1.4532526724240672E-6</v>
      </c>
      <c r="L14" s="2">
        <f t="shared" si="5"/>
        <v>1.1360530323282141E-2</v>
      </c>
      <c r="M14" s="2">
        <f t="shared" si="6"/>
        <v>2.5124768353512966E-4</v>
      </c>
      <c r="N14" s="2">
        <f t="shared" si="7"/>
        <v>1.0713723018749016E-2</v>
      </c>
      <c r="O14" s="2">
        <f t="shared" si="8"/>
        <v>1.5125256026469198E-2</v>
      </c>
      <c r="P14" s="2">
        <f t="shared" si="9"/>
        <v>1.0477390893335435E-2</v>
      </c>
      <c r="Q14" s="2">
        <f t="shared" si="10"/>
        <v>1.0792500393886876E-2</v>
      </c>
      <c r="R14" s="4">
        <f t="shared" ref="R14:R16" si="11">PRODUCT(G14:Q14)</f>
        <v>1.7427509116150089E-31</v>
      </c>
    </row>
    <row r="15" spans="3:18" x14ac:dyDescent="0.3">
      <c r="C15" s="3" t="s">
        <v>10</v>
      </c>
      <c r="D15" s="11">
        <v>0.10642823381124941</v>
      </c>
      <c r="E15" s="11">
        <v>0.10170686979827902</v>
      </c>
      <c r="G15" s="11">
        <v>0.539906103286385</v>
      </c>
      <c r="H15" s="2">
        <f t="shared" si="1"/>
        <v>9.0989461634512772E-7</v>
      </c>
      <c r="I15" s="2">
        <f t="shared" si="2"/>
        <v>1.9163530277562354E-7</v>
      </c>
      <c r="J15" s="2">
        <f t="shared" si="3"/>
        <v>9.4375295415156768E-2</v>
      </c>
      <c r="K15" s="2">
        <f t="shared" si="4"/>
        <v>1.1326968952181972E-2</v>
      </c>
      <c r="L15" s="2">
        <f t="shared" si="5"/>
        <v>1.6656909300990053E-8</v>
      </c>
      <c r="M15" s="2">
        <f t="shared" si="6"/>
        <v>1.5853899047710636E-5</v>
      </c>
      <c r="N15" s="2">
        <f t="shared" si="7"/>
        <v>1.0713723018749016E-2</v>
      </c>
      <c r="O15" s="2">
        <f t="shared" si="8"/>
        <v>1.5125256026469198E-2</v>
      </c>
      <c r="P15" s="2">
        <f t="shared" si="9"/>
        <v>1.0477390893335435E-2</v>
      </c>
      <c r="Q15" s="2">
        <f t="shared" si="10"/>
        <v>1.0792500393886876E-2</v>
      </c>
      <c r="R15" s="4">
        <f t="shared" si="11"/>
        <v>4.8697398645555751E-37</v>
      </c>
    </row>
    <row r="16" spans="3:18" x14ac:dyDescent="0.3">
      <c r="C16" s="3" t="s">
        <v>11</v>
      </c>
      <c r="D16" s="11">
        <v>0.10658578856152513</v>
      </c>
      <c r="E16" s="11">
        <v>0.1033996332345888</v>
      </c>
      <c r="G16" s="11">
        <v>0.539906103286385</v>
      </c>
      <c r="H16" s="2">
        <f t="shared" si="1"/>
        <v>8.2790821285384704E-13</v>
      </c>
      <c r="I16" s="2">
        <f t="shared" si="2"/>
        <v>1.7246599674146239E-13</v>
      </c>
      <c r="J16" s="2">
        <f t="shared" si="3"/>
        <v>7.0656145946595472E-7</v>
      </c>
      <c r="K16" s="2">
        <f t="shared" si="4"/>
        <v>1.2830022564369435E-4</v>
      </c>
      <c r="L16" s="2">
        <f t="shared" si="5"/>
        <v>1.5627701897026441E-7</v>
      </c>
      <c r="M16" s="2">
        <f t="shared" si="6"/>
        <v>6.3125398481768656E-8</v>
      </c>
      <c r="N16" s="2">
        <f t="shared" si="7"/>
        <v>1.0713723018749016E-2</v>
      </c>
      <c r="O16" s="2">
        <f t="shared" si="8"/>
        <v>1.5125256026469198E-2</v>
      </c>
      <c r="P16" s="2">
        <f t="shared" si="9"/>
        <v>1</v>
      </c>
      <c r="Q16" s="2">
        <f t="shared" si="10"/>
        <v>1.0792500393886876E-2</v>
      </c>
      <c r="R16" s="4">
        <f t="shared" si="11"/>
        <v>1.2057180106741955E-55</v>
      </c>
    </row>
    <row r="17" spans="3:18" x14ac:dyDescent="0.3">
      <c r="C17" s="3" t="s">
        <v>15</v>
      </c>
      <c r="D17" s="11">
        <v>6.3100677485426179E-2</v>
      </c>
      <c r="E17" s="11">
        <v>6.7146282973621102E-2</v>
      </c>
    </row>
    <row r="18" spans="3:18" x14ac:dyDescent="0.3">
      <c r="C18" s="3" t="s">
        <v>17</v>
      </c>
      <c r="D18" s="11">
        <v>1.0713723018749016E-2</v>
      </c>
      <c r="E18" s="11">
        <v>1.1426153195090986E-2</v>
      </c>
    </row>
    <row r="19" spans="3:18" x14ac:dyDescent="0.3">
      <c r="C19" s="3" t="s">
        <v>18</v>
      </c>
      <c r="D19" s="11">
        <v>1.5125256026469198E-2</v>
      </c>
      <c r="E19" s="11">
        <v>1.9184652278177457E-2</v>
      </c>
      <c r="G19" s="23" t="s">
        <v>27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3:18" x14ac:dyDescent="0.3">
      <c r="C20" s="3" t="s">
        <v>19</v>
      </c>
      <c r="D20" s="11">
        <v>1.0477390893335435E-2</v>
      </c>
      <c r="E20" s="11">
        <v>1.1144025955706023E-2</v>
      </c>
      <c r="G20" s="3" t="s">
        <v>6</v>
      </c>
      <c r="H20" s="3" t="s">
        <v>12</v>
      </c>
      <c r="I20" s="3" t="s">
        <v>13</v>
      </c>
      <c r="J20" s="3" t="s">
        <v>14</v>
      </c>
      <c r="K20" s="3" t="s">
        <v>10</v>
      </c>
      <c r="L20" s="3" t="s">
        <v>11</v>
      </c>
      <c r="M20" s="3" t="s">
        <v>15</v>
      </c>
      <c r="N20" s="3" t="s">
        <v>17</v>
      </c>
      <c r="O20" s="3" t="s">
        <v>18</v>
      </c>
      <c r="P20" s="3" t="s">
        <v>19</v>
      </c>
      <c r="Q20" s="3" t="s">
        <v>16</v>
      </c>
      <c r="R20" s="3" t="s">
        <v>7</v>
      </c>
    </row>
    <row r="21" spans="3:18" x14ac:dyDescent="0.3">
      <c r="C21" s="3" t="s">
        <v>16</v>
      </c>
      <c r="D21" s="1">
        <v>1.0792500393886876E-2</v>
      </c>
      <c r="E21" s="1">
        <v>1.1990407673860911E-2</v>
      </c>
      <c r="G21" s="1">
        <v>0.460093896713615</v>
      </c>
      <c r="H21" s="2">
        <f>POWER($E$12,C4)</f>
        <v>1.7313975288902784E-11</v>
      </c>
      <c r="I21" s="2">
        <f>POWER($E$13,D4)</f>
        <v>1.1268037750396069E-9</v>
      </c>
      <c r="J21" s="2">
        <f>POWER($E$14,E4)</f>
        <v>9.9308788263506836E-2</v>
      </c>
      <c r="K21" s="2">
        <f>POWER($E$15,F4)</f>
        <v>1.1645351328818997E-9</v>
      </c>
      <c r="L21" s="2">
        <f>POWER($E$16,G4)</f>
        <v>1.3969793384976066E-10</v>
      </c>
      <c r="M21" s="2">
        <f>POWER($E$17,H4)</f>
        <v>4.5086233171735988E-3</v>
      </c>
      <c r="N21" s="2">
        <f>POWER($E$18,I4)</f>
        <v>1.1426153195090986E-2</v>
      </c>
      <c r="O21" s="2">
        <f>POWER($E$19,J4)</f>
        <v>1.9184652278177457E-2</v>
      </c>
      <c r="P21" s="2">
        <f>POWER($E$20,K4)</f>
        <v>1</v>
      </c>
      <c r="Q21" s="2">
        <f>POWER($E$21,L4)</f>
        <v>1.1990407673860911E-2</v>
      </c>
      <c r="R21" s="4">
        <f>PRODUCT(G21:Q21)</f>
        <v>1.7185164613724756E-48</v>
      </c>
    </row>
    <row r="22" spans="3:18" x14ac:dyDescent="0.3">
      <c r="G22" s="1">
        <v>0.460093896713615</v>
      </c>
      <c r="H22" s="2">
        <f t="shared" ref="H22:H25" si="12">POWER($E$12,C5)</f>
        <v>3.3867970915207909E-10</v>
      </c>
      <c r="I22" s="2">
        <f t="shared" ref="I22:I25" si="13">POWER($E$13,D5)</f>
        <v>1.1268037750396069E-9</v>
      </c>
      <c r="J22" s="2">
        <f t="shared" ref="J22:J25" si="14">POWER($E$14,E5)</f>
        <v>1</v>
      </c>
      <c r="K22" s="2">
        <f t="shared" ref="K22:K25" si="15">POWER($E$15,F5)</f>
        <v>1.0883070482889511E-5</v>
      </c>
      <c r="L22" s="2">
        <f t="shared" ref="L22:L25" si="16">POWER($E$16,G5)</f>
        <v>0.1033996332345888</v>
      </c>
      <c r="M22" s="2">
        <f t="shared" ref="M22:M25" si="17">POWER($E$17,H5)</f>
        <v>3.0273729707640473E-4</v>
      </c>
      <c r="N22" s="2">
        <f t="shared" ref="N22:N25" si="18">POWER($E$18,I5)</f>
        <v>1.1426153195090986E-2</v>
      </c>
      <c r="O22" s="2">
        <f t="shared" ref="O22:O25" si="19">POWER($E$19,J5)</f>
        <v>1.9184652278177457E-2</v>
      </c>
      <c r="P22" s="2">
        <f t="shared" ref="P22:P25" si="20">POWER($E$20,K5)</f>
        <v>1.1144025955706023E-2</v>
      </c>
      <c r="Q22" s="2">
        <f t="shared" ref="Q22:Q25" si="21">POWER($E$21,L5)</f>
        <v>1.1990407673860911E-2</v>
      </c>
      <c r="R22" s="4">
        <f t="shared" ref="R22:R25" si="22">PRODUCT(G22:Q22)</f>
        <v>1.7520655555710275E-36</v>
      </c>
    </row>
    <row r="23" spans="3:18" x14ac:dyDescent="0.3">
      <c r="C23" s="3" t="s">
        <v>5</v>
      </c>
      <c r="D23" s="11">
        <v>0.539906103286385</v>
      </c>
      <c r="E23" s="1">
        <v>0.460093896713615</v>
      </c>
      <c r="G23" s="1">
        <v>0.460093896713615</v>
      </c>
      <c r="H23" s="2">
        <f t="shared" si="12"/>
        <v>2.5349321093749175E-6</v>
      </c>
      <c r="I23" s="2">
        <f t="shared" si="13"/>
        <v>1.7649099510404546E-3</v>
      </c>
      <c r="J23" s="2">
        <f t="shared" si="14"/>
        <v>9.7940664976184041E-4</v>
      </c>
      <c r="K23" s="2">
        <f t="shared" si="15"/>
        <v>1.106883032608737E-6</v>
      </c>
      <c r="L23" s="2">
        <f t="shared" si="16"/>
        <v>1.069148415304748E-2</v>
      </c>
      <c r="M23" s="2">
        <f t="shared" si="17"/>
        <v>3.0273729707640473E-4</v>
      </c>
      <c r="N23" s="2">
        <f t="shared" si="18"/>
        <v>1.1426153195090986E-2</v>
      </c>
      <c r="O23" s="2">
        <f t="shared" si="19"/>
        <v>1.9184652278177457E-2</v>
      </c>
      <c r="P23" s="2">
        <f t="shared" si="20"/>
        <v>1.1144025955706023E-2</v>
      </c>
      <c r="Q23" s="2">
        <f t="shared" si="21"/>
        <v>1.1990407673860911E-2</v>
      </c>
      <c r="R23" s="4">
        <f t="shared" si="22"/>
        <v>2.1156026370196352E-31</v>
      </c>
    </row>
    <row r="24" spans="3:18" x14ac:dyDescent="0.3">
      <c r="G24" s="1">
        <v>0.460093896713615</v>
      </c>
      <c r="H24" s="2">
        <f t="shared" si="12"/>
        <v>9.4081060512983595E-7</v>
      </c>
      <c r="I24" s="2">
        <f t="shared" si="13"/>
        <v>1.3085983834317671E-7</v>
      </c>
      <c r="J24" s="2">
        <f t="shared" si="14"/>
        <v>9.9308788263506836E-2</v>
      </c>
      <c r="K24" s="2">
        <f t="shared" si="15"/>
        <v>1.034428736416408E-2</v>
      </c>
      <c r="L24" s="2">
        <f t="shared" si="16"/>
        <v>1.3066280775428305E-8</v>
      </c>
      <c r="M24" s="2">
        <f t="shared" si="17"/>
        <v>2.0327684216161465E-5</v>
      </c>
      <c r="N24" s="2">
        <f t="shared" si="18"/>
        <v>1.1426153195090986E-2</v>
      </c>
      <c r="O24" s="2">
        <f t="shared" si="19"/>
        <v>1.9184652278177457E-2</v>
      </c>
      <c r="P24" s="2">
        <f t="shared" si="20"/>
        <v>1.1144025955706023E-2</v>
      </c>
      <c r="Q24" s="2">
        <f t="shared" si="21"/>
        <v>1.1990407673860911E-2</v>
      </c>
      <c r="R24" s="4">
        <f>PRODUCT(G24:Q24)</f>
        <v>4.5270286827140106E-37</v>
      </c>
    </row>
    <row r="25" spans="3:18" x14ac:dyDescent="0.3">
      <c r="G25" s="1">
        <v>0.460093896713615</v>
      </c>
      <c r="H25" s="2">
        <f t="shared" si="12"/>
        <v>8.8512459472476803E-13</v>
      </c>
      <c r="I25" s="2">
        <f t="shared" si="13"/>
        <v>8.354724259967887E-14</v>
      </c>
      <c r="J25" s="2">
        <f t="shared" si="14"/>
        <v>9.5923738559771245E-7</v>
      </c>
      <c r="K25" s="2">
        <f t="shared" si="15"/>
        <v>1.0700428107240464E-4</v>
      </c>
      <c r="L25" s="2">
        <f t="shared" si="16"/>
        <v>1.263668000232077E-7</v>
      </c>
      <c r="M25" s="2">
        <f t="shared" si="17"/>
        <v>9.1649871041127313E-8</v>
      </c>
      <c r="N25" s="2">
        <f t="shared" si="18"/>
        <v>1.1426153195090986E-2</v>
      </c>
      <c r="O25" s="2">
        <f t="shared" si="19"/>
        <v>1.9184652278177457E-2</v>
      </c>
      <c r="P25" s="2">
        <f t="shared" si="20"/>
        <v>1</v>
      </c>
      <c r="Q25" s="2">
        <f t="shared" si="21"/>
        <v>1.1990407673860911E-2</v>
      </c>
      <c r="R25" s="4">
        <f t="shared" si="22"/>
        <v>1.0630728386208714E-55</v>
      </c>
    </row>
  </sheetData>
  <mergeCells count="5">
    <mergeCell ref="D10:E10"/>
    <mergeCell ref="C10:C11"/>
    <mergeCell ref="G10:R10"/>
    <mergeCell ref="G19:R19"/>
    <mergeCell ref="C2:M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(Randomize)</vt:lpstr>
      <vt:lpstr>Password Strength</vt:lpstr>
      <vt:lpstr>Password Weak</vt:lpstr>
      <vt:lpstr>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Wijaya</dc:creator>
  <cp:lastModifiedBy>STANLEY NATHANAEL WIJAYA</cp:lastModifiedBy>
  <dcterms:created xsi:type="dcterms:W3CDTF">2024-07-18T06:24:20Z</dcterms:created>
  <dcterms:modified xsi:type="dcterms:W3CDTF">2024-08-27T05:35:13Z</dcterms:modified>
</cp:coreProperties>
</file>