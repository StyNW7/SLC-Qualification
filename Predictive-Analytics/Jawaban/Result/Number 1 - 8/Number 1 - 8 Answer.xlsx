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xStyNWx\Documents\BINUS University\Assistant Lab\Post Training\Predictive Analytics\Qualification\Answer\Number 1 - 8\"/>
    </mc:Choice>
  </mc:AlternateContent>
  <xr:revisionPtr revIDLastSave="0" documentId="13_ncr:1_{2F3CB42A-E02D-4187-A695-D11FA6938CE4}" xr6:coauthVersionLast="47" xr6:coauthVersionMax="47" xr10:uidLastSave="{00000000-0000-0000-0000-000000000000}"/>
  <bookViews>
    <workbookView xWindow="-108" yWindow="-108" windowWidth="23256" windowHeight="12456" firstSheet="5" activeTab="8" xr2:uid="{00000000-000D-0000-FFFF-FFFF00000000}"/>
  </bookViews>
  <sheets>
    <sheet name="Formula" sheetId="7" r:id="rId1"/>
    <sheet name="Linear Regression" sheetId="2" r:id="rId2"/>
    <sheet name="Moving Average" sheetId="1" r:id="rId3"/>
    <sheet name="Smoothing" sheetId="6" r:id="rId4"/>
    <sheet name="Multiple Linear Regression" sheetId="4" r:id="rId5"/>
    <sheet name="Probability Distribution" sheetId="5" r:id="rId6"/>
    <sheet name="Binomial Logistic Regression" sheetId="9" r:id="rId7"/>
    <sheet name="MLR" sheetId="12" r:id="rId8"/>
    <sheet name="Market Basket Analysis" sheetId="13" r:id="rId9"/>
  </sheets>
  <definedNames>
    <definedName name="ExternalData_1" localSheetId="6" hidden="1">'Binomial Logistic Regression'!$A$1:$B$450</definedName>
    <definedName name="ExternalData_1" localSheetId="1" hidden="1">'Linear Regression'!$A$1:$B$366</definedName>
    <definedName name="ExternalData_1" localSheetId="7" hidden="1">MLR!$A$1:$D$272</definedName>
    <definedName name="ExternalData_1" localSheetId="2" hidden="1">'Moving Average'!$A$1:$B$366</definedName>
    <definedName name="ExternalData_1" localSheetId="4" hidden="1">'Multiple Linear Regression'!$A$1:$F$450</definedName>
    <definedName name="ExternalData_1" localSheetId="5" hidden="1">'Probability Distribution'!$A$1:$B$366</definedName>
    <definedName name="ExternalData_1" localSheetId="3" hidden="1">Smoothing!$A$1:$B$366</definedName>
    <definedName name="solver_adj" localSheetId="6" hidden="1">'Binomial Logistic Regression'!$L$4:$L$6</definedName>
    <definedName name="solver_adj" localSheetId="7" hidden="1">MLR!$V$5:$AA$7</definedName>
    <definedName name="solver_adj" localSheetId="5" hidden="1">'Probability Distribution'!$K$2,'Probability Distribution'!$K$3</definedName>
    <definedName name="solver_cvg" localSheetId="6" hidden="1">0.0001</definedName>
    <definedName name="solver_cvg" localSheetId="7" hidden="1">0.0001</definedName>
    <definedName name="solver_cvg" localSheetId="5" hidden="1">0.0001</definedName>
    <definedName name="solver_cvg" localSheetId="3" hidden="1">0.0001</definedName>
    <definedName name="solver_drv" localSheetId="6" hidden="1">1</definedName>
    <definedName name="solver_drv" localSheetId="7" hidden="1">1</definedName>
    <definedName name="solver_drv" localSheetId="5" hidden="1">1</definedName>
    <definedName name="solver_drv" localSheetId="3" hidden="1">1</definedName>
    <definedName name="solver_eng" localSheetId="6" hidden="1">1</definedName>
    <definedName name="solver_eng" localSheetId="7" hidden="1">1</definedName>
    <definedName name="solver_eng" localSheetId="5" hidden="1">1</definedName>
    <definedName name="solver_eng" localSheetId="3" hidden="1">1</definedName>
    <definedName name="solver_est" localSheetId="6" hidden="1">1</definedName>
    <definedName name="solver_est" localSheetId="7" hidden="1">1</definedName>
    <definedName name="solver_est" localSheetId="5" hidden="1">1</definedName>
    <definedName name="solver_est" localSheetId="3" hidden="1">1</definedName>
    <definedName name="solver_itr" localSheetId="6" hidden="1">2147483647</definedName>
    <definedName name="solver_itr" localSheetId="7" hidden="1">2147483647</definedName>
    <definedName name="solver_itr" localSheetId="5" hidden="1">2147483647</definedName>
    <definedName name="solver_itr" localSheetId="3" hidden="1">2147483647</definedName>
    <definedName name="solver_lhs1" localSheetId="5" hidden="1">'Probability Distribution'!$K$2</definedName>
    <definedName name="solver_lhs1" localSheetId="3" hidden="1">Smoothing!$G$4</definedName>
    <definedName name="solver_lhs2" localSheetId="5" hidden="1">'Probability Distribution'!$K$2</definedName>
    <definedName name="solver_lhs2" localSheetId="3" hidden="1">Smoothing!$G$4</definedName>
    <definedName name="solver_lhs3" localSheetId="5" hidden="1">'Probability Distribution'!$K$3</definedName>
    <definedName name="solver_lhs4" localSheetId="5" hidden="1">'Probability Distribution'!$K$3</definedName>
    <definedName name="solver_mip" localSheetId="6" hidden="1">2147483647</definedName>
    <definedName name="solver_mip" localSheetId="7" hidden="1">2147483647</definedName>
    <definedName name="solver_mip" localSheetId="5" hidden="1">2147483647</definedName>
    <definedName name="solver_mip" localSheetId="3" hidden="1">2147483647</definedName>
    <definedName name="solver_mni" localSheetId="6" hidden="1">30</definedName>
    <definedName name="solver_mni" localSheetId="7" hidden="1">30</definedName>
    <definedName name="solver_mni" localSheetId="5" hidden="1">30</definedName>
    <definedName name="solver_mni" localSheetId="3" hidden="1">30</definedName>
    <definedName name="solver_mrt" localSheetId="6" hidden="1">0.075</definedName>
    <definedName name="solver_mrt" localSheetId="7" hidden="1">0.075</definedName>
    <definedName name="solver_mrt" localSheetId="5" hidden="1">0.075</definedName>
    <definedName name="solver_mrt" localSheetId="3" hidden="1">0.075</definedName>
    <definedName name="solver_msl" localSheetId="6" hidden="1">2</definedName>
    <definedName name="solver_msl" localSheetId="7" hidden="1">2</definedName>
    <definedName name="solver_msl" localSheetId="5" hidden="1">2</definedName>
    <definedName name="solver_msl" localSheetId="3" hidden="1">2</definedName>
    <definedName name="solver_neg" localSheetId="6" hidden="1">2</definedName>
    <definedName name="solver_neg" localSheetId="7" hidden="1">2</definedName>
    <definedName name="solver_neg" localSheetId="5" hidden="1">2</definedName>
    <definedName name="solver_neg" localSheetId="3" hidden="1">1</definedName>
    <definedName name="solver_nod" localSheetId="6" hidden="1">2147483647</definedName>
    <definedName name="solver_nod" localSheetId="7" hidden="1">2147483647</definedName>
    <definedName name="solver_nod" localSheetId="5" hidden="1">2147483647</definedName>
    <definedName name="solver_nod" localSheetId="3" hidden="1">2147483647</definedName>
    <definedName name="solver_num" localSheetId="6" hidden="1">0</definedName>
    <definedName name="solver_num" localSheetId="7" hidden="1">0</definedName>
    <definedName name="solver_num" localSheetId="5" hidden="1">4</definedName>
    <definedName name="solver_num" localSheetId="3" hidden="1">0</definedName>
    <definedName name="solver_nwt" localSheetId="6" hidden="1">1</definedName>
    <definedName name="solver_nwt" localSheetId="7" hidden="1">1</definedName>
    <definedName name="solver_nwt" localSheetId="5" hidden="1">1</definedName>
    <definedName name="solver_nwt" localSheetId="3" hidden="1">1</definedName>
    <definedName name="solver_opt" localSheetId="6" hidden="1">'Binomial Logistic Regression'!$K$7</definedName>
    <definedName name="solver_opt" localSheetId="7" hidden="1">MLR!$S$4</definedName>
    <definedName name="solver_opt" localSheetId="5" hidden="1">'Probability Distribution'!$K$4</definedName>
    <definedName name="solver_pre" localSheetId="6" hidden="1">0.000001</definedName>
    <definedName name="solver_pre" localSheetId="7" hidden="1">0.000001</definedName>
    <definedName name="solver_pre" localSheetId="5" hidden="1">0.000001</definedName>
    <definedName name="solver_pre" localSheetId="3" hidden="1">0.000001</definedName>
    <definedName name="solver_rbv" localSheetId="6" hidden="1">1</definedName>
    <definedName name="solver_rbv" localSheetId="7" hidden="1">1</definedName>
    <definedName name="solver_rbv" localSheetId="5" hidden="1">1</definedName>
    <definedName name="solver_rbv" localSheetId="3" hidden="1">1</definedName>
    <definedName name="solver_rel1" localSheetId="5" hidden="1">1</definedName>
    <definedName name="solver_rel1" localSheetId="3" hidden="1">1</definedName>
    <definedName name="solver_rel2" localSheetId="5" hidden="1">3</definedName>
    <definedName name="solver_rel2" localSheetId="3" hidden="1">3</definedName>
    <definedName name="solver_rel3" localSheetId="5" hidden="1">1</definedName>
    <definedName name="solver_rel4" localSheetId="5" hidden="1">3</definedName>
    <definedName name="solver_rhs1" localSheetId="5" hidden="1">1</definedName>
    <definedName name="solver_rhs1" localSheetId="3" hidden="1">1</definedName>
    <definedName name="solver_rhs2" localSheetId="5" hidden="1">0</definedName>
    <definedName name="solver_rhs2" localSheetId="3" hidden="1">0</definedName>
    <definedName name="solver_rhs3" localSheetId="5" hidden="1">1</definedName>
    <definedName name="solver_rhs4" localSheetId="5" hidden="1">0</definedName>
    <definedName name="solver_rlx" localSheetId="6" hidden="1">2</definedName>
    <definedName name="solver_rlx" localSheetId="7" hidden="1">2</definedName>
    <definedName name="solver_rlx" localSheetId="5" hidden="1">2</definedName>
    <definedName name="solver_rlx" localSheetId="3" hidden="1">2</definedName>
    <definedName name="solver_rsd" localSheetId="6" hidden="1">0</definedName>
    <definedName name="solver_rsd" localSheetId="7" hidden="1">0</definedName>
    <definedName name="solver_rsd" localSheetId="5" hidden="1">0</definedName>
    <definedName name="solver_rsd" localSheetId="3" hidden="1">0</definedName>
    <definedName name="solver_scl" localSheetId="6" hidden="1">1</definedName>
    <definedName name="solver_scl" localSheetId="7" hidden="1">1</definedName>
    <definedName name="solver_scl" localSheetId="5" hidden="1">1</definedName>
    <definedName name="solver_scl" localSheetId="3" hidden="1">1</definedName>
    <definedName name="solver_sho" localSheetId="6" hidden="1">2</definedName>
    <definedName name="solver_sho" localSheetId="7" hidden="1">2</definedName>
    <definedName name="solver_sho" localSheetId="5" hidden="1">2</definedName>
    <definedName name="solver_sho" localSheetId="3" hidden="1">2</definedName>
    <definedName name="solver_ssz" localSheetId="6" hidden="1">100</definedName>
    <definedName name="solver_ssz" localSheetId="7" hidden="1">100</definedName>
    <definedName name="solver_ssz" localSheetId="5" hidden="1">100</definedName>
    <definedName name="solver_ssz" localSheetId="3" hidden="1">100</definedName>
    <definedName name="solver_tim" localSheetId="6" hidden="1">2147483647</definedName>
    <definedName name="solver_tim" localSheetId="7" hidden="1">2147483647</definedName>
    <definedName name="solver_tim" localSheetId="5" hidden="1">2147483647</definedName>
    <definedName name="solver_tim" localSheetId="3" hidden="1">2147483647</definedName>
    <definedName name="solver_tol" localSheetId="6" hidden="1">0.01</definedName>
    <definedName name="solver_tol" localSheetId="7" hidden="1">0.01</definedName>
    <definedName name="solver_tol" localSheetId="5" hidden="1">0.01</definedName>
    <definedName name="solver_tol" localSheetId="3" hidden="1">0.01</definedName>
    <definedName name="solver_typ" localSheetId="6" hidden="1">1</definedName>
    <definedName name="solver_typ" localSheetId="7" hidden="1">1</definedName>
    <definedName name="solver_typ" localSheetId="5" hidden="1">2</definedName>
    <definedName name="solver_typ" localSheetId="3" hidden="1">1</definedName>
    <definedName name="solver_val" localSheetId="6" hidden="1">0</definedName>
    <definedName name="solver_val" localSheetId="7" hidden="1">0</definedName>
    <definedName name="solver_val" localSheetId="5" hidden="1">0</definedName>
    <definedName name="solver_val" localSheetId="3" hidden="1">0</definedName>
    <definedName name="solver_ver" localSheetId="6" hidden="1">3</definedName>
    <definedName name="solver_ver" localSheetId="7" hidden="1">3</definedName>
    <definedName name="solver_ver" localSheetId="5" hidden="1">3</definedName>
    <definedName name="solver_ver" localSheetId="3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5" i="13" l="1"/>
  <c r="AA12" i="13" s="1"/>
  <c r="X15" i="13" a="1"/>
  <c r="Z29" i="13" a="1"/>
  <c r="X14" i="13" a="1"/>
  <c r="X19" i="13" a="1"/>
  <c r="X17" i="13" a="1"/>
  <c r="Z33" i="13" a="1"/>
  <c r="T22" i="13" a="1"/>
  <c r="T13" i="13" a="1"/>
  <c r="X16" i="13" a="1"/>
  <c r="T10" i="13" a="1"/>
  <c r="X10" i="13" a="1"/>
  <c r="X22" i="13" a="1"/>
  <c r="T11" i="13" a="1"/>
  <c r="X20" i="13" a="1"/>
  <c r="T9" i="13" a="1"/>
  <c r="T15" i="13" a="1"/>
  <c r="T21" i="13" a="1"/>
  <c r="T8" i="13" a="1"/>
  <c r="T23" i="13" a="1"/>
  <c r="X21" i="13" a="1"/>
  <c r="Y32" i="13" a="1"/>
  <c r="Y31" i="13" a="1"/>
  <c r="T12" i="13" a="1"/>
  <c r="Y29" i="13" a="1"/>
  <c r="X24" i="13" a="1"/>
  <c r="T19" i="13" a="1"/>
  <c r="X18" i="13" a="1"/>
  <c r="T16" i="13" a="1"/>
  <c r="Z32" i="13" a="1"/>
  <c r="T14" i="13" a="1"/>
  <c r="T17" i="13" a="1"/>
  <c r="T18" i="13" a="1"/>
  <c r="T24" i="13" a="1"/>
  <c r="Y33" i="13" a="1"/>
  <c r="Z30" i="13" a="1"/>
  <c r="X12" i="13" a="1"/>
  <c r="X11" i="13" a="1"/>
  <c r="X23" i="13" a="1"/>
  <c r="X13" i="13" a="1"/>
  <c r="Z31" i="13" a="1"/>
  <c r="Y30" i="13" a="1"/>
  <c r="T20" i="13" a="1"/>
  <c r="X9" i="13" a="1"/>
  <c r="Z32" i="13" l="1"/>
  <c r="Z30" i="13"/>
  <c r="Z33" i="13"/>
  <c r="Z31" i="13"/>
  <c r="AA18" i="13"/>
  <c r="AA10" i="13"/>
  <c r="AA9" i="13"/>
  <c r="AA17" i="13"/>
  <c r="AA24" i="13"/>
  <c r="AA16" i="13"/>
  <c r="AA19" i="13"/>
  <c r="AA11" i="13"/>
  <c r="AA23" i="13"/>
  <c r="AA15" i="13"/>
  <c r="AA22" i="13"/>
  <c r="AA14" i="13"/>
  <c r="AA21" i="13"/>
  <c r="AA13" i="13"/>
  <c r="AA20" i="13"/>
  <c r="Z29" i="13"/>
  <c r="Y29" i="13"/>
  <c r="Y30" i="13"/>
  <c r="Y32" i="13"/>
  <c r="Y33" i="13"/>
  <c r="Y31" i="13"/>
  <c r="X22" i="13"/>
  <c r="X10" i="13"/>
  <c r="X21" i="13"/>
  <c r="X17" i="13"/>
  <c r="X13" i="13"/>
  <c r="X18" i="13"/>
  <c r="X24" i="13"/>
  <c r="X12" i="13"/>
  <c r="X14" i="13"/>
  <c r="X20" i="13"/>
  <c r="X16" i="13"/>
  <c r="X23" i="13"/>
  <c r="X19" i="13"/>
  <c r="X15" i="13"/>
  <c r="X11" i="13"/>
  <c r="X9" i="13"/>
  <c r="T8" i="13"/>
  <c r="T21" i="13"/>
  <c r="Y22" i="13" s="1"/>
  <c r="T24" i="13"/>
  <c r="T12" i="13"/>
  <c r="Y13" i="13" s="1"/>
  <c r="T19" i="13"/>
  <c r="Y20" i="13" s="1"/>
  <c r="T20" i="13"/>
  <c r="Y21" i="13" s="1"/>
  <c r="T16" i="13"/>
  <c r="Y17" i="13" s="1"/>
  <c r="T23" i="13"/>
  <c r="Y24" i="13" s="1"/>
  <c r="T15" i="13"/>
  <c r="Y16" i="13" s="1"/>
  <c r="T18" i="13"/>
  <c r="Y19" i="13" s="1"/>
  <c r="T10" i="13"/>
  <c r="Y11" i="13" s="1"/>
  <c r="T11" i="13"/>
  <c r="Y12" i="13" s="1"/>
  <c r="T22" i="13"/>
  <c r="Y23" i="13" s="1"/>
  <c r="T14" i="13"/>
  <c r="Y15" i="13" s="1"/>
  <c r="T17" i="13"/>
  <c r="Y18" i="13" s="1"/>
  <c r="T13" i="13"/>
  <c r="Y14" i="13" s="1"/>
  <c r="T9" i="13"/>
  <c r="Y10" i="13" s="1"/>
  <c r="AC17" i="12"/>
  <c r="AB17" i="12"/>
  <c r="AA17" i="12"/>
  <c r="N3" i="12"/>
  <c r="M4" i="12"/>
  <c r="M3" i="12"/>
  <c r="Z17" i="12"/>
  <c r="Y17" i="12"/>
  <c r="K3" i="12"/>
  <c r="J3" i="12"/>
  <c r="X17" i="12"/>
  <c r="T18" i="12"/>
  <c r="T19" i="12" s="1"/>
  <c r="T20" i="12" s="1"/>
  <c r="T21" i="12" s="1"/>
  <c r="T22" i="12" s="1"/>
  <c r="T23" i="12" s="1"/>
  <c r="T24" i="12" s="1"/>
  <c r="T25" i="12" s="1"/>
  <c r="T26" i="12" s="1"/>
  <c r="T27" i="12" s="1"/>
  <c r="V18" i="12"/>
  <c r="V19" i="12" s="1"/>
  <c r="V20" i="12" s="1"/>
  <c r="V21" i="12" s="1"/>
  <c r="V22" i="12" s="1"/>
  <c r="V23" i="12" s="1"/>
  <c r="V24" i="12" s="1"/>
  <c r="V25" i="12" s="1"/>
  <c r="V26" i="12" s="1"/>
  <c r="V27" i="12" s="1"/>
  <c r="U18" i="12"/>
  <c r="U19" i="12" s="1"/>
  <c r="U20" i="12" s="1"/>
  <c r="U21" i="12" s="1"/>
  <c r="U22" i="12" s="1"/>
  <c r="U23" i="12" s="1"/>
  <c r="U24" i="12" s="1"/>
  <c r="U25" i="12" s="1"/>
  <c r="U26" i="12" s="1"/>
  <c r="U27" i="12" s="1"/>
  <c r="S18" i="12"/>
  <c r="S19" i="12" s="1"/>
  <c r="S20" i="12" s="1"/>
  <c r="S21" i="12" s="1"/>
  <c r="S22" i="12" s="1"/>
  <c r="S23" i="12" s="1"/>
  <c r="S24" i="12" s="1"/>
  <c r="S25" i="12" s="1"/>
  <c r="S26" i="12" s="1"/>
  <c r="S27" i="12" s="1"/>
  <c r="AD19" i="12"/>
  <c r="AD20" i="12" s="1"/>
  <c r="AD21" i="12" s="1"/>
  <c r="AD22" i="12" s="1"/>
  <c r="AD23" i="12" s="1"/>
  <c r="AD24" i="12" s="1"/>
  <c r="AD25" i="12" s="1"/>
  <c r="AD26" i="12" s="1"/>
  <c r="AD27" i="12" s="1"/>
  <c r="AD18" i="12"/>
  <c r="L4" i="12"/>
  <c r="L5" i="12"/>
  <c r="L6" i="12"/>
  <c r="L7" i="12"/>
  <c r="L8" i="12"/>
  <c r="L9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39" i="12"/>
  <c r="L40" i="12"/>
  <c r="L41" i="12"/>
  <c r="L42" i="12"/>
  <c r="L43" i="12"/>
  <c r="L44" i="12"/>
  <c r="L45" i="12"/>
  <c r="L46" i="12"/>
  <c r="L47" i="12"/>
  <c r="L48" i="12"/>
  <c r="L49" i="12"/>
  <c r="L50" i="12"/>
  <c r="L51" i="12"/>
  <c r="L52" i="12"/>
  <c r="L53" i="12"/>
  <c r="L54" i="12"/>
  <c r="L55" i="12"/>
  <c r="L56" i="12"/>
  <c r="L57" i="12"/>
  <c r="L58" i="12"/>
  <c r="L59" i="12"/>
  <c r="L60" i="12"/>
  <c r="L61" i="12"/>
  <c r="L62" i="12"/>
  <c r="L63" i="12"/>
  <c r="L64" i="12"/>
  <c r="L65" i="12"/>
  <c r="L66" i="12"/>
  <c r="L67" i="12"/>
  <c r="L68" i="12"/>
  <c r="L69" i="12"/>
  <c r="L70" i="12"/>
  <c r="L71" i="12"/>
  <c r="L72" i="12"/>
  <c r="L73" i="12"/>
  <c r="L74" i="12"/>
  <c r="L75" i="12"/>
  <c r="L76" i="12"/>
  <c r="L77" i="12"/>
  <c r="L78" i="12"/>
  <c r="L79" i="12"/>
  <c r="L80" i="12"/>
  <c r="L81" i="12"/>
  <c r="L82" i="12"/>
  <c r="L83" i="12"/>
  <c r="L84" i="12"/>
  <c r="L85" i="12"/>
  <c r="L86" i="12"/>
  <c r="L87" i="12"/>
  <c r="L88" i="12"/>
  <c r="L89" i="12"/>
  <c r="L90" i="12"/>
  <c r="L91" i="12"/>
  <c r="L92" i="12"/>
  <c r="L93" i="12"/>
  <c r="L94" i="12"/>
  <c r="L95" i="12"/>
  <c r="L96" i="12"/>
  <c r="L97" i="12"/>
  <c r="L98" i="12"/>
  <c r="L99" i="12"/>
  <c r="L100" i="12"/>
  <c r="L101" i="12"/>
  <c r="L102" i="12"/>
  <c r="L103" i="12"/>
  <c r="L104" i="12"/>
  <c r="L105" i="12"/>
  <c r="L106" i="12"/>
  <c r="L107" i="12"/>
  <c r="L108" i="12"/>
  <c r="L109" i="12"/>
  <c r="L110" i="12"/>
  <c r="L111" i="12"/>
  <c r="L112" i="12"/>
  <c r="L113" i="12"/>
  <c r="L114" i="12"/>
  <c r="L115" i="12"/>
  <c r="L116" i="12"/>
  <c r="L117" i="12"/>
  <c r="L118" i="12"/>
  <c r="L119" i="12"/>
  <c r="L120" i="12"/>
  <c r="L121" i="12"/>
  <c r="L122" i="12"/>
  <c r="L123" i="12"/>
  <c r="L124" i="12"/>
  <c r="L125" i="12"/>
  <c r="L126" i="12"/>
  <c r="L127" i="12"/>
  <c r="L128" i="12"/>
  <c r="L129" i="12"/>
  <c r="L130" i="12"/>
  <c r="L131" i="12"/>
  <c r="L132" i="12"/>
  <c r="L133" i="12"/>
  <c r="L134" i="12"/>
  <c r="L135" i="12"/>
  <c r="L136" i="12"/>
  <c r="L137" i="12"/>
  <c r="L138" i="12"/>
  <c r="L139" i="12"/>
  <c r="L140" i="12"/>
  <c r="L141" i="12"/>
  <c r="L142" i="12"/>
  <c r="L143" i="12"/>
  <c r="L144" i="12"/>
  <c r="L145" i="12"/>
  <c r="L146" i="12"/>
  <c r="L147" i="12"/>
  <c r="L148" i="12"/>
  <c r="L149" i="12"/>
  <c r="L150" i="12"/>
  <c r="L151" i="12"/>
  <c r="L152" i="12"/>
  <c r="L153" i="12"/>
  <c r="L154" i="12"/>
  <c r="L155" i="12"/>
  <c r="L156" i="12"/>
  <c r="L157" i="12"/>
  <c r="L158" i="12"/>
  <c r="L159" i="12"/>
  <c r="L160" i="12"/>
  <c r="L161" i="12"/>
  <c r="L162" i="12"/>
  <c r="L163" i="12"/>
  <c r="L164" i="12"/>
  <c r="L165" i="12"/>
  <c r="L166" i="12"/>
  <c r="L167" i="12"/>
  <c r="L168" i="12"/>
  <c r="L169" i="12"/>
  <c r="L170" i="12"/>
  <c r="L171" i="12"/>
  <c r="L172" i="12"/>
  <c r="L173" i="12"/>
  <c r="L174" i="12"/>
  <c r="L175" i="12"/>
  <c r="L176" i="12"/>
  <c r="L177" i="12"/>
  <c r="L178" i="12"/>
  <c r="L179" i="12"/>
  <c r="L180" i="12"/>
  <c r="L181" i="12"/>
  <c r="L182" i="12"/>
  <c r="L183" i="12"/>
  <c r="L184" i="12"/>
  <c r="L185" i="12"/>
  <c r="L186" i="12"/>
  <c r="L187" i="12"/>
  <c r="L188" i="12"/>
  <c r="L189" i="12"/>
  <c r="L190" i="12"/>
  <c r="L191" i="12"/>
  <c r="L192" i="12"/>
  <c r="L193" i="12"/>
  <c r="L194" i="12"/>
  <c r="L195" i="12"/>
  <c r="L196" i="12"/>
  <c r="L197" i="12"/>
  <c r="L198" i="12"/>
  <c r="L199" i="12"/>
  <c r="L200" i="12"/>
  <c r="L201" i="12"/>
  <c r="L202" i="12"/>
  <c r="L203" i="12"/>
  <c r="L204" i="12"/>
  <c r="L205" i="12"/>
  <c r="L206" i="12"/>
  <c r="L207" i="12"/>
  <c r="L208" i="12"/>
  <c r="L209" i="12"/>
  <c r="L210" i="12"/>
  <c r="L211" i="12"/>
  <c r="L212" i="12"/>
  <c r="L213" i="12"/>
  <c r="L214" i="12"/>
  <c r="L215" i="12"/>
  <c r="L216" i="12"/>
  <c r="L217" i="12"/>
  <c r="L218" i="12"/>
  <c r="L219" i="12"/>
  <c r="L220" i="12"/>
  <c r="L221" i="12"/>
  <c r="L222" i="12"/>
  <c r="L223" i="12"/>
  <c r="L224" i="12"/>
  <c r="L225" i="12"/>
  <c r="L226" i="12"/>
  <c r="L227" i="12"/>
  <c r="L228" i="12"/>
  <c r="L229" i="12"/>
  <c r="L230" i="12"/>
  <c r="L231" i="12"/>
  <c r="L232" i="12"/>
  <c r="L233" i="12"/>
  <c r="L234" i="12"/>
  <c r="L235" i="12"/>
  <c r="L236" i="12"/>
  <c r="L237" i="12"/>
  <c r="L238" i="12"/>
  <c r="L239" i="12"/>
  <c r="L240" i="12"/>
  <c r="L241" i="12"/>
  <c r="L242" i="12"/>
  <c r="L243" i="12"/>
  <c r="L244" i="12"/>
  <c r="L245" i="12"/>
  <c r="L246" i="12"/>
  <c r="L247" i="12"/>
  <c r="L248" i="12"/>
  <c r="L249" i="12"/>
  <c r="L250" i="12"/>
  <c r="L251" i="12"/>
  <c r="L252" i="12"/>
  <c r="L253" i="12"/>
  <c r="L254" i="12"/>
  <c r="L255" i="12"/>
  <c r="L256" i="12"/>
  <c r="L257" i="12"/>
  <c r="L258" i="12"/>
  <c r="L259" i="12"/>
  <c r="L260" i="12"/>
  <c r="L261" i="12"/>
  <c r="L262" i="12"/>
  <c r="L263" i="12"/>
  <c r="L264" i="12"/>
  <c r="L265" i="12"/>
  <c r="L266" i="12"/>
  <c r="L267" i="12"/>
  <c r="L268" i="12"/>
  <c r="L269" i="12"/>
  <c r="L270" i="12"/>
  <c r="L271" i="12"/>
  <c r="L272" i="12"/>
  <c r="K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37" i="12"/>
  <c r="K38" i="12"/>
  <c r="K39" i="12"/>
  <c r="K40" i="12"/>
  <c r="K41" i="12"/>
  <c r="K42" i="12"/>
  <c r="K43" i="12"/>
  <c r="K44" i="12"/>
  <c r="K45" i="12"/>
  <c r="K46" i="12"/>
  <c r="K47" i="12"/>
  <c r="K48" i="12"/>
  <c r="K49" i="12"/>
  <c r="K50" i="12"/>
  <c r="K51" i="12"/>
  <c r="K52" i="12"/>
  <c r="K53" i="12"/>
  <c r="K54" i="12"/>
  <c r="K55" i="12"/>
  <c r="K56" i="12"/>
  <c r="K57" i="12"/>
  <c r="K58" i="12"/>
  <c r="K59" i="12"/>
  <c r="K60" i="12"/>
  <c r="K61" i="12"/>
  <c r="K62" i="12"/>
  <c r="K63" i="12"/>
  <c r="K64" i="12"/>
  <c r="K65" i="12"/>
  <c r="K66" i="12"/>
  <c r="K67" i="12"/>
  <c r="K68" i="12"/>
  <c r="K69" i="12"/>
  <c r="K70" i="12"/>
  <c r="K71" i="12"/>
  <c r="K72" i="12"/>
  <c r="K73" i="12"/>
  <c r="K74" i="12"/>
  <c r="K75" i="12"/>
  <c r="K76" i="12"/>
  <c r="K77" i="12"/>
  <c r="K78" i="12"/>
  <c r="K79" i="12"/>
  <c r="K80" i="12"/>
  <c r="K81" i="12"/>
  <c r="K82" i="12"/>
  <c r="K83" i="12"/>
  <c r="K84" i="12"/>
  <c r="K85" i="12"/>
  <c r="K86" i="12"/>
  <c r="K87" i="12"/>
  <c r="K88" i="12"/>
  <c r="K89" i="12"/>
  <c r="K90" i="12"/>
  <c r="K91" i="12"/>
  <c r="K92" i="12"/>
  <c r="K93" i="12"/>
  <c r="K94" i="12"/>
  <c r="K95" i="12"/>
  <c r="K96" i="12"/>
  <c r="K97" i="12"/>
  <c r="K98" i="12"/>
  <c r="K99" i="12"/>
  <c r="K100" i="12"/>
  <c r="K101" i="12"/>
  <c r="K102" i="12"/>
  <c r="K103" i="12"/>
  <c r="K104" i="12"/>
  <c r="K105" i="12"/>
  <c r="K106" i="12"/>
  <c r="K107" i="12"/>
  <c r="K108" i="12"/>
  <c r="K109" i="12"/>
  <c r="K110" i="12"/>
  <c r="K111" i="12"/>
  <c r="K112" i="12"/>
  <c r="K113" i="12"/>
  <c r="K114" i="12"/>
  <c r="K115" i="12"/>
  <c r="K116" i="12"/>
  <c r="K117" i="12"/>
  <c r="K118" i="12"/>
  <c r="K119" i="12"/>
  <c r="K120" i="12"/>
  <c r="K121" i="12"/>
  <c r="K122" i="12"/>
  <c r="K123" i="12"/>
  <c r="K124" i="12"/>
  <c r="K125" i="12"/>
  <c r="K126" i="12"/>
  <c r="K127" i="12"/>
  <c r="K128" i="12"/>
  <c r="K129" i="12"/>
  <c r="K130" i="12"/>
  <c r="K131" i="12"/>
  <c r="K132" i="12"/>
  <c r="K133" i="12"/>
  <c r="K134" i="12"/>
  <c r="K135" i="12"/>
  <c r="K136" i="12"/>
  <c r="K137" i="12"/>
  <c r="K138" i="12"/>
  <c r="K139" i="12"/>
  <c r="K140" i="12"/>
  <c r="K141" i="12"/>
  <c r="K142" i="12"/>
  <c r="K143" i="12"/>
  <c r="K144" i="12"/>
  <c r="K145" i="12"/>
  <c r="K146" i="12"/>
  <c r="K147" i="12"/>
  <c r="K148" i="12"/>
  <c r="K149" i="12"/>
  <c r="K150" i="12"/>
  <c r="K151" i="12"/>
  <c r="K152" i="12"/>
  <c r="K153" i="12"/>
  <c r="K154" i="12"/>
  <c r="K155" i="12"/>
  <c r="K156" i="12"/>
  <c r="K157" i="12"/>
  <c r="K158" i="12"/>
  <c r="K159" i="12"/>
  <c r="K160" i="12"/>
  <c r="K161" i="12"/>
  <c r="K162" i="12"/>
  <c r="K163" i="12"/>
  <c r="K164" i="12"/>
  <c r="K165" i="12"/>
  <c r="K166" i="12"/>
  <c r="K167" i="12"/>
  <c r="K168" i="12"/>
  <c r="K169" i="12"/>
  <c r="K170" i="12"/>
  <c r="K171" i="12"/>
  <c r="K172" i="12"/>
  <c r="K173" i="12"/>
  <c r="K174" i="12"/>
  <c r="K175" i="12"/>
  <c r="K176" i="12"/>
  <c r="K177" i="12"/>
  <c r="K178" i="12"/>
  <c r="K179" i="12"/>
  <c r="K180" i="12"/>
  <c r="K181" i="12"/>
  <c r="K182" i="12"/>
  <c r="K183" i="12"/>
  <c r="K184" i="12"/>
  <c r="K185" i="12"/>
  <c r="K186" i="12"/>
  <c r="K187" i="12"/>
  <c r="K188" i="12"/>
  <c r="K189" i="12"/>
  <c r="K190" i="12"/>
  <c r="K191" i="12"/>
  <c r="K192" i="12"/>
  <c r="K193" i="12"/>
  <c r="K194" i="12"/>
  <c r="K195" i="12"/>
  <c r="K196" i="12"/>
  <c r="K197" i="12"/>
  <c r="K198" i="12"/>
  <c r="K199" i="12"/>
  <c r="K200" i="12"/>
  <c r="K201" i="12"/>
  <c r="K202" i="12"/>
  <c r="K203" i="12"/>
  <c r="K204" i="12"/>
  <c r="K205" i="12"/>
  <c r="K206" i="12"/>
  <c r="K207" i="12"/>
  <c r="K208" i="12"/>
  <c r="K209" i="12"/>
  <c r="K210" i="12"/>
  <c r="K211" i="12"/>
  <c r="K212" i="12"/>
  <c r="K213" i="12"/>
  <c r="K214" i="12"/>
  <c r="K215" i="12"/>
  <c r="K216" i="12"/>
  <c r="K217" i="12"/>
  <c r="K218" i="12"/>
  <c r="K219" i="12"/>
  <c r="K220" i="12"/>
  <c r="K221" i="12"/>
  <c r="K222" i="12"/>
  <c r="K223" i="12"/>
  <c r="K224" i="12"/>
  <c r="K225" i="12"/>
  <c r="K226" i="12"/>
  <c r="K227" i="12"/>
  <c r="K228" i="12"/>
  <c r="K229" i="12"/>
  <c r="K230" i="12"/>
  <c r="K231" i="12"/>
  <c r="K232" i="12"/>
  <c r="K233" i="12"/>
  <c r="K234" i="12"/>
  <c r="K235" i="12"/>
  <c r="K236" i="12"/>
  <c r="K237" i="12"/>
  <c r="K238" i="12"/>
  <c r="K239" i="12"/>
  <c r="K240" i="12"/>
  <c r="K241" i="12"/>
  <c r="K242" i="12"/>
  <c r="K243" i="12"/>
  <c r="K244" i="12"/>
  <c r="K245" i="12"/>
  <c r="K246" i="12"/>
  <c r="K247" i="12"/>
  <c r="K248" i="12"/>
  <c r="K249" i="12"/>
  <c r="K250" i="12"/>
  <c r="K251" i="12"/>
  <c r="K252" i="12"/>
  <c r="K253" i="12"/>
  <c r="K254" i="12"/>
  <c r="K255" i="12"/>
  <c r="K256" i="12"/>
  <c r="K257" i="12"/>
  <c r="K258" i="12"/>
  <c r="K259" i="12"/>
  <c r="K260" i="12"/>
  <c r="K261" i="12"/>
  <c r="K262" i="12"/>
  <c r="K263" i="12"/>
  <c r="K264" i="12"/>
  <c r="K265" i="12"/>
  <c r="K266" i="12"/>
  <c r="K267" i="12"/>
  <c r="K268" i="12"/>
  <c r="K269" i="12"/>
  <c r="K270" i="12"/>
  <c r="K271" i="12"/>
  <c r="K272" i="12"/>
  <c r="L3" i="12"/>
  <c r="J4" i="12"/>
  <c r="J5" i="12"/>
  <c r="J6" i="12"/>
  <c r="J7" i="12"/>
  <c r="M7" i="12" s="1"/>
  <c r="J8" i="12"/>
  <c r="J9" i="12"/>
  <c r="J10" i="12"/>
  <c r="J11" i="12"/>
  <c r="J12" i="12"/>
  <c r="J13" i="12"/>
  <c r="J14" i="12"/>
  <c r="J15" i="12"/>
  <c r="M15" i="12" s="1"/>
  <c r="J16" i="12"/>
  <c r="J17" i="12"/>
  <c r="J18" i="12"/>
  <c r="J19" i="12"/>
  <c r="J20" i="12"/>
  <c r="J21" i="12"/>
  <c r="J22" i="12"/>
  <c r="J23" i="12"/>
  <c r="M23" i="12" s="1"/>
  <c r="J24" i="12"/>
  <c r="J25" i="12"/>
  <c r="J26" i="12"/>
  <c r="J27" i="12"/>
  <c r="J28" i="12"/>
  <c r="J29" i="12"/>
  <c r="J30" i="12"/>
  <c r="J31" i="12"/>
  <c r="M31" i="12" s="1"/>
  <c r="J32" i="12"/>
  <c r="J33" i="12"/>
  <c r="J34" i="12"/>
  <c r="J35" i="12"/>
  <c r="J36" i="12"/>
  <c r="J37" i="12"/>
  <c r="J38" i="12"/>
  <c r="J39" i="12"/>
  <c r="M39" i="12" s="1"/>
  <c r="J40" i="12"/>
  <c r="J41" i="12"/>
  <c r="J42" i="12"/>
  <c r="J43" i="12"/>
  <c r="J44" i="12"/>
  <c r="J45" i="12"/>
  <c r="J46" i="12"/>
  <c r="J47" i="12"/>
  <c r="M47" i="12" s="1"/>
  <c r="J48" i="12"/>
  <c r="J49" i="12"/>
  <c r="J50" i="12"/>
  <c r="J51" i="12"/>
  <c r="J52" i="12"/>
  <c r="J53" i="12"/>
  <c r="J54" i="12"/>
  <c r="J55" i="12"/>
  <c r="M55" i="12" s="1"/>
  <c r="J56" i="12"/>
  <c r="J57" i="12"/>
  <c r="J58" i="12"/>
  <c r="J59" i="12"/>
  <c r="J60" i="12"/>
  <c r="J61" i="12"/>
  <c r="J62" i="12"/>
  <c r="J63" i="12"/>
  <c r="M63" i="12" s="1"/>
  <c r="J64" i="12"/>
  <c r="J65" i="12"/>
  <c r="J66" i="12"/>
  <c r="J67" i="12"/>
  <c r="J68" i="12"/>
  <c r="J69" i="12"/>
  <c r="J70" i="12"/>
  <c r="J71" i="12"/>
  <c r="M71" i="12" s="1"/>
  <c r="J72" i="12"/>
  <c r="J73" i="12"/>
  <c r="J74" i="12"/>
  <c r="J75" i="12"/>
  <c r="J76" i="12"/>
  <c r="J77" i="12"/>
  <c r="J78" i="12"/>
  <c r="J79" i="12"/>
  <c r="M79" i="12" s="1"/>
  <c r="J80" i="12"/>
  <c r="J81" i="12"/>
  <c r="J82" i="12"/>
  <c r="J83" i="12"/>
  <c r="J84" i="12"/>
  <c r="J85" i="12"/>
  <c r="J86" i="12"/>
  <c r="J87" i="12"/>
  <c r="M87" i="12" s="1"/>
  <c r="J88" i="12"/>
  <c r="J89" i="12"/>
  <c r="J90" i="12"/>
  <c r="J91" i="12"/>
  <c r="J92" i="12"/>
  <c r="J93" i="12"/>
  <c r="J94" i="12"/>
  <c r="J95" i="12"/>
  <c r="M95" i="12" s="1"/>
  <c r="J96" i="12"/>
  <c r="J97" i="12"/>
  <c r="J98" i="12"/>
  <c r="J99" i="12"/>
  <c r="J100" i="12"/>
  <c r="J101" i="12"/>
  <c r="J102" i="12"/>
  <c r="J103" i="12"/>
  <c r="M103" i="12" s="1"/>
  <c r="J104" i="12"/>
  <c r="J105" i="12"/>
  <c r="J106" i="12"/>
  <c r="J107" i="12"/>
  <c r="J108" i="12"/>
  <c r="J109" i="12"/>
  <c r="J110" i="12"/>
  <c r="J111" i="12"/>
  <c r="M111" i="12" s="1"/>
  <c r="J112" i="12"/>
  <c r="J113" i="12"/>
  <c r="J114" i="12"/>
  <c r="J115" i="12"/>
  <c r="J116" i="12"/>
  <c r="J117" i="12"/>
  <c r="J118" i="12"/>
  <c r="J119" i="12"/>
  <c r="J120" i="12"/>
  <c r="J121" i="12"/>
  <c r="J122" i="12"/>
  <c r="J123" i="12"/>
  <c r="J124" i="12"/>
  <c r="J125" i="12"/>
  <c r="J126" i="12"/>
  <c r="J127" i="12"/>
  <c r="J128" i="12"/>
  <c r="J129" i="12"/>
  <c r="J130" i="12"/>
  <c r="J131" i="12"/>
  <c r="J132" i="12"/>
  <c r="J133" i="12"/>
  <c r="J134" i="12"/>
  <c r="J135" i="12"/>
  <c r="J136" i="12"/>
  <c r="J137" i="12"/>
  <c r="J138" i="12"/>
  <c r="J139" i="12"/>
  <c r="J140" i="12"/>
  <c r="J141" i="12"/>
  <c r="J142" i="12"/>
  <c r="J143" i="12"/>
  <c r="J144" i="12"/>
  <c r="J145" i="12"/>
  <c r="J146" i="12"/>
  <c r="J147" i="12"/>
  <c r="J148" i="12"/>
  <c r="J149" i="12"/>
  <c r="J150" i="12"/>
  <c r="J151" i="12"/>
  <c r="J152" i="12"/>
  <c r="J153" i="12"/>
  <c r="J154" i="12"/>
  <c r="J155" i="12"/>
  <c r="J156" i="12"/>
  <c r="J157" i="12"/>
  <c r="J158" i="12"/>
  <c r="J159" i="12"/>
  <c r="J160" i="12"/>
  <c r="J161" i="12"/>
  <c r="J162" i="12"/>
  <c r="J163" i="12"/>
  <c r="J164" i="12"/>
  <c r="J165" i="12"/>
  <c r="J166" i="12"/>
  <c r="J167" i="12"/>
  <c r="J168" i="12"/>
  <c r="J169" i="12"/>
  <c r="J170" i="12"/>
  <c r="J171" i="12"/>
  <c r="J172" i="12"/>
  <c r="J173" i="12"/>
  <c r="J174" i="12"/>
  <c r="J175" i="12"/>
  <c r="J176" i="12"/>
  <c r="J177" i="12"/>
  <c r="J178" i="12"/>
  <c r="J179" i="12"/>
  <c r="J180" i="12"/>
  <c r="J181" i="12"/>
  <c r="J182" i="12"/>
  <c r="J183" i="12"/>
  <c r="J184" i="12"/>
  <c r="J185" i="12"/>
  <c r="J186" i="12"/>
  <c r="J187" i="12"/>
  <c r="J188" i="12"/>
  <c r="J189" i="12"/>
  <c r="J190" i="12"/>
  <c r="J191" i="12"/>
  <c r="J192" i="12"/>
  <c r="J193" i="12"/>
  <c r="J194" i="12"/>
  <c r="J195" i="12"/>
  <c r="J196" i="12"/>
  <c r="J197" i="12"/>
  <c r="J198" i="12"/>
  <c r="J199" i="12"/>
  <c r="J200" i="12"/>
  <c r="J201" i="12"/>
  <c r="J202" i="12"/>
  <c r="J203" i="12"/>
  <c r="J204" i="12"/>
  <c r="J205" i="12"/>
  <c r="J206" i="12"/>
  <c r="J207" i="12"/>
  <c r="J208" i="12"/>
  <c r="J209" i="12"/>
  <c r="J210" i="12"/>
  <c r="J211" i="12"/>
  <c r="J212" i="12"/>
  <c r="J213" i="12"/>
  <c r="J214" i="12"/>
  <c r="J215" i="12"/>
  <c r="J216" i="12"/>
  <c r="J217" i="12"/>
  <c r="J218" i="12"/>
  <c r="J219" i="12"/>
  <c r="J220" i="12"/>
  <c r="J221" i="12"/>
  <c r="J222" i="12"/>
  <c r="J223" i="12"/>
  <c r="J224" i="12"/>
  <c r="J225" i="12"/>
  <c r="J226" i="12"/>
  <c r="J227" i="12"/>
  <c r="J228" i="12"/>
  <c r="J229" i="12"/>
  <c r="J230" i="12"/>
  <c r="J231" i="12"/>
  <c r="J232" i="12"/>
  <c r="J233" i="12"/>
  <c r="J234" i="12"/>
  <c r="J235" i="12"/>
  <c r="J236" i="12"/>
  <c r="J237" i="12"/>
  <c r="J238" i="12"/>
  <c r="J239" i="12"/>
  <c r="J240" i="12"/>
  <c r="J241" i="12"/>
  <c r="J242" i="12"/>
  <c r="J243" i="12"/>
  <c r="J244" i="12"/>
  <c r="J245" i="12"/>
  <c r="J246" i="12"/>
  <c r="J247" i="12"/>
  <c r="J248" i="12"/>
  <c r="J249" i="12"/>
  <c r="J250" i="12"/>
  <c r="J251" i="12"/>
  <c r="J252" i="12"/>
  <c r="J253" i="12"/>
  <c r="J254" i="12"/>
  <c r="J255" i="12"/>
  <c r="J256" i="12"/>
  <c r="J257" i="12"/>
  <c r="J258" i="12"/>
  <c r="J259" i="12"/>
  <c r="J260" i="12"/>
  <c r="J261" i="12"/>
  <c r="J262" i="12"/>
  <c r="J263" i="12"/>
  <c r="J264" i="12"/>
  <c r="J265" i="12"/>
  <c r="J266" i="12"/>
  <c r="J267" i="12"/>
  <c r="J268" i="12"/>
  <c r="J269" i="12"/>
  <c r="J270" i="12"/>
  <c r="J271" i="12"/>
  <c r="J272" i="12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37" i="12"/>
  <c r="I38" i="12"/>
  <c r="I39" i="12"/>
  <c r="I40" i="12"/>
  <c r="I41" i="12"/>
  <c r="I42" i="12"/>
  <c r="I43" i="12"/>
  <c r="I44" i="12"/>
  <c r="I45" i="12"/>
  <c r="I46" i="12"/>
  <c r="I47" i="12"/>
  <c r="I48" i="12"/>
  <c r="I49" i="12"/>
  <c r="I50" i="12"/>
  <c r="I51" i="12"/>
  <c r="I52" i="12"/>
  <c r="I53" i="12"/>
  <c r="I54" i="12"/>
  <c r="I55" i="12"/>
  <c r="I56" i="12"/>
  <c r="I57" i="12"/>
  <c r="I58" i="12"/>
  <c r="I59" i="12"/>
  <c r="I60" i="12"/>
  <c r="I61" i="12"/>
  <c r="I62" i="12"/>
  <c r="I63" i="12"/>
  <c r="I64" i="12"/>
  <c r="I65" i="12"/>
  <c r="I66" i="12"/>
  <c r="I67" i="12"/>
  <c r="I68" i="12"/>
  <c r="I69" i="12"/>
  <c r="I70" i="12"/>
  <c r="I71" i="12"/>
  <c r="I72" i="12"/>
  <c r="I73" i="12"/>
  <c r="I74" i="12"/>
  <c r="I75" i="12"/>
  <c r="I76" i="12"/>
  <c r="I77" i="12"/>
  <c r="I78" i="12"/>
  <c r="I79" i="12"/>
  <c r="I80" i="12"/>
  <c r="I81" i="12"/>
  <c r="I82" i="12"/>
  <c r="I83" i="12"/>
  <c r="I84" i="12"/>
  <c r="I85" i="12"/>
  <c r="I86" i="12"/>
  <c r="I87" i="12"/>
  <c r="I88" i="12"/>
  <c r="I89" i="12"/>
  <c r="I90" i="12"/>
  <c r="I91" i="12"/>
  <c r="I92" i="12"/>
  <c r="I93" i="12"/>
  <c r="I94" i="12"/>
  <c r="I95" i="12"/>
  <c r="I96" i="12"/>
  <c r="I97" i="12"/>
  <c r="I98" i="12"/>
  <c r="I99" i="12"/>
  <c r="I100" i="12"/>
  <c r="I101" i="12"/>
  <c r="I102" i="12"/>
  <c r="I103" i="12"/>
  <c r="I104" i="12"/>
  <c r="I105" i="12"/>
  <c r="I106" i="12"/>
  <c r="I107" i="12"/>
  <c r="I108" i="12"/>
  <c r="I109" i="12"/>
  <c r="I110" i="12"/>
  <c r="I111" i="12"/>
  <c r="I112" i="12"/>
  <c r="I113" i="12"/>
  <c r="I114" i="12"/>
  <c r="I115" i="12"/>
  <c r="I116" i="12"/>
  <c r="I117" i="12"/>
  <c r="I118" i="12"/>
  <c r="I119" i="12"/>
  <c r="I120" i="12"/>
  <c r="I121" i="12"/>
  <c r="I122" i="12"/>
  <c r="I123" i="12"/>
  <c r="I124" i="12"/>
  <c r="I125" i="12"/>
  <c r="I126" i="12"/>
  <c r="I127" i="12"/>
  <c r="I128" i="12"/>
  <c r="I129" i="12"/>
  <c r="I130" i="12"/>
  <c r="I131" i="12"/>
  <c r="I132" i="12"/>
  <c r="I133" i="12"/>
  <c r="I134" i="12"/>
  <c r="I135" i="12"/>
  <c r="I136" i="12"/>
  <c r="I137" i="12"/>
  <c r="I138" i="12"/>
  <c r="I139" i="12"/>
  <c r="I140" i="12"/>
  <c r="I141" i="12"/>
  <c r="I142" i="12"/>
  <c r="I143" i="12"/>
  <c r="I144" i="12"/>
  <c r="I145" i="12"/>
  <c r="I146" i="12"/>
  <c r="I147" i="12"/>
  <c r="I148" i="12"/>
  <c r="I149" i="12"/>
  <c r="I150" i="12"/>
  <c r="I151" i="12"/>
  <c r="I152" i="12"/>
  <c r="I153" i="12"/>
  <c r="I154" i="12"/>
  <c r="I155" i="12"/>
  <c r="I156" i="12"/>
  <c r="I157" i="12"/>
  <c r="I158" i="12"/>
  <c r="I159" i="12"/>
  <c r="I160" i="12"/>
  <c r="I161" i="12"/>
  <c r="I162" i="12"/>
  <c r="I163" i="12"/>
  <c r="I164" i="12"/>
  <c r="I165" i="12"/>
  <c r="I166" i="12"/>
  <c r="I167" i="12"/>
  <c r="I168" i="12"/>
  <c r="I169" i="12"/>
  <c r="I170" i="12"/>
  <c r="I171" i="12"/>
  <c r="I172" i="12"/>
  <c r="I173" i="12"/>
  <c r="I174" i="12"/>
  <c r="I175" i="12"/>
  <c r="I176" i="12"/>
  <c r="I177" i="12"/>
  <c r="I178" i="12"/>
  <c r="I179" i="12"/>
  <c r="I180" i="12"/>
  <c r="I181" i="12"/>
  <c r="I182" i="12"/>
  <c r="I183" i="12"/>
  <c r="I184" i="12"/>
  <c r="I185" i="12"/>
  <c r="I186" i="12"/>
  <c r="I187" i="12"/>
  <c r="I188" i="12"/>
  <c r="I189" i="12"/>
  <c r="I190" i="12"/>
  <c r="I191" i="12"/>
  <c r="I192" i="12"/>
  <c r="I193" i="12"/>
  <c r="I194" i="12"/>
  <c r="I195" i="12"/>
  <c r="I196" i="12"/>
  <c r="I197" i="12"/>
  <c r="I198" i="12"/>
  <c r="I199" i="12"/>
  <c r="I200" i="12"/>
  <c r="I201" i="12"/>
  <c r="I202" i="12"/>
  <c r="I203" i="12"/>
  <c r="I204" i="12"/>
  <c r="I205" i="12"/>
  <c r="I206" i="12"/>
  <c r="I207" i="12"/>
  <c r="I208" i="12"/>
  <c r="I209" i="12"/>
  <c r="I210" i="12"/>
  <c r="I211" i="12"/>
  <c r="I212" i="12"/>
  <c r="I213" i="12"/>
  <c r="I214" i="12"/>
  <c r="I215" i="12"/>
  <c r="I216" i="12"/>
  <c r="I217" i="12"/>
  <c r="I218" i="12"/>
  <c r="I219" i="12"/>
  <c r="I220" i="12"/>
  <c r="I221" i="12"/>
  <c r="I222" i="12"/>
  <c r="I223" i="12"/>
  <c r="I224" i="12"/>
  <c r="I225" i="12"/>
  <c r="I226" i="12"/>
  <c r="I227" i="12"/>
  <c r="I228" i="12"/>
  <c r="I229" i="12"/>
  <c r="I230" i="12"/>
  <c r="I231" i="12"/>
  <c r="I232" i="12"/>
  <c r="I233" i="12"/>
  <c r="I234" i="12"/>
  <c r="I235" i="12"/>
  <c r="I236" i="12"/>
  <c r="I237" i="12"/>
  <c r="I238" i="12"/>
  <c r="I239" i="12"/>
  <c r="I240" i="12"/>
  <c r="I241" i="12"/>
  <c r="I242" i="12"/>
  <c r="I243" i="12"/>
  <c r="I244" i="12"/>
  <c r="I245" i="12"/>
  <c r="I246" i="12"/>
  <c r="I247" i="12"/>
  <c r="I248" i="12"/>
  <c r="I249" i="12"/>
  <c r="I250" i="12"/>
  <c r="I251" i="12"/>
  <c r="I252" i="12"/>
  <c r="I253" i="12"/>
  <c r="I254" i="12"/>
  <c r="I255" i="12"/>
  <c r="I256" i="12"/>
  <c r="I257" i="12"/>
  <c r="I258" i="12"/>
  <c r="I259" i="12"/>
  <c r="I260" i="12"/>
  <c r="I261" i="12"/>
  <c r="I262" i="12"/>
  <c r="I263" i="12"/>
  <c r="I264" i="12"/>
  <c r="I265" i="12"/>
  <c r="I266" i="12"/>
  <c r="I267" i="12"/>
  <c r="I268" i="12"/>
  <c r="I269" i="12"/>
  <c r="I270" i="12"/>
  <c r="I271" i="12"/>
  <c r="I272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G95" i="12"/>
  <c r="G96" i="12"/>
  <c r="G97" i="12"/>
  <c r="G98" i="12"/>
  <c r="G99" i="12"/>
  <c r="G100" i="12"/>
  <c r="G101" i="12"/>
  <c r="G102" i="12"/>
  <c r="G103" i="12"/>
  <c r="G104" i="12"/>
  <c r="G105" i="12"/>
  <c r="G106" i="12"/>
  <c r="G107" i="12"/>
  <c r="G108" i="12"/>
  <c r="G109" i="12"/>
  <c r="G110" i="12"/>
  <c r="G111" i="12"/>
  <c r="G112" i="12"/>
  <c r="G113" i="12"/>
  <c r="G114" i="12"/>
  <c r="G115" i="12"/>
  <c r="G116" i="12"/>
  <c r="G117" i="12"/>
  <c r="G118" i="12"/>
  <c r="G119" i="12"/>
  <c r="G120" i="12"/>
  <c r="G121" i="12"/>
  <c r="G122" i="12"/>
  <c r="G123" i="12"/>
  <c r="G124" i="12"/>
  <c r="G125" i="12"/>
  <c r="G126" i="12"/>
  <c r="G127" i="12"/>
  <c r="G128" i="12"/>
  <c r="G129" i="12"/>
  <c r="G130" i="12"/>
  <c r="G131" i="12"/>
  <c r="G132" i="12"/>
  <c r="G133" i="12"/>
  <c r="G134" i="12"/>
  <c r="G135" i="12"/>
  <c r="G136" i="12"/>
  <c r="G137" i="12"/>
  <c r="G138" i="12"/>
  <c r="G139" i="12"/>
  <c r="G140" i="12"/>
  <c r="G141" i="12"/>
  <c r="G142" i="12"/>
  <c r="G143" i="12"/>
  <c r="G144" i="12"/>
  <c r="G145" i="12"/>
  <c r="G146" i="12"/>
  <c r="G147" i="12"/>
  <c r="G148" i="12"/>
  <c r="G149" i="12"/>
  <c r="G150" i="12"/>
  <c r="G151" i="12"/>
  <c r="G152" i="12"/>
  <c r="G153" i="12"/>
  <c r="G154" i="12"/>
  <c r="G155" i="12"/>
  <c r="G156" i="12"/>
  <c r="G157" i="12"/>
  <c r="G158" i="12"/>
  <c r="G159" i="12"/>
  <c r="G160" i="12"/>
  <c r="G161" i="12"/>
  <c r="G162" i="12"/>
  <c r="G163" i="12"/>
  <c r="G164" i="12"/>
  <c r="G165" i="12"/>
  <c r="G166" i="12"/>
  <c r="G167" i="12"/>
  <c r="G168" i="12"/>
  <c r="G169" i="12"/>
  <c r="G170" i="12"/>
  <c r="G171" i="12"/>
  <c r="G172" i="12"/>
  <c r="G173" i="12"/>
  <c r="G174" i="12"/>
  <c r="G175" i="12"/>
  <c r="G176" i="12"/>
  <c r="G177" i="12"/>
  <c r="G178" i="12"/>
  <c r="G179" i="12"/>
  <c r="G180" i="12"/>
  <c r="G181" i="12"/>
  <c r="G182" i="12"/>
  <c r="G183" i="12"/>
  <c r="G184" i="12"/>
  <c r="G185" i="12"/>
  <c r="G186" i="12"/>
  <c r="G187" i="12"/>
  <c r="G188" i="12"/>
  <c r="G189" i="12"/>
  <c r="G190" i="12"/>
  <c r="G191" i="12"/>
  <c r="G192" i="12"/>
  <c r="G193" i="12"/>
  <c r="G194" i="12"/>
  <c r="G195" i="12"/>
  <c r="G196" i="12"/>
  <c r="G197" i="12"/>
  <c r="G198" i="12"/>
  <c r="G199" i="12"/>
  <c r="G200" i="12"/>
  <c r="G201" i="12"/>
  <c r="G202" i="12"/>
  <c r="G203" i="12"/>
  <c r="G204" i="12"/>
  <c r="G205" i="12"/>
  <c r="G206" i="12"/>
  <c r="G207" i="12"/>
  <c r="G208" i="12"/>
  <c r="G209" i="12"/>
  <c r="G210" i="12"/>
  <c r="G211" i="12"/>
  <c r="G212" i="12"/>
  <c r="G213" i="12"/>
  <c r="G214" i="12"/>
  <c r="G215" i="12"/>
  <c r="G216" i="12"/>
  <c r="G217" i="12"/>
  <c r="G218" i="12"/>
  <c r="G219" i="12"/>
  <c r="G220" i="12"/>
  <c r="G221" i="12"/>
  <c r="G222" i="12"/>
  <c r="G223" i="12"/>
  <c r="G224" i="12"/>
  <c r="G225" i="12"/>
  <c r="G226" i="12"/>
  <c r="G227" i="12"/>
  <c r="G228" i="12"/>
  <c r="G229" i="12"/>
  <c r="G230" i="12"/>
  <c r="G231" i="12"/>
  <c r="G232" i="12"/>
  <c r="G233" i="12"/>
  <c r="G234" i="12"/>
  <c r="G235" i="12"/>
  <c r="G236" i="12"/>
  <c r="G237" i="12"/>
  <c r="G238" i="12"/>
  <c r="G239" i="12"/>
  <c r="G240" i="12"/>
  <c r="G241" i="12"/>
  <c r="G242" i="12"/>
  <c r="G243" i="12"/>
  <c r="G244" i="12"/>
  <c r="G245" i="12"/>
  <c r="G246" i="12"/>
  <c r="G247" i="12"/>
  <c r="G248" i="12"/>
  <c r="G249" i="12"/>
  <c r="G250" i="12"/>
  <c r="G251" i="12"/>
  <c r="G252" i="12"/>
  <c r="G253" i="12"/>
  <c r="G254" i="12"/>
  <c r="G255" i="12"/>
  <c r="G256" i="12"/>
  <c r="G257" i="12"/>
  <c r="G258" i="12"/>
  <c r="G259" i="12"/>
  <c r="G260" i="12"/>
  <c r="G261" i="12"/>
  <c r="G262" i="12"/>
  <c r="G263" i="12"/>
  <c r="G264" i="12"/>
  <c r="G265" i="12"/>
  <c r="G266" i="12"/>
  <c r="G267" i="12"/>
  <c r="G268" i="12"/>
  <c r="G269" i="12"/>
  <c r="G270" i="12"/>
  <c r="G271" i="12"/>
  <c r="G272" i="12"/>
  <c r="I3" i="12"/>
  <c r="H3" i="12"/>
  <c r="G3" i="12"/>
  <c r="E2" i="9"/>
  <c r="F2" i="9" s="1"/>
  <c r="G2" i="9" s="1"/>
  <c r="H2" i="9" s="1"/>
  <c r="E3" i="9"/>
  <c r="F3" i="9" s="1"/>
  <c r="G3" i="9" s="1"/>
  <c r="H3" i="9" s="1"/>
  <c r="E4" i="9"/>
  <c r="F4" i="9" s="1"/>
  <c r="G4" i="9" s="1"/>
  <c r="H4" i="9" s="1"/>
  <c r="E5" i="9"/>
  <c r="F5" i="9" s="1"/>
  <c r="G5" i="9" s="1"/>
  <c r="H5" i="9" s="1"/>
  <c r="E6" i="9"/>
  <c r="F6" i="9" s="1"/>
  <c r="G6" i="9" s="1"/>
  <c r="H6" i="9" s="1"/>
  <c r="E7" i="9"/>
  <c r="F7" i="9" s="1"/>
  <c r="G7" i="9" s="1"/>
  <c r="H7" i="9" s="1"/>
  <c r="E8" i="9"/>
  <c r="F8" i="9" s="1"/>
  <c r="G8" i="9" s="1"/>
  <c r="H8" i="9" s="1"/>
  <c r="E9" i="9"/>
  <c r="F9" i="9" s="1"/>
  <c r="G9" i="9" s="1"/>
  <c r="H9" i="9" s="1"/>
  <c r="E10" i="9"/>
  <c r="F10" i="9" s="1"/>
  <c r="G10" i="9" s="1"/>
  <c r="H10" i="9" s="1"/>
  <c r="E11" i="9"/>
  <c r="F11" i="9" s="1"/>
  <c r="G11" i="9" s="1"/>
  <c r="H11" i="9" s="1"/>
  <c r="E12" i="9"/>
  <c r="F12" i="9" s="1"/>
  <c r="G12" i="9" s="1"/>
  <c r="H12" i="9" s="1"/>
  <c r="E13" i="9"/>
  <c r="F13" i="9" s="1"/>
  <c r="G13" i="9" s="1"/>
  <c r="H13" i="9" s="1"/>
  <c r="E14" i="9"/>
  <c r="F14" i="9" s="1"/>
  <c r="G14" i="9" s="1"/>
  <c r="H14" i="9" s="1"/>
  <c r="E15" i="9"/>
  <c r="F15" i="9" s="1"/>
  <c r="G15" i="9" s="1"/>
  <c r="H15" i="9" s="1"/>
  <c r="E16" i="9"/>
  <c r="F16" i="9" s="1"/>
  <c r="G16" i="9" s="1"/>
  <c r="H16" i="9" s="1"/>
  <c r="E17" i="9"/>
  <c r="F17" i="9" s="1"/>
  <c r="G17" i="9" s="1"/>
  <c r="H17" i="9" s="1"/>
  <c r="L17" i="9"/>
  <c r="M17" i="9" s="1"/>
  <c r="N17" i="9" s="1"/>
  <c r="E18" i="9"/>
  <c r="F18" i="9" s="1"/>
  <c r="G18" i="9" s="1"/>
  <c r="H18" i="9" s="1"/>
  <c r="L18" i="9"/>
  <c r="M18" i="9" s="1"/>
  <c r="N18" i="9" s="1"/>
  <c r="O18" i="9"/>
  <c r="E19" i="9"/>
  <c r="F19" i="9" s="1"/>
  <c r="G19" i="9" s="1"/>
  <c r="H19" i="9" s="1"/>
  <c r="L19" i="9"/>
  <c r="M19" i="9" s="1"/>
  <c r="N19" i="9" s="1"/>
  <c r="O19" i="9"/>
  <c r="E20" i="9"/>
  <c r="F20" i="9" s="1"/>
  <c r="G20" i="9" s="1"/>
  <c r="H20" i="9" s="1"/>
  <c r="L20" i="9"/>
  <c r="M20" i="9" s="1"/>
  <c r="N20" i="9" s="1"/>
  <c r="O20" i="9"/>
  <c r="E21" i="9"/>
  <c r="F21" i="9" s="1"/>
  <c r="G21" i="9" s="1"/>
  <c r="H21" i="9" s="1"/>
  <c r="L21" i="9"/>
  <c r="M21" i="9" s="1"/>
  <c r="N21" i="9" s="1"/>
  <c r="O21" i="9"/>
  <c r="E22" i="9"/>
  <c r="F22" i="9" s="1"/>
  <c r="G22" i="9" s="1"/>
  <c r="H22" i="9" s="1"/>
  <c r="L22" i="9"/>
  <c r="M22" i="9" s="1"/>
  <c r="N22" i="9" s="1"/>
  <c r="O22" i="9"/>
  <c r="E23" i="9"/>
  <c r="F23" i="9" s="1"/>
  <c r="G23" i="9" s="1"/>
  <c r="H23" i="9" s="1"/>
  <c r="L23" i="9"/>
  <c r="M23" i="9" s="1"/>
  <c r="N23" i="9" s="1"/>
  <c r="O23" i="9"/>
  <c r="E24" i="9"/>
  <c r="F24" i="9" s="1"/>
  <c r="G24" i="9" s="1"/>
  <c r="H24" i="9" s="1"/>
  <c r="L24" i="9"/>
  <c r="M24" i="9" s="1"/>
  <c r="N24" i="9" s="1"/>
  <c r="O24" i="9"/>
  <c r="E25" i="9"/>
  <c r="F25" i="9" s="1"/>
  <c r="G25" i="9" s="1"/>
  <c r="H25" i="9" s="1"/>
  <c r="L25" i="9"/>
  <c r="M25" i="9" s="1"/>
  <c r="N25" i="9" s="1"/>
  <c r="O25" i="9"/>
  <c r="E26" i="9"/>
  <c r="F26" i="9" s="1"/>
  <c r="G26" i="9" s="1"/>
  <c r="H26" i="9" s="1"/>
  <c r="L26" i="9"/>
  <c r="M26" i="9" s="1"/>
  <c r="N26" i="9" s="1"/>
  <c r="O26" i="9"/>
  <c r="E27" i="9"/>
  <c r="F27" i="9" s="1"/>
  <c r="G27" i="9" s="1"/>
  <c r="H27" i="9" s="1"/>
  <c r="E28" i="9"/>
  <c r="F28" i="9" s="1"/>
  <c r="G28" i="9" s="1"/>
  <c r="H28" i="9" s="1"/>
  <c r="E29" i="9"/>
  <c r="F29" i="9" s="1"/>
  <c r="G29" i="9" s="1"/>
  <c r="H29" i="9" s="1"/>
  <c r="E30" i="9"/>
  <c r="F30" i="9" s="1"/>
  <c r="G30" i="9" s="1"/>
  <c r="H30" i="9" s="1"/>
  <c r="E31" i="9"/>
  <c r="F31" i="9" s="1"/>
  <c r="G31" i="9" s="1"/>
  <c r="H31" i="9" s="1"/>
  <c r="E32" i="9"/>
  <c r="F32" i="9" s="1"/>
  <c r="G32" i="9" s="1"/>
  <c r="H32" i="9" s="1"/>
  <c r="E33" i="9"/>
  <c r="F33" i="9" s="1"/>
  <c r="G33" i="9" s="1"/>
  <c r="H33" i="9" s="1"/>
  <c r="E34" i="9"/>
  <c r="F34" i="9" s="1"/>
  <c r="G34" i="9" s="1"/>
  <c r="H34" i="9" s="1"/>
  <c r="E35" i="9"/>
  <c r="F35" i="9" s="1"/>
  <c r="G35" i="9" s="1"/>
  <c r="H35" i="9" s="1"/>
  <c r="E36" i="9"/>
  <c r="F36" i="9" s="1"/>
  <c r="G36" i="9" s="1"/>
  <c r="H36" i="9" s="1"/>
  <c r="E37" i="9"/>
  <c r="F37" i="9" s="1"/>
  <c r="G37" i="9" s="1"/>
  <c r="H37" i="9" s="1"/>
  <c r="E38" i="9"/>
  <c r="F38" i="9" s="1"/>
  <c r="G38" i="9" s="1"/>
  <c r="H38" i="9" s="1"/>
  <c r="E39" i="9"/>
  <c r="F39" i="9" s="1"/>
  <c r="G39" i="9" s="1"/>
  <c r="H39" i="9" s="1"/>
  <c r="E40" i="9"/>
  <c r="F40" i="9" s="1"/>
  <c r="G40" i="9" s="1"/>
  <c r="H40" i="9" s="1"/>
  <c r="E41" i="9"/>
  <c r="F41" i="9" s="1"/>
  <c r="G41" i="9" s="1"/>
  <c r="H41" i="9" s="1"/>
  <c r="E42" i="9"/>
  <c r="F42" i="9" s="1"/>
  <c r="G42" i="9" s="1"/>
  <c r="H42" i="9" s="1"/>
  <c r="E43" i="9"/>
  <c r="F43" i="9" s="1"/>
  <c r="G43" i="9" s="1"/>
  <c r="H43" i="9" s="1"/>
  <c r="E44" i="9"/>
  <c r="F44" i="9" s="1"/>
  <c r="G44" i="9" s="1"/>
  <c r="H44" i="9" s="1"/>
  <c r="E45" i="9"/>
  <c r="F45" i="9" s="1"/>
  <c r="G45" i="9" s="1"/>
  <c r="H45" i="9" s="1"/>
  <c r="E46" i="9"/>
  <c r="F46" i="9" s="1"/>
  <c r="G46" i="9" s="1"/>
  <c r="H46" i="9" s="1"/>
  <c r="E47" i="9"/>
  <c r="F47" i="9" s="1"/>
  <c r="G47" i="9" s="1"/>
  <c r="H47" i="9" s="1"/>
  <c r="E48" i="9"/>
  <c r="F48" i="9" s="1"/>
  <c r="G48" i="9" s="1"/>
  <c r="H48" i="9" s="1"/>
  <c r="E49" i="9"/>
  <c r="F49" i="9" s="1"/>
  <c r="G49" i="9" s="1"/>
  <c r="H49" i="9" s="1"/>
  <c r="E50" i="9"/>
  <c r="F50" i="9" s="1"/>
  <c r="G50" i="9" s="1"/>
  <c r="H50" i="9" s="1"/>
  <c r="E51" i="9"/>
  <c r="F51" i="9" s="1"/>
  <c r="G51" i="9" s="1"/>
  <c r="H51" i="9" s="1"/>
  <c r="E52" i="9"/>
  <c r="F52" i="9" s="1"/>
  <c r="G52" i="9" s="1"/>
  <c r="H52" i="9" s="1"/>
  <c r="E53" i="9"/>
  <c r="F53" i="9" s="1"/>
  <c r="G53" i="9" s="1"/>
  <c r="H53" i="9" s="1"/>
  <c r="E54" i="9"/>
  <c r="F54" i="9" s="1"/>
  <c r="G54" i="9" s="1"/>
  <c r="H54" i="9" s="1"/>
  <c r="E55" i="9"/>
  <c r="F55" i="9" s="1"/>
  <c r="G55" i="9" s="1"/>
  <c r="H55" i="9" s="1"/>
  <c r="E56" i="9"/>
  <c r="F56" i="9" s="1"/>
  <c r="G56" i="9" s="1"/>
  <c r="H56" i="9" s="1"/>
  <c r="E57" i="9"/>
  <c r="F57" i="9" s="1"/>
  <c r="G57" i="9" s="1"/>
  <c r="H57" i="9" s="1"/>
  <c r="E58" i="9"/>
  <c r="F58" i="9" s="1"/>
  <c r="G58" i="9" s="1"/>
  <c r="H58" i="9" s="1"/>
  <c r="E59" i="9"/>
  <c r="F59" i="9" s="1"/>
  <c r="G59" i="9" s="1"/>
  <c r="H59" i="9" s="1"/>
  <c r="E60" i="9"/>
  <c r="F60" i="9" s="1"/>
  <c r="G60" i="9" s="1"/>
  <c r="H60" i="9" s="1"/>
  <c r="E61" i="9"/>
  <c r="F61" i="9" s="1"/>
  <c r="G61" i="9" s="1"/>
  <c r="H61" i="9" s="1"/>
  <c r="E62" i="9"/>
  <c r="F62" i="9" s="1"/>
  <c r="G62" i="9" s="1"/>
  <c r="H62" i="9" s="1"/>
  <c r="E63" i="9"/>
  <c r="F63" i="9" s="1"/>
  <c r="G63" i="9" s="1"/>
  <c r="H63" i="9" s="1"/>
  <c r="E64" i="9"/>
  <c r="F64" i="9" s="1"/>
  <c r="G64" i="9" s="1"/>
  <c r="H64" i="9" s="1"/>
  <c r="E65" i="9"/>
  <c r="F65" i="9" s="1"/>
  <c r="G65" i="9" s="1"/>
  <c r="H65" i="9" s="1"/>
  <c r="E66" i="9"/>
  <c r="F66" i="9" s="1"/>
  <c r="G66" i="9" s="1"/>
  <c r="H66" i="9" s="1"/>
  <c r="E67" i="9"/>
  <c r="F67" i="9" s="1"/>
  <c r="G67" i="9" s="1"/>
  <c r="H67" i="9" s="1"/>
  <c r="E68" i="9"/>
  <c r="F68" i="9" s="1"/>
  <c r="G68" i="9" s="1"/>
  <c r="H68" i="9" s="1"/>
  <c r="E69" i="9"/>
  <c r="F69" i="9" s="1"/>
  <c r="G69" i="9" s="1"/>
  <c r="H69" i="9" s="1"/>
  <c r="E70" i="9"/>
  <c r="F70" i="9" s="1"/>
  <c r="G70" i="9" s="1"/>
  <c r="H70" i="9" s="1"/>
  <c r="E71" i="9"/>
  <c r="F71" i="9" s="1"/>
  <c r="G71" i="9" s="1"/>
  <c r="H71" i="9" s="1"/>
  <c r="E72" i="9"/>
  <c r="F72" i="9" s="1"/>
  <c r="G72" i="9" s="1"/>
  <c r="H72" i="9" s="1"/>
  <c r="E73" i="9"/>
  <c r="F73" i="9" s="1"/>
  <c r="G73" i="9" s="1"/>
  <c r="H73" i="9" s="1"/>
  <c r="E74" i="9"/>
  <c r="F74" i="9" s="1"/>
  <c r="G74" i="9" s="1"/>
  <c r="H74" i="9" s="1"/>
  <c r="E75" i="9"/>
  <c r="F75" i="9" s="1"/>
  <c r="G75" i="9" s="1"/>
  <c r="H75" i="9" s="1"/>
  <c r="E76" i="9"/>
  <c r="F76" i="9" s="1"/>
  <c r="G76" i="9" s="1"/>
  <c r="H76" i="9" s="1"/>
  <c r="E77" i="9"/>
  <c r="F77" i="9" s="1"/>
  <c r="G77" i="9" s="1"/>
  <c r="H77" i="9" s="1"/>
  <c r="E78" i="9"/>
  <c r="F78" i="9" s="1"/>
  <c r="G78" i="9" s="1"/>
  <c r="H78" i="9" s="1"/>
  <c r="E79" i="9"/>
  <c r="F79" i="9" s="1"/>
  <c r="G79" i="9" s="1"/>
  <c r="H79" i="9" s="1"/>
  <c r="E80" i="9"/>
  <c r="F80" i="9" s="1"/>
  <c r="G80" i="9" s="1"/>
  <c r="H80" i="9" s="1"/>
  <c r="E81" i="9"/>
  <c r="F81" i="9" s="1"/>
  <c r="G81" i="9" s="1"/>
  <c r="H81" i="9" s="1"/>
  <c r="E82" i="9"/>
  <c r="F82" i="9" s="1"/>
  <c r="G82" i="9" s="1"/>
  <c r="H82" i="9" s="1"/>
  <c r="E83" i="9"/>
  <c r="F83" i="9" s="1"/>
  <c r="G83" i="9" s="1"/>
  <c r="H83" i="9" s="1"/>
  <c r="E84" i="9"/>
  <c r="F84" i="9" s="1"/>
  <c r="G84" i="9" s="1"/>
  <c r="H84" i="9" s="1"/>
  <c r="E85" i="9"/>
  <c r="F85" i="9" s="1"/>
  <c r="G85" i="9" s="1"/>
  <c r="H85" i="9" s="1"/>
  <c r="E86" i="9"/>
  <c r="F86" i="9" s="1"/>
  <c r="G86" i="9" s="1"/>
  <c r="H86" i="9" s="1"/>
  <c r="E87" i="9"/>
  <c r="F87" i="9" s="1"/>
  <c r="G87" i="9" s="1"/>
  <c r="H87" i="9" s="1"/>
  <c r="E88" i="9"/>
  <c r="F88" i="9" s="1"/>
  <c r="G88" i="9" s="1"/>
  <c r="H88" i="9" s="1"/>
  <c r="E89" i="9"/>
  <c r="F89" i="9" s="1"/>
  <c r="G89" i="9" s="1"/>
  <c r="H89" i="9" s="1"/>
  <c r="E90" i="9"/>
  <c r="F90" i="9" s="1"/>
  <c r="G90" i="9" s="1"/>
  <c r="H90" i="9" s="1"/>
  <c r="E91" i="9"/>
  <c r="F91" i="9" s="1"/>
  <c r="G91" i="9" s="1"/>
  <c r="H91" i="9" s="1"/>
  <c r="E92" i="9"/>
  <c r="F92" i="9" s="1"/>
  <c r="G92" i="9" s="1"/>
  <c r="H92" i="9" s="1"/>
  <c r="E93" i="9"/>
  <c r="F93" i="9" s="1"/>
  <c r="G93" i="9" s="1"/>
  <c r="H93" i="9" s="1"/>
  <c r="E94" i="9"/>
  <c r="F94" i="9" s="1"/>
  <c r="G94" i="9" s="1"/>
  <c r="H94" i="9" s="1"/>
  <c r="E95" i="9"/>
  <c r="F95" i="9" s="1"/>
  <c r="G95" i="9" s="1"/>
  <c r="H95" i="9" s="1"/>
  <c r="E96" i="9"/>
  <c r="F96" i="9" s="1"/>
  <c r="G96" i="9" s="1"/>
  <c r="H96" i="9" s="1"/>
  <c r="E97" i="9"/>
  <c r="F97" i="9" s="1"/>
  <c r="G97" i="9" s="1"/>
  <c r="H97" i="9" s="1"/>
  <c r="E98" i="9"/>
  <c r="F98" i="9" s="1"/>
  <c r="G98" i="9" s="1"/>
  <c r="H98" i="9" s="1"/>
  <c r="E99" i="9"/>
  <c r="F99" i="9" s="1"/>
  <c r="G99" i="9" s="1"/>
  <c r="H99" i="9" s="1"/>
  <c r="E100" i="9"/>
  <c r="F100" i="9" s="1"/>
  <c r="G100" i="9" s="1"/>
  <c r="H100" i="9" s="1"/>
  <c r="E101" i="9"/>
  <c r="F101" i="9" s="1"/>
  <c r="G101" i="9" s="1"/>
  <c r="H101" i="9" s="1"/>
  <c r="E102" i="9"/>
  <c r="F102" i="9" s="1"/>
  <c r="G102" i="9" s="1"/>
  <c r="H102" i="9" s="1"/>
  <c r="E103" i="9"/>
  <c r="F103" i="9" s="1"/>
  <c r="G103" i="9" s="1"/>
  <c r="H103" i="9" s="1"/>
  <c r="E104" i="9"/>
  <c r="F104" i="9" s="1"/>
  <c r="G104" i="9" s="1"/>
  <c r="H104" i="9" s="1"/>
  <c r="E105" i="9"/>
  <c r="F105" i="9" s="1"/>
  <c r="G105" i="9" s="1"/>
  <c r="H105" i="9" s="1"/>
  <c r="E106" i="9"/>
  <c r="F106" i="9" s="1"/>
  <c r="G106" i="9" s="1"/>
  <c r="H106" i="9" s="1"/>
  <c r="E107" i="9"/>
  <c r="F107" i="9" s="1"/>
  <c r="G107" i="9" s="1"/>
  <c r="H107" i="9" s="1"/>
  <c r="E108" i="9"/>
  <c r="F108" i="9" s="1"/>
  <c r="G108" i="9" s="1"/>
  <c r="H108" i="9" s="1"/>
  <c r="E109" i="9"/>
  <c r="F109" i="9" s="1"/>
  <c r="G109" i="9" s="1"/>
  <c r="H109" i="9" s="1"/>
  <c r="E110" i="9"/>
  <c r="F110" i="9" s="1"/>
  <c r="G110" i="9" s="1"/>
  <c r="H110" i="9" s="1"/>
  <c r="E111" i="9"/>
  <c r="F111" i="9" s="1"/>
  <c r="G111" i="9" s="1"/>
  <c r="H111" i="9" s="1"/>
  <c r="E112" i="9"/>
  <c r="F112" i="9" s="1"/>
  <c r="G112" i="9" s="1"/>
  <c r="H112" i="9" s="1"/>
  <c r="E113" i="9"/>
  <c r="F113" i="9" s="1"/>
  <c r="G113" i="9" s="1"/>
  <c r="H113" i="9" s="1"/>
  <c r="E114" i="9"/>
  <c r="F114" i="9" s="1"/>
  <c r="G114" i="9" s="1"/>
  <c r="H114" i="9" s="1"/>
  <c r="E115" i="9"/>
  <c r="F115" i="9" s="1"/>
  <c r="G115" i="9" s="1"/>
  <c r="H115" i="9" s="1"/>
  <c r="E116" i="9"/>
  <c r="F116" i="9" s="1"/>
  <c r="G116" i="9" s="1"/>
  <c r="H116" i="9" s="1"/>
  <c r="E117" i="9"/>
  <c r="F117" i="9" s="1"/>
  <c r="G117" i="9" s="1"/>
  <c r="H117" i="9" s="1"/>
  <c r="E118" i="9"/>
  <c r="F118" i="9" s="1"/>
  <c r="G118" i="9" s="1"/>
  <c r="H118" i="9" s="1"/>
  <c r="E119" i="9"/>
  <c r="F119" i="9" s="1"/>
  <c r="G119" i="9" s="1"/>
  <c r="H119" i="9" s="1"/>
  <c r="E120" i="9"/>
  <c r="F120" i="9" s="1"/>
  <c r="G120" i="9" s="1"/>
  <c r="H120" i="9" s="1"/>
  <c r="E121" i="9"/>
  <c r="F121" i="9" s="1"/>
  <c r="G121" i="9" s="1"/>
  <c r="H121" i="9" s="1"/>
  <c r="E122" i="9"/>
  <c r="F122" i="9" s="1"/>
  <c r="G122" i="9" s="1"/>
  <c r="H122" i="9" s="1"/>
  <c r="E123" i="9"/>
  <c r="F123" i="9" s="1"/>
  <c r="G123" i="9" s="1"/>
  <c r="H123" i="9" s="1"/>
  <c r="E124" i="9"/>
  <c r="F124" i="9" s="1"/>
  <c r="G124" i="9" s="1"/>
  <c r="H124" i="9" s="1"/>
  <c r="E125" i="9"/>
  <c r="F125" i="9" s="1"/>
  <c r="G125" i="9" s="1"/>
  <c r="H125" i="9" s="1"/>
  <c r="E126" i="9"/>
  <c r="F126" i="9" s="1"/>
  <c r="G126" i="9" s="1"/>
  <c r="H126" i="9" s="1"/>
  <c r="E127" i="9"/>
  <c r="F127" i="9" s="1"/>
  <c r="G127" i="9" s="1"/>
  <c r="H127" i="9" s="1"/>
  <c r="E128" i="9"/>
  <c r="F128" i="9" s="1"/>
  <c r="G128" i="9" s="1"/>
  <c r="H128" i="9" s="1"/>
  <c r="E129" i="9"/>
  <c r="F129" i="9" s="1"/>
  <c r="G129" i="9" s="1"/>
  <c r="H129" i="9" s="1"/>
  <c r="E130" i="9"/>
  <c r="F130" i="9" s="1"/>
  <c r="G130" i="9" s="1"/>
  <c r="H130" i="9" s="1"/>
  <c r="E131" i="9"/>
  <c r="F131" i="9" s="1"/>
  <c r="G131" i="9" s="1"/>
  <c r="H131" i="9" s="1"/>
  <c r="E132" i="9"/>
  <c r="F132" i="9" s="1"/>
  <c r="G132" i="9" s="1"/>
  <c r="H132" i="9" s="1"/>
  <c r="E133" i="9"/>
  <c r="F133" i="9" s="1"/>
  <c r="G133" i="9" s="1"/>
  <c r="H133" i="9" s="1"/>
  <c r="E134" i="9"/>
  <c r="F134" i="9" s="1"/>
  <c r="G134" i="9" s="1"/>
  <c r="H134" i="9" s="1"/>
  <c r="E135" i="9"/>
  <c r="F135" i="9" s="1"/>
  <c r="G135" i="9" s="1"/>
  <c r="H135" i="9" s="1"/>
  <c r="E136" i="9"/>
  <c r="F136" i="9" s="1"/>
  <c r="G136" i="9" s="1"/>
  <c r="H136" i="9" s="1"/>
  <c r="E137" i="9"/>
  <c r="F137" i="9" s="1"/>
  <c r="G137" i="9" s="1"/>
  <c r="H137" i="9" s="1"/>
  <c r="E138" i="9"/>
  <c r="F138" i="9" s="1"/>
  <c r="G138" i="9" s="1"/>
  <c r="H138" i="9" s="1"/>
  <c r="E139" i="9"/>
  <c r="F139" i="9" s="1"/>
  <c r="G139" i="9" s="1"/>
  <c r="H139" i="9" s="1"/>
  <c r="E140" i="9"/>
  <c r="F140" i="9" s="1"/>
  <c r="G140" i="9" s="1"/>
  <c r="H140" i="9" s="1"/>
  <c r="E141" i="9"/>
  <c r="F141" i="9" s="1"/>
  <c r="G141" i="9" s="1"/>
  <c r="H141" i="9" s="1"/>
  <c r="E142" i="9"/>
  <c r="F142" i="9" s="1"/>
  <c r="G142" i="9" s="1"/>
  <c r="H142" i="9" s="1"/>
  <c r="E143" i="9"/>
  <c r="F143" i="9" s="1"/>
  <c r="G143" i="9" s="1"/>
  <c r="H143" i="9" s="1"/>
  <c r="E144" i="9"/>
  <c r="F144" i="9" s="1"/>
  <c r="G144" i="9" s="1"/>
  <c r="H144" i="9" s="1"/>
  <c r="E145" i="9"/>
  <c r="F145" i="9" s="1"/>
  <c r="G145" i="9" s="1"/>
  <c r="H145" i="9" s="1"/>
  <c r="E146" i="9"/>
  <c r="F146" i="9" s="1"/>
  <c r="G146" i="9" s="1"/>
  <c r="H146" i="9" s="1"/>
  <c r="E147" i="9"/>
  <c r="F147" i="9" s="1"/>
  <c r="G147" i="9" s="1"/>
  <c r="H147" i="9" s="1"/>
  <c r="E148" i="9"/>
  <c r="F148" i="9" s="1"/>
  <c r="G148" i="9" s="1"/>
  <c r="H148" i="9" s="1"/>
  <c r="E149" i="9"/>
  <c r="F149" i="9" s="1"/>
  <c r="G149" i="9" s="1"/>
  <c r="H149" i="9" s="1"/>
  <c r="E150" i="9"/>
  <c r="F150" i="9" s="1"/>
  <c r="G150" i="9" s="1"/>
  <c r="H150" i="9" s="1"/>
  <c r="E151" i="9"/>
  <c r="F151" i="9" s="1"/>
  <c r="G151" i="9" s="1"/>
  <c r="H151" i="9" s="1"/>
  <c r="E152" i="9"/>
  <c r="F152" i="9" s="1"/>
  <c r="G152" i="9" s="1"/>
  <c r="H152" i="9" s="1"/>
  <c r="E153" i="9"/>
  <c r="F153" i="9" s="1"/>
  <c r="G153" i="9" s="1"/>
  <c r="H153" i="9" s="1"/>
  <c r="E154" i="9"/>
  <c r="F154" i="9" s="1"/>
  <c r="G154" i="9" s="1"/>
  <c r="H154" i="9" s="1"/>
  <c r="E155" i="9"/>
  <c r="F155" i="9" s="1"/>
  <c r="G155" i="9" s="1"/>
  <c r="H155" i="9" s="1"/>
  <c r="E156" i="9"/>
  <c r="F156" i="9" s="1"/>
  <c r="G156" i="9" s="1"/>
  <c r="H156" i="9" s="1"/>
  <c r="E157" i="9"/>
  <c r="F157" i="9" s="1"/>
  <c r="G157" i="9" s="1"/>
  <c r="H157" i="9" s="1"/>
  <c r="E158" i="9"/>
  <c r="F158" i="9" s="1"/>
  <c r="G158" i="9" s="1"/>
  <c r="H158" i="9" s="1"/>
  <c r="E159" i="9"/>
  <c r="F159" i="9" s="1"/>
  <c r="G159" i="9" s="1"/>
  <c r="H159" i="9" s="1"/>
  <c r="E160" i="9"/>
  <c r="F160" i="9" s="1"/>
  <c r="G160" i="9" s="1"/>
  <c r="H160" i="9" s="1"/>
  <c r="E161" i="9"/>
  <c r="F161" i="9" s="1"/>
  <c r="G161" i="9" s="1"/>
  <c r="H161" i="9" s="1"/>
  <c r="E162" i="9"/>
  <c r="F162" i="9" s="1"/>
  <c r="G162" i="9" s="1"/>
  <c r="H162" i="9" s="1"/>
  <c r="E163" i="9"/>
  <c r="F163" i="9" s="1"/>
  <c r="G163" i="9" s="1"/>
  <c r="H163" i="9" s="1"/>
  <c r="E164" i="9"/>
  <c r="F164" i="9" s="1"/>
  <c r="G164" i="9" s="1"/>
  <c r="H164" i="9" s="1"/>
  <c r="E165" i="9"/>
  <c r="F165" i="9" s="1"/>
  <c r="G165" i="9" s="1"/>
  <c r="H165" i="9" s="1"/>
  <c r="E166" i="9"/>
  <c r="F166" i="9" s="1"/>
  <c r="G166" i="9" s="1"/>
  <c r="H166" i="9" s="1"/>
  <c r="E167" i="9"/>
  <c r="F167" i="9" s="1"/>
  <c r="G167" i="9" s="1"/>
  <c r="H167" i="9" s="1"/>
  <c r="E168" i="9"/>
  <c r="F168" i="9" s="1"/>
  <c r="G168" i="9" s="1"/>
  <c r="H168" i="9" s="1"/>
  <c r="E169" i="9"/>
  <c r="F169" i="9" s="1"/>
  <c r="G169" i="9" s="1"/>
  <c r="H169" i="9" s="1"/>
  <c r="E170" i="9"/>
  <c r="F170" i="9" s="1"/>
  <c r="G170" i="9" s="1"/>
  <c r="H170" i="9" s="1"/>
  <c r="E171" i="9"/>
  <c r="F171" i="9" s="1"/>
  <c r="G171" i="9" s="1"/>
  <c r="H171" i="9" s="1"/>
  <c r="E172" i="9"/>
  <c r="F172" i="9" s="1"/>
  <c r="G172" i="9" s="1"/>
  <c r="H172" i="9" s="1"/>
  <c r="E173" i="9"/>
  <c r="F173" i="9" s="1"/>
  <c r="G173" i="9" s="1"/>
  <c r="H173" i="9" s="1"/>
  <c r="E174" i="9"/>
  <c r="F174" i="9" s="1"/>
  <c r="G174" i="9" s="1"/>
  <c r="H174" i="9" s="1"/>
  <c r="E175" i="9"/>
  <c r="F175" i="9" s="1"/>
  <c r="G175" i="9" s="1"/>
  <c r="H175" i="9" s="1"/>
  <c r="E176" i="9"/>
  <c r="F176" i="9" s="1"/>
  <c r="G176" i="9" s="1"/>
  <c r="H176" i="9" s="1"/>
  <c r="E177" i="9"/>
  <c r="F177" i="9" s="1"/>
  <c r="G177" i="9" s="1"/>
  <c r="H177" i="9" s="1"/>
  <c r="E178" i="9"/>
  <c r="F178" i="9" s="1"/>
  <c r="G178" i="9" s="1"/>
  <c r="H178" i="9" s="1"/>
  <c r="E179" i="9"/>
  <c r="F179" i="9" s="1"/>
  <c r="G179" i="9" s="1"/>
  <c r="H179" i="9" s="1"/>
  <c r="E180" i="9"/>
  <c r="F180" i="9" s="1"/>
  <c r="G180" i="9" s="1"/>
  <c r="H180" i="9" s="1"/>
  <c r="E181" i="9"/>
  <c r="F181" i="9" s="1"/>
  <c r="G181" i="9" s="1"/>
  <c r="H181" i="9" s="1"/>
  <c r="E182" i="9"/>
  <c r="F182" i="9" s="1"/>
  <c r="G182" i="9" s="1"/>
  <c r="H182" i="9" s="1"/>
  <c r="E183" i="9"/>
  <c r="F183" i="9" s="1"/>
  <c r="G183" i="9" s="1"/>
  <c r="H183" i="9" s="1"/>
  <c r="E184" i="9"/>
  <c r="F184" i="9" s="1"/>
  <c r="G184" i="9" s="1"/>
  <c r="H184" i="9" s="1"/>
  <c r="E185" i="9"/>
  <c r="F185" i="9" s="1"/>
  <c r="G185" i="9" s="1"/>
  <c r="H185" i="9" s="1"/>
  <c r="E186" i="9"/>
  <c r="F186" i="9" s="1"/>
  <c r="G186" i="9" s="1"/>
  <c r="H186" i="9" s="1"/>
  <c r="E187" i="9"/>
  <c r="F187" i="9" s="1"/>
  <c r="G187" i="9" s="1"/>
  <c r="H187" i="9" s="1"/>
  <c r="E188" i="9"/>
  <c r="F188" i="9" s="1"/>
  <c r="G188" i="9" s="1"/>
  <c r="H188" i="9" s="1"/>
  <c r="E189" i="9"/>
  <c r="F189" i="9" s="1"/>
  <c r="G189" i="9" s="1"/>
  <c r="H189" i="9" s="1"/>
  <c r="E190" i="9"/>
  <c r="F190" i="9" s="1"/>
  <c r="G190" i="9" s="1"/>
  <c r="H190" i="9" s="1"/>
  <c r="E191" i="9"/>
  <c r="F191" i="9" s="1"/>
  <c r="G191" i="9" s="1"/>
  <c r="H191" i="9" s="1"/>
  <c r="E192" i="9"/>
  <c r="F192" i="9" s="1"/>
  <c r="G192" i="9" s="1"/>
  <c r="H192" i="9" s="1"/>
  <c r="E193" i="9"/>
  <c r="F193" i="9" s="1"/>
  <c r="G193" i="9" s="1"/>
  <c r="H193" i="9" s="1"/>
  <c r="E194" i="9"/>
  <c r="F194" i="9" s="1"/>
  <c r="G194" i="9" s="1"/>
  <c r="H194" i="9" s="1"/>
  <c r="E195" i="9"/>
  <c r="F195" i="9" s="1"/>
  <c r="G195" i="9" s="1"/>
  <c r="H195" i="9" s="1"/>
  <c r="E196" i="9"/>
  <c r="F196" i="9" s="1"/>
  <c r="G196" i="9" s="1"/>
  <c r="H196" i="9" s="1"/>
  <c r="E197" i="9"/>
  <c r="F197" i="9" s="1"/>
  <c r="G197" i="9" s="1"/>
  <c r="H197" i="9" s="1"/>
  <c r="E198" i="9"/>
  <c r="F198" i="9" s="1"/>
  <c r="G198" i="9" s="1"/>
  <c r="H198" i="9" s="1"/>
  <c r="E199" i="9"/>
  <c r="F199" i="9" s="1"/>
  <c r="G199" i="9" s="1"/>
  <c r="H199" i="9" s="1"/>
  <c r="E200" i="9"/>
  <c r="F200" i="9" s="1"/>
  <c r="G200" i="9" s="1"/>
  <c r="H200" i="9" s="1"/>
  <c r="E201" i="9"/>
  <c r="F201" i="9" s="1"/>
  <c r="G201" i="9" s="1"/>
  <c r="H201" i="9" s="1"/>
  <c r="E202" i="9"/>
  <c r="F202" i="9" s="1"/>
  <c r="G202" i="9" s="1"/>
  <c r="H202" i="9" s="1"/>
  <c r="E203" i="9"/>
  <c r="F203" i="9" s="1"/>
  <c r="G203" i="9" s="1"/>
  <c r="H203" i="9" s="1"/>
  <c r="E204" i="9"/>
  <c r="F204" i="9" s="1"/>
  <c r="G204" i="9" s="1"/>
  <c r="H204" i="9" s="1"/>
  <c r="E205" i="9"/>
  <c r="F205" i="9" s="1"/>
  <c r="G205" i="9" s="1"/>
  <c r="H205" i="9" s="1"/>
  <c r="E206" i="9"/>
  <c r="F206" i="9" s="1"/>
  <c r="G206" i="9" s="1"/>
  <c r="H206" i="9" s="1"/>
  <c r="E207" i="9"/>
  <c r="F207" i="9" s="1"/>
  <c r="G207" i="9" s="1"/>
  <c r="H207" i="9" s="1"/>
  <c r="E208" i="9"/>
  <c r="F208" i="9" s="1"/>
  <c r="G208" i="9" s="1"/>
  <c r="H208" i="9" s="1"/>
  <c r="E209" i="9"/>
  <c r="F209" i="9" s="1"/>
  <c r="G209" i="9" s="1"/>
  <c r="H209" i="9" s="1"/>
  <c r="E210" i="9"/>
  <c r="F210" i="9" s="1"/>
  <c r="G210" i="9" s="1"/>
  <c r="H210" i="9" s="1"/>
  <c r="E211" i="9"/>
  <c r="F211" i="9" s="1"/>
  <c r="G211" i="9" s="1"/>
  <c r="H211" i="9" s="1"/>
  <c r="E212" i="9"/>
  <c r="F212" i="9" s="1"/>
  <c r="G212" i="9" s="1"/>
  <c r="H212" i="9" s="1"/>
  <c r="E213" i="9"/>
  <c r="F213" i="9" s="1"/>
  <c r="G213" i="9" s="1"/>
  <c r="H213" i="9" s="1"/>
  <c r="E214" i="9"/>
  <c r="F214" i="9" s="1"/>
  <c r="G214" i="9" s="1"/>
  <c r="H214" i="9" s="1"/>
  <c r="E215" i="9"/>
  <c r="F215" i="9" s="1"/>
  <c r="G215" i="9" s="1"/>
  <c r="H215" i="9" s="1"/>
  <c r="E216" i="9"/>
  <c r="F216" i="9" s="1"/>
  <c r="G216" i="9" s="1"/>
  <c r="H216" i="9" s="1"/>
  <c r="E217" i="9"/>
  <c r="F217" i="9" s="1"/>
  <c r="G217" i="9" s="1"/>
  <c r="H217" i="9" s="1"/>
  <c r="E218" i="9"/>
  <c r="F218" i="9" s="1"/>
  <c r="G218" i="9" s="1"/>
  <c r="H218" i="9" s="1"/>
  <c r="E219" i="9"/>
  <c r="F219" i="9" s="1"/>
  <c r="G219" i="9" s="1"/>
  <c r="H219" i="9" s="1"/>
  <c r="E220" i="9"/>
  <c r="F220" i="9" s="1"/>
  <c r="G220" i="9" s="1"/>
  <c r="H220" i="9" s="1"/>
  <c r="E221" i="9"/>
  <c r="F221" i="9" s="1"/>
  <c r="G221" i="9" s="1"/>
  <c r="H221" i="9" s="1"/>
  <c r="E222" i="9"/>
  <c r="F222" i="9" s="1"/>
  <c r="G222" i="9" s="1"/>
  <c r="H222" i="9" s="1"/>
  <c r="E223" i="9"/>
  <c r="F223" i="9" s="1"/>
  <c r="G223" i="9" s="1"/>
  <c r="H223" i="9" s="1"/>
  <c r="E224" i="9"/>
  <c r="F224" i="9" s="1"/>
  <c r="G224" i="9" s="1"/>
  <c r="H224" i="9" s="1"/>
  <c r="E225" i="9"/>
  <c r="F225" i="9" s="1"/>
  <c r="G225" i="9" s="1"/>
  <c r="H225" i="9" s="1"/>
  <c r="E226" i="9"/>
  <c r="F226" i="9" s="1"/>
  <c r="G226" i="9" s="1"/>
  <c r="H226" i="9" s="1"/>
  <c r="E227" i="9"/>
  <c r="F227" i="9" s="1"/>
  <c r="G227" i="9" s="1"/>
  <c r="H227" i="9" s="1"/>
  <c r="E228" i="9"/>
  <c r="F228" i="9" s="1"/>
  <c r="G228" i="9" s="1"/>
  <c r="H228" i="9" s="1"/>
  <c r="E229" i="9"/>
  <c r="F229" i="9" s="1"/>
  <c r="G229" i="9" s="1"/>
  <c r="H229" i="9" s="1"/>
  <c r="E230" i="9"/>
  <c r="F230" i="9" s="1"/>
  <c r="G230" i="9" s="1"/>
  <c r="H230" i="9" s="1"/>
  <c r="E231" i="9"/>
  <c r="F231" i="9" s="1"/>
  <c r="G231" i="9" s="1"/>
  <c r="H231" i="9" s="1"/>
  <c r="E232" i="9"/>
  <c r="F232" i="9" s="1"/>
  <c r="G232" i="9" s="1"/>
  <c r="H232" i="9" s="1"/>
  <c r="E233" i="9"/>
  <c r="F233" i="9" s="1"/>
  <c r="G233" i="9" s="1"/>
  <c r="H233" i="9" s="1"/>
  <c r="E234" i="9"/>
  <c r="F234" i="9" s="1"/>
  <c r="G234" i="9" s="1"/>
  <c r="H234" i="9" s="1"/>
  <c r="E235" i="9"/>
  <c r="F235" i="9" s="1"/>
  <c r="G235" i="9" s="1"/>
  <c r="H235" i="9" s="1"/>
  <c r="E236" i="9"/>
  <c r="F236" i="9" s="1"/>
  <c r="G236" i="9" s="1"/>
  <c r="H236" i="9" s="1"/>
  <c r="E237" i="9"/>
  <c r="F237" i="9" s="1"/>
  <c r="G237" i="9" s="1"/>
  <c r="H237" i="9" s="1"/>
  <c r="E238" i="9"/>
  <c r="F238" i="9" s="1"/>
  <c r="G238" i="9" s="1"/>
  <c r="H238" i="9" s="1"/>
  <c r="E239" i="9"/>
  <c r="F239" i="9" s="1"/>
  <c r="G239" i="9" s="1"/>
  <c r="H239" i="9" s="1"/>
  <c r="E240" i="9"/>
  <c r="F240" i="9" s="1"/>
  <c r="G240" i="9" s="1"/>
  <c r="H240" i="9" s="1"/>
  <c r="E241" i="9"/>
  <c r="F241" i="9" s="1"/>
  <c r="G241" i="9" s="1"/>
  <c r="H241" i="9" s="1"/>
  <c r="E242" i="9"/>
  <c r="F242" i="9" s="1"/>
  <c r="G242" i="9" s="1"/>
  <c r="H242" i="9" s="1"/>
  <c r="E243" i="9"/>
  <c r="F243" i="9" s="1"/>
  <c r="G243" i="9" s="1"/>
  <c r="H243" i="9" s="1"/>
  <c r="E244" i="9"/>
  <c r="F244" i="9" s="1"/>
  <c r="G244" i="9" s="1"/>
  <c r="H244" i="9" s="1"/>
  <c r="E245" i="9"/>
  <c r="F245" i="9" s="1"/>
  <c r="G245" i="9" s="1"/>
  <c r="H245" i="9" s="1"/>
  <c r="E246" i="9"/>
  <c r="F246" i="9" s="1"/>
  <c r="G246" i="9" s="1"/>
  <c r="H246" i="9" s="1"/>
  <c r="E247" i="9"/>
  <c r="F247" i="9" s="1"/>
  <c r="G247" i="9" s="1"/>
  <c r="H247" i="9" s="1"/>
  <c r="E248" i="9"/>
  <c r="F248" i="9" s="1"/>
  <c r="G248" i="9" s="1"/>
  <c r="H248" i="9" s="1"/>
  <c r="E249" i="9"/>
  <c r="F249" i="9" s="1"/>
  <c r="G249" i="9" s="1"/>
  <c r="H249" i="9" s="1"/>
  <c r="E250" i="9"/>
  <c r="F250" i="9" s="1"/>
  <c r="G250" i="9" s="1"/>
  <c r="H250" i="9" s="1"/>
  <c r="E251" i="9"/>
  <c r="F251" i="9" s="1"/>
  <c r="G251" i="9" s="1"/>
  <c r="H251" i="9" s="1"/>
  <c r="E252" i="9"/>
  <c r="F252" i="9" s="1"/>
  <c r="G252" i="9" s="1"/>
  <c r="H252" i="9" s="1"/>
  <c r="E253" i="9"/>
  <c r="F253" i="9" s="1"/>
  <c r="G253" i="9" s="1"/>
  <c r="H253" i="9" s="1"/>
  <c r="E254" i="9"/>
  <c r="F254" i="9" s="1"/>
  <c r="G254" i="9" s="1"/>
  <c r="H254" i="9" s="1"/>
  <c r="E255" i="9"/>
  <c r="F255" i="9" s="1"/>
  <c r="G255" i="9" s="1"/>
  <c r="H255" i="9" s="1"/>
  <c r="E256" i="9"/>
  <c r="F256" i="9" s="1"/>
  <c r="G256" i="9" s="1"/>
  <c r="H256" i="9" s="1"/>
  <c r="E257" i="9"/>
  <c r="F257" i="9" s="1"/>
  <c r="G257" i="9" s="1"/>
  <c r="H257" i="9" s="1"/>
  <c r="E258" i="9"/>
  <c r="F258" i="9" s="1"/>
  <c r="G258" i="9" s="1"/>
  <c r="H258" i="9" s="1"/>
  <c r="E259" i="9"/>
  <c r="F259" i="9" s="1"/>
  <c r="G259" i="9" s="1"/>
  <c r="H259" i="9" s="1"/>
  <c r="E260" i="9"/>
  <c r="F260" i="9" s="1"/>
  <c r="G260" i="9" s="1"/>
  <c r="H260" i="9" s="1"/>
  <c r="E261" i="9"/>
  <c r="F261" i="9" s="1"/>
  <c r="G261" i="9" s="1"/>
  <c r="H261" i="9" s="1"/>
  <c r="E262" i="9"/>
  <c r="F262" i="9" s="1"/>
  <c r="G262" i="9" s="1"/>
  <c r="H262" i="9" s="1"/>
  <c r="E263" i="9"/>
  <c r="F263" i="9" s="1"/>
  <c r="G263" i="9" s="1"/>
  <c r="H263" i="9" s="1"/>
  <c r="E264" i="9"/>
  <c r="F264" i="9" s="1"/>
  <c r="G264" i="9" s="1"/>
  <c r="H264" i="9" s="1"/>
  <c r="E265" i="9"/>
  <c r="F265" i="9" s="1"/>
  <c r="G265" i="9" s="1"/>
  <c r="H265" i="9" s="1"/>
  <c r="E266" i="9"/>
  <c r="F266" i="9" s="1"/>
  <c r="G266" i="9" s="1"/>
  <c r="H266" i="9" s="1"/>
  <c r="E267" i="9"/>
  <c r="F267" i="9" s="1"/>
  <c r="G267" i="9" s="1"/>
  <c r="H267" i="9" s="1"/>
  <c r="E268" i="9"/>
  <c r="F268" i="9" s="1"/>
  <c r="G268" i="9" s="1"/>
  <c r="H268" i="9" s="1"/>
  <c r="E269" i="9"/>
  <c r="F269" i="9" s="1"/>
  <c r="G269" i="9" s="1"/>
  <c r="H269" i="9" s="1"/>
  <c r="E270" i="9"/>
  <c r="F270" i="9" s="1"/>
  <c r="G270" i="9" s="1"/>
  <c r="H270" i="9" s="1"/>
  <c r="E271" i="9"/>
  <c r="F271" i="9" s="1"/>
  <c r="G271" i="9" s="1"/>
  <c r="H271" i="9" s="1"/>
  <c r="E272" i="9"/>
  <c r="F272" i="9" s="1"/>
  <c r="G272" i="9" s="1"/>
  <c r="H272" i="9" s="1"/>
  <c r="E273" i="9"/>
  <c r="F273" i="9" s="1"/>
  <c r="G273" i="9" s="1"/>
  <c r="H273" i="9" s="1"/>
  <c r="E274" i="9"/>
  <c r="F274" i="9" s="1"/>
  <c r="G274" i="9" s="1"/>
  <c r="H274" i="9" s="1"/>
  <c r="E275" i="9"/>
  <c r="F275" i="9" s="1"/>
  <c r="G275" i="9" s="1"/>
  <c r="H275" i="9" s="1"/>
  <c r="E276" i="9"/>
  <c r="F276" i="9" s="1"/>
  <c r="G276" i="9" s="1"/>
  <c r="H276" i="9" s="1"/>
  <c r="E277" i="9"/>
  <c r="F277" i="9" s="1"/>
  <c r="G277" i="9" s="1"/>
  <c r="H277" i="9" s="1"/>
  <c r="E278" i="9"/>
  <c r="F278" i="9" s="1"/>
  <c r="G278" i="9" s="1"/>
  <c r="H278" i="9" s="1"/>
  <c r="E279" i="9"/>
  <c r="F279" i="9" s="1"/>
  <c r="G279" i="9" s="1"/>
  <c r="H279" i="9" s="1"/>
  <c r="E280" i="9"/>
  <c r="F280" i="9" s="1"/>
  <c r="G280" i="9" s="1"/>
  <c r="H280" i="9" s="1"/>
  <c r="E281" i="9"/>
  <c r="F281" i="9" s="1"/>
  <c r="G281" i="9" s="1"/>
  <c r="H281" i="9" s="1"/>
  <c r="E282" i="9"/>
  <c r="F282" i="9" s="1"/>
  <c r="G282" i="9" s="1"/>
  <c r="H282" i="9" s="1"/>
  <c r="E283" i="9"/>
  <c r="F283" i="9" s="1"/>
  <c r="G283" i="9" s="1"/>
  <c r="H283" i="9" s="1"/>
  <c r="E284" i="9"/>
  <c r="F284" i="9" s="1"/>
  <c r="G284" i="9" s="1"/>
  <c r="H284" i="9" s="1"/>
  <c r="E285" i="9"/>
  <c r="F285" i="9" s="1"/>
  <c r="G285" i="9" s="1"/>
  <c r="H285" i="9" s="1"/>
  <c r="E286" i="9"/>
  <c r="F286" i="9" s="1"/>
  <c r="G286" i="9" s="1"/>
  <c r="H286" i="9" s="1"/>
  <c r="E287" i="9"/>
  <c r="F287" i="9" s="1"/>
  <c r="G287" i="9" s="1"/>
  <c r="H287" i="9" s="1"/>
  <c r="E288" i="9"/>
  <c r="F288" i="9" s="1"/>
  <c r="G288" i="9" s="1"/>
  <c r="H288" i="9" s="1"/>
  <c r="E289" i="9"/>
  <c r="F289" i="9" s="1"/>
  <c r="G289" i="9" s="1"/>
  <c r="H289" i="9" s="1"/>
  <c r="E290" i="9"/>
  <c r="F290" i="9" s="1"/>
  <c r="G290" i="9" s="1"/>
  <c r="H290" i="9" s="1"/>
  <c r="E291" i="9"/>
  <c r="F291" i="9" s="1"/>
  <c r="G291" i="9" s="1"/>
  <c r="H291" i="9" s="1"/>
  <c r="E292" i="9"/>
  <c r="F292" i="9" s="1"/>
  <c r="G292" i="9" s="1"/>
  <c r="H292" i="9" s="1"/>
  <c r="E293" i="9"/>
  <c r="F293" i="9" s="1"/>
  <c r="G293" i="9" s="1"/>
  <c r="H293" i="9" s="1"/>
  <c r="E294" i="9"/>
  <c r="F294" i="9" s="1"/>
  <c r="G294" i="9" s="1"/>
  <c r="H294" i="9" s="1"/>
  <c r="E295" i="9"/>
  <c r="F295" i="9" s="1"/>
  <c r="G295" i="9" s="1"/>
  <c r="H295" i="9" s="1"/>
  <c r="E296" i="9"/>
  <c r="F296" i="9" s="1"/>
  <c r="G296" i="9" s="1"/>
  <c r="H296" i="9" s="1"/>
  <c r="E297" i="9"/>
  <c r="F297" i="9" s="1"/>
  <c r="G297" i="9" s="1"/>
  <c r="H297" i="9" s="1"/>
  <c r="E298" i="9"/>
  <c r="F298" i="9" s="1"/>
  <c r="G298" i="9" s="1"/>
  <c r="H298" i="9" s="1"/>
  <c r="E299" i="9"/>
  <c r="F299" i="9" s="1"/>
  <c r="G299" i="9" s="1"/>
  <c r="H299" i="9" s="1"/>
  <c r="E300" i="9"/>
  <c r="F300" i="9" s="1"/>
  <c r="G300" i="9" s="1"/>
  <c r="H300" i="9" s="1"/>
  <c r="E301" i="9"/>
  <c r="F301" i="9" s="1"/>
  <c r="G301" i="9" s="1"/>
  <c r="H301" i="9" s="1"/>
  <c r="E302" i="9"/>
  <c r="F302" i="9" s="1"/>
  <c r="G302" i="9" s="1"/>
  <c r="H302" i="9" s="1"/>
  <c r="E303" i="9"/>
  <c r="F303" i="9" s="1"/>
  <c r="G303" i="9" s="1"/>
  <c r="H303" i="9" s="1"/>
  <c r="E304" i="9"/>
  <c r="F304" i="9" s="1"/>
  <c r="G304" i="9" s="1"/>
  <c r="H304" i="9" s="1"/>
  <c r="E305" i="9"/>
  <c r="F305" i="9" s="1"/>
  <c r="G305" i="9" s="1"/>
  <c r="H305" i="9" s="1"/>
  <c r="E306" i="9"/>
  <c r="F306" i="9" s="1"/>
  <c r="G306" i="9" s="1"/>
  <c r="H306" i="9" s="1"/>
  <c r="E307" i="9"/>
  <c r="F307" i="9" s="1"/>
  <c r="G307" i="9" s="1"/>
  <c r="H307" i="9" s="1"/>
  <c r="E308" i="9"/>
  <c r="F308" i="9" s="1"/>
  <c r="G308" i="9" s="1"/>
  <c r="H308" i="9" s="1"/>
  <c r="E309" i="9"/>
  <c r="F309" i="9" s="1"/>
  <c r="G309" i="9" s="1"/>
  <c r="H309" i="9" s="1"/>
  <c r="E310" i="9"/>
  <c r="F310" i="9" s="1"/>
  <c r="G310" i="9" s="1"/>
  <c r="H310" i="9" s="1"/>
  <c r="E311" i="9"/>
  <c r="F311" i="9" s="1"/>
  <c r="G311" i="9" s="1"/>
  <c r="H311" i="9" s="1"/>
  <c r="E312" i="9"/>
  <c r="F312" i="9" s="1"/>
  <c r="G312" i="9" s="1"/>
  <c r="H312" i="9" s="1"/>
  <c r="E313" i="9"/>
  <c r="F313" i="9" s="1"/>
  <c r="G313" i="9" s="1"/>
  <c r="H313" i="9" s="1"/>
  <c r="E314" i="9"/>
  <c r="F314" i="9" s="1"/>
  <c r="G314" i="9" s="1"/>
  <c r="H314" i="9" s="1"/>
  <c r="E315" i="9"/>
  <c r="F315" i="9" s="1"/>
  <c r="G315" i="9" s="1"/>
  <c r="H315" i="9" s="1"/>
  <c r="E316" i="9"/>
  <c r="F316" i="9" s="1"/>
  <c r="G316" i="9" s="1"/>
  <c r="H316" i="9" s="1"/>
  <c r="E317" i="9"/>
  <c r="F317" i="9" s="1"/>
  <c r="G317" i="9" s="1"/>
  <c r="H317" i="9" s="1"/>
  <c r="E318" i="9"/>
  <c r="F318" i="9" s="1"/>
  <c r="G318" i="9" s="1"/>
  <c r="H318" i="9" s="1"/>
  <c r="E319" i="9"/>
  <c r="F319" i="9" s="1"/>
  <c r="G319" i="9" s="1"/>
  <c r="H319" i="9" s="1"/>
  <c r="E320" i="9"/>
  <c r="F320" i="9" s="1"/>
  <c r="G320" i="9" s="1"/>
  <c r="H320" i="9" s="1"/>
  <c r="E321" i="9"/>
  <c r="F321" i="9" s="1"/>
  <c r="G321" i="9" s="1"/>
  <c r="H321" i="9" s="1"/>
  <c r="E322" i="9"/>
  <c r="F322" i="9" s="1"/>
  <c r="G322" i="9" s="1"/>
  <c r="H322" i="9" s="1"/>
  <c r="E323" i="9"/>
  <c r="F323" i="9" s="1"/>
  <c r="G323" i="9" s="1"/>
  <c r="H323" i="9" s="1"/>
  <c r="E324" i="9"/>
  <c r="F324" i="9" s="1"/>
  <c r="G324" i="9" s="1"/>
  <c r="H324" i="9" s="1"/>
  <c r="E325" i="9"/>
  <c r="F325" i="9" s="1"/>
  <c r="G325" i="9" s="1"/>
  <c r="H325" i="9" s="1"/>
  <c r="E326" i="9"/>
  <c r="F326" i="9" s="1"/>
  <c r="G326" i="9" s="1"/>
  <c r="H326" i="9" s="1"/>
  <c r="E327" i="9"/>
  <c r="F327" i="9" s="1"/>
  <c r="G327" i="9" s="1"/>
  <c r="H327" i="9" s="1"/>
  <c r="E328" i="9"/>
  <c r="F328" i="9" s="1"/>
  <c r="G328" i="9" s="1"/>
  <c r="H328" i="9" s="1"/>
  <c r="E329" i="9"/>
  <c r="F329" i="9" s="1"/>
  <c r="G329" i="9" s="1"/>
  <c r="H329" i="9" s="1"/>
  <c r="E330" i="9"/>
  <c r="F330" i="9" s="1"/>
  <c r="G330" i="9" s="1"/>
  <c r="H330" i="9" s="1"/>
  <c r="E331" i="9"/>
  <c r="F331" i="9" s="1"/>
  <c r="G331" i="9" s="1"/>
  <c r="H331" i="9" s="1"/>
  <c r="E332" i="9"/>
  <c r="F332" i="9" s="1"/>
  <c r="G332" i="9" s="1"/>
  <c r="H332" i="9" s="1"/>
  <c r="E333" i="9"/>
  <c r="F333" i="9" s="1"/>
  <c r="G333" i="9" s="1"/>
  <c r="H333" i="9" s="1"/>
  <c r="E334" i="9"/>
  <c r="F334" i="9" s="1"/>
  <c r="G334" i="9" s="1"/>
  <c r="H334" i="9" s="1"/>
  <c r="E335" i="9"/>
  <c r="F335" i="9" s="1"/>
  <c r="G335" i="9" s="1"/>
  <c r="H335" i="9" s="1"/>
  <c r="E336" i="9"/>
  <c r="F336" i="9" s="1"/>
  <c r="G336" i="9" s="1"/>
  <c r="H336" i="9" s="1"/>
  <c r="E337" i="9"/>
  <c r="F337" i="9" s="1"/>
  <c r="G337" i="9" s="1"/>
  <c r="H337" i="9" s="1"/>
  <c r="E338" i="9"/>
  <c r="F338" i="9" s="1"/>
  <c r="G338" i="9" s="1"/>
  <c r="H338" i="9" s="1"/>
  <c r="E339" i="9"/>
  <c r="F339" i="9" s="1"/>
  <c r="G339" i="9" s="1"/>
  <c r="H339" i="9" s="1"/>
  <c r="E340" i="9"/>
  <c r="F340" i="9" s="1"/>
  <c r="G340" i="9" s="1"/>
  <c r="H340" i="9" s="1"/>
  <c r="E341" i="9"/>
  <c r="F341" i="9" s="1"/>
  <c r="G341" i="9" s="1"/>
  <c r="H341" i="9" s="1"/>
  <c r="E342" i="9"/>
  <c r="F342" i="9" s="1"/>
  <c r="G342" i="9" s="1"/>
  <c r="H342" i="9" s="1"/>
  <c r="E343" i="9"/>
  <c r="F343" i="9" s="1"/>
  <c r="G343" i="9" s="1"/>
  <c r="H343" i="9" s="1"/>
  <c r="E344" i="9"/>
  <c r="F344" i="9" s="1"/>
  <c r="G344" i="9" s="1"/>
  <c r="H344" i="9" s="1"/>
  <c r="E345" i="9"/>
  <c r="F345" i="9" s="1"/>
  <c r="G345" i="9" s="1"/>
  <c r="H345" i="9" s="1"/>
  <c r="E346" i="9"/>
  <c r="F346" i="9" s="1"/>
  <c r="G346" i="9" s="1"/>
  <c r="H346" i="9" s="1"/>
  <c r="E347" i="9"/>
  <c r="F347" i="9" s="1"/>
  <c r="G347" i="9" s="1"/>
  <c r="H347" i="9" s="1"/>
  <c r="E348" i="9"/>
  <c r="F348" i="9" s="1"/>
  <c r="G348" i="9" s="1"/>
  <c r="H348" i="9" s="1"/>
  <c r="E349" i="9"/>
  <c r="F349" i="9" s="1"/>
  <c r="G349" i="9" s="1"/>
  <c r="H349" i="9" s="1"/>
  <c r="E350" i="9"/>
  <c r="F350" i="9" s="1"/>
  <c r="G350" i="9" s="1"/>
  <c r="H350" i="9" s="1"/>
  <c r="E351" i="9"/>
  <c r="F351" i="9" s="1"/>
  <c r="G351" i="9" s="1"/>
  <c r="H351" i="9" s="1"/>
  <c r="E352" i="9"/>
  <c r="F352" i="9" s="1"/>
  <c r="G352" i="9" s="1"/>
  <c r="H352" i="9" s="1"/>
  <c r="E353" i="9"/>
  <c r="F353" i="9" s="1"/>
  <c r="G353" i="9" s="1"/>
  <c r="H353" i="9" s="1"/>
  <c r="E354" i="9"/>
  <c r="F354" i="9" s="1"/>
  <c r="G354" i="9" s="1"/>
  <c r="H354" i="9" s="1"/>
  <c r="E355" i="9"/>
  <c r="F355" i="9" s="1"/>
  <c r="G355" i="9" s="1"/>
  <c r="H355" i="9" s="1"/>
  <c r="E356" i="9"/>
  <c r="F356" i="9" s="1"/>
  <c r="G356" i="9" s="1"/>
  <c r="H356" i="9" s="1"/>
  <c r="E357" i="9"/>
  <c r="F357" i="9" s="1"/>
  <c r="G357" i="9" s="1"/>
  <c r="H357" i="9" s="1"/>
  <c r="E358" i="9"/>
  <c r="F358" i="9" s="1"/>
  <c r="G358" i="9" s="1"/>
  <c r="H358" i="9" s="1"/>
  <c r="E359" i="9"/>
  <c r="F359" i="9" s="1"/>
  <c r="G359" i="9" s="1"/>
  <c r="H359" i="9" s="1"/>
  <c r="E360" i="9"/>
  <c r="F360" i="9" s="1"/>
  <c r="G360" i="9" s="1"/>
  <c r="H360" i="9" s="1"/>
  <c r="E361" i="9"/>
  <c r="F361" i="9" s="1"/>
  <c r="G361" i="9" s="1"/>
  <c r="H361" i="9" s="1"/>
  <c r="E362" i="9"/>
  <c r="F362" i="9" s="1"/>
  <c r="G362" i="9" s="1"/>
  <c r="H362" i="9" s="1"/>
  <c r="E363" i="9"/>
  <c r="F363" i="9" s="1"/>
  <c r="G363" i="9" s="1"/>
  <c r="H363" i="9" s="1"/>
  <c r="E364" i="9"/>
  <c r="F364" i="9" s="1"/>
  <c r="G364" i="9" s="1"/>
  <c r="H364" i="9" s="1"/>
  <c r="E365" i="9"/>
  <c r="F365" i="9" s="1"/>
  <c r="G365" i="9" s="1"/>
  <c r="H365" i="9" s="1"/>
  <c r="E366" i="9"/>
  <c r="F366" i="9" s="1"/>
  <c r="G366" i="9" s="1"/>
  <c r="H366" i="9" s="1"/>
  <c r="E367" i="9"/>
  <c r="F367" i="9" s="1"/>
  <c r="G367" i="9" s="1"/>
  <c r="H367" i="9" s="1"/>
  <c r="E368" i="9"/>
  <c r="F368" i="9" s="1"/>
  <c r="G368" i="9" s="1"/>
  <c r="H368" i="9" s="1"/>
  <c r="E369" i="9"/>
  <c r="F369" i="9" s="1"/>
  <c r="G369" i="9" s="1"/>
  <c r="H369" i="9" s="1"/>
  <c r="E370" i="9"/>
  <c r="F370" i="9" s="1"/>
  <c r="G370" i="9" s="1"/>
  <c r="H370" i="9" s="1"/>
  <c r="E371" i="9"/>
  <c r="F371" i="9" s="1"/>
  <c r="G371" i="9" s="1"/>
  <c r="H371" i="9" s="1"/>
  <c r="E372" i="9"/>
  <c r="F372" i="9" s="1"/>
  <c r="G372" i="9" s="1"/>
  <c r="H372" i="9" s="1"/>
  <c r="E373" i="9"/>
  <c r="F373" i="9" s="1"/>
  <c r="G373" i="9" s="1"/>
  <c r="H373" i="9" s="1"/>
  <c r="E374" i="9"/>
  <c r="F374" i="9" s="1"/>
  <c r="G374" i="9" s="1"/>
  <c r="H374" i="9" s="1"/>
  <c r="E375" i="9"/>
  <c r="F375" i="9" s="1"/>
  <c r="G375" i="9" s="1"/>
  <c r="H375" i="9" s="1"/>
  <c r="E376" i="9"/>
  <c r="F376" i="9" s="1"/>
  <c r="G376" i="9" s="1"/>
  <c r="H376" i="9" s="1"/>
  <c r="E377" i="9"/>
  <c r="F377" i="9" s="1"/>
  <c r="G377" i="9" s="1"/>
  <c r="H377" i="9" s="1"/>
  <c r="E378" i="9"/>
  <c r="F378" i="9" s="1"/>
  <c r="G378" i="9" s="1"/>
  <c r="H378" i="9" s="1"/>
  <c r="E379" i="9"/>
  <c r="F379" i="9" s="1"/>
  <c r="G379" i="9" s="1"/>
  <c r="H379" i="9" s="1"/>
  <c r="E380" i="9"/>
  <c r="F380" i="9" s="1"/>
  <c r="G380" i="9" s="1"/>
  <c r="H380" i="9" s="1"/>
  <c r="E381" i="9"/>
  <c r="F381" i="9" s="1"/>
  <c r="G381" i="9" s="1"/>
  <c r="H381" i="9" s="1"/>
  <c r="E382" i="9"/>
  <c r="F382" i="9" s="1"/>
  <c r="G382" i="9" s="1"/>
  <c r="H382" i="9" s="1"/>
  <c r="E383" i="9"/>
  <c r="F383" i="9" s="1"/>
  <c r="G383" i="9" s="1"/>
  <c r="H383" i="9" s="1"/>
  <c r="E384" i="9"/>
  <c r="F384" i="9" s="1"/>
  <c r="G384" i="9" s="1"/>
  <c r="H384" i="9" s="1"/>
  <c r="E385" i="9"/>
  <c r="F385" i="9" s="1"/>
  <c r="G385" i="9" s="1"/>
  <c r="H385" i="9" s="1"/>
  <c r="E386" i="9"/>
  <c r="F386" i="9" s="1"/>
  <c r="G386" i="9" s="1"/>
  <c r="H386" i="9" s="1"/>
  <c r="E387" i="9"/>
  <c r="F387" i="9" s="1"/>
  <c r="G387" i="9" s="1"/>
  <c r="H387" i="9" s="1"/>
  <c r="E388" i="9"/>
  <c r="F388" i="9" s="1"/>
  <c r="G388" i="9" s="1"/>
  <c r="H388" i="9" s="1"/>
  <c r="E389" i="9"/>
  <c r="F389" i="9" s="1"/>
  <c r="G389" i="9" s="1"/>
  <c r="H389" i="9" s="1"/>
  <c r="E390" i="9"/>
  <c r="F390" i="9" s="1"/>
  <c r="G390" i="9" s="1"/>
  <c r="H390" i="9" s="1"/>
  <c r="E391" i="9"/>
  <c r="F391" i="9" s="1"/>
  <c r="G391" i="9" s="1"/>
  <c r="H391" i="9" s="1"/>
  <c r="E392" i="9"/>
  <c r="F392" i="9" s="1"/>
  <c r="G392" i="9" s="1"/>
  <c r="H392" i="9" s="1"/>
  <c r="E393" i="9"/>
  <c r="F393" i="9" s="1"/>
  <c r="G393" i="9" s="1"/>
  <c r="H393" i="9" s="1"/>
  <c r="E394" i="9"/>
  <c r="F394" i="9" s="1"/>
  <c r="G394" i="9" s="1"/>
  <c r="H394" i="9" s="1"/>
  <c r="E395" i="9"/>
  <c r="F395" i="9" s="1"/>
  <c r="G395" i="9" s="1"/>
  <c r="H395" i="9" s="1"/>
  <c r="E396" i="9"/>
  <c r="F396" i="9" s="1"/>
  <c r="G396" i="9" s="1"/>
  <c r="H396" i="9" s="1"/>
  <c r="E397" i="9"/>
  <c r="F397" i="9" s="1"/>
  <c r="G397" i="9" s="1"/>
  <c r="H397" i="9" s="1"/>
  <c r="E398" i="9"/>
  <c r="F398" i="9" s="1"/>
  <c r="G398" i="9" s="1"/>
  <c r="H398" i="9" s="1"/>
  <c r="E399" i="9"/>
  <c r="F399" i="9" s="1"/>
  <c r="G399" i="9" s="1"/>
  <c r="H399" i="9" s="1"/>
  <c r="E400" i="9"/>
  <c r="F400" i="9" s="1"/>
  <c r="G400" i="9" s="1"/>
  <c r="H400" i="9" s="1"/>
  <c r="E401" i="9"/>
  <c r="F401" i="9" s="1"/>
  <c r="G401" i="9" s="1"/>
  <c r="H401" i="9" s="1"/>
  <c r="E402" i="9"/>
  <c r="F402" i="9" s="1"/>
  <c r="G402" i="9" s="1"/>
  <c r="H402" i="9" s="1"/>
  <c r="E403" i="9"/>
  <c r="F403" i="9" s="1"/>
  <c r="G403" i="9" s="1"/>
  <c r="H403" i="9" s="1"/>
  <c r="E404" i="9"/>
  <c r="F404" i="9" s="1"/>
  <c r="G404" i="9" s="1"/>
  <c r="H404" i="9" s="1"/>
  <c r="E405" i="9"/>
  <c r="F405" i="9" s="1"/>
  <c r="G405" i="9" s="1"/>
  <c r="H405" i="9" s="1"/>
  <c r="E406" i="9"/>
  <c r="F406" i="9" s="1"/>
  <c r="G406" i="9" s="1"/>
  <c r="H406" i="9" s="1"/>
  <c r="E407" i="9"/>
  <c r="F407" i="9" s="1"/>
  <c r="G407" i="9" s="1"/>
  <c r="H407" i="9" s="1"/>
  <c r="E408" i="9"/>
  <c r="F408" i="9" s="1"/>
  <c r="G408" i="9" s="1"/>
  <c r="H408" i="9" s="1"/>
  <c r="E409" i="9"/>
  <c r="F409" i="9" s="1"/>
  <c r="G409" i="9" s="1"/>
  <c r="H409" i="9" s="1"/>
  <c r="E410" i="9"/>
  <c r="F410" i="9" s="1"/>
  <c r="G410" i="9" s="1"/>
  <c r="H410" i="9" s="1"/>
  <c r="E411" i="9"/>
  <c r="F411" i="9" s="1"/>
  <c r="G411" i="9" s="1"/>
  <c r="H411" i="9" s="1"/>
  <c r="E412" i="9"/>
  <c r="F412" i="9" s="1"/>
  <c r="G412" i="9" s="1"/>
  <c r="H412" i="9" s="1"/>
  <c r="E413" i="9"/>
  <c r="F413" i="9" s="1"/>
  <c r="G413" i="9" s="1"/>
  <c r="H413" i="9" s="1"/>
  <c r="E414" i="9"/>
  <c r="F414" i="9" s="1"/>
  <c r="G414" i="9" s="1"/>
  <c r="H414" i="9" s="1"/>
  <c r="E415" i="9"/>
  <c r="F415" i="9" s="1"/>
  <c r="G415" i="9" s="1"/>
  <c r="H415" i="9" s="1"/>
  <c r="E416" i="9"/>
  <c r="F416" i="9" s="1"/>
  <c r="G416" i="9" s="1"/>
  <c r="H416" i="9" s="1"/>
  <c r="E417" i="9"/>
  <c r="F417" i="9" s="1"/>
  <c r="G417" i="9" s="1"/>
  <c r="H417" i="9" s="1"/>
  <c r="E418" i="9"/>
  <c r="F418" i="9" s="1"/>
  <c r="G418" i="9" s="1"/>
  <c r="H418" i="9" s="1"/>
  <c r="E419" i="9"/>
  <c r="F419" i="9" s="1"/>
  <c r="G419" i="9" s="1"/>
  <c r="H419" i="9" s="1"/>
  <c r="E420" i="9"/>
  <c r="F420" i="9" s="1"/>
  <c r="G420" i="9" s="1"/>
  <c r="H420" i="9" s="1"/>
  <c r="E421" i="9"/>
  <c r="F421" i="9" s="1"/>
  <c r="G421" i="9" s="1"/>
  <c r="H421" i="9" s="1"/>
  <c r="E422" i="9"/>
  <c r="F422" i="9" s="1"/>
  <c r="G422" i="9" s="1"/>
  <c r="H422" i="9" s="1"/>
  <c r="E423" i="9"/>
  <c r="F423" i="9" s="1"/>
  <c r="G423" i="9" s="1"/>
  <c r="H423" i="9" s="1"/>
  <c r="E424" i="9"/>
  <c r="F424" i="9" s="1"/>
  <c r="G424" i="9" s="1"/>
  <c r="H424" i="9" s="1"/>
  <c r="E425" i="9"/>
  <c r="F425" i="9" s="1"/>
  <c r="G425" i="9" s="1"/>
  <c r="H425" i="9" s="1"/>
  <c r="E426" i="9"/>
  <c r="F426" i="9" s="1"/>
  <c r="G426" i="9" s="1"/>
  <c r="H426" i="9" s="1"/>
  <c r="E427" i="9"/>
  <c r="F427" i="9" s="1"/>
  <c r="G427" i="9" s="1"/>
  <c r="H427" i="9" s="1"/>
  <c r="E428" i="9"/>
  <c r="F428" i="9" s="1"/>
  <c r="G428" i="9" s="1"/>
  <c r="H428" i="9" s="1"/>
  <c r="E429" i="9"/>
  <c r="F429" i="9" s="1"/>
  <c r="G429" i="9" s="1"/>
  <c r="H429" i="9" s="1"/>
  <c r="E430" i="9"/>
  <c r="F430" i="9" s="1"/>
  <c r="G430" i="9" s="1"/>
  <c r="H430" i="9" s="1"/>
  <c r="E431" i="9"/>
  <c r="F431" i="9" s="1"/>
  <c r="G431" i="9" s="1"/>
  <c r="H431" i="9" s="1"/>
  <c r="E432" i="9"/>
  <c r="F432" i="9" s="1"/>
  <c r="G432" i="9" s="1"/>
  <c r="H432" i="9" s="1"/>
  <c r="E433" i="9"/>
  <c r="F433" i="9" s="1"/>
  <c r="G433" i="9" s="1"/>
  <c r="H433" i="9" s="1"/>
  <c r="E434" i="9"/>
  <c r="F434" i="9" s="1"/>
  <c r="G434" i="9" s="1"/>
  <c r="H434" i="9" s="1"/>
  <c r="E435" i="9"/>
  <c r="F435" i="9" s="1"/>
  <c r="G435" i="9" s="1"/>
  <c r="H435" i="9" s="1"/>
  <c r="E436" i="9"/>
  <c r="F436" i="9" s="1"/>
  <c r="G436" i="9" s="1"/>
  <c r="H436" i="9" s="1"/>
  <c r="E437" i="9"/>
  <c r="F437" i="9" s="1"/>
  <c r="G437" i="9" s="1"/>
  <c r="H437" i="9" s="1"/>
  <c r="E438" i="9"/>
  <c r="F438" i="9" s="1"/>
  <c r="G438" i="9" s="1"/>
  <c r="H438" i="9" s="1"/>
  <c r="E439" i="9"/>
  <c r="F439" i="9" s="1"/>
  <c r="G439" i="9" s="1"/>
  <c r="H439" i="9" s="1"/>
  <c r="E440" i="9"/>
  <c r="F440" i="9" s="1"/>
  <c r="G440" i="9" s="1"/>
  <c r="H440" i="9" s="1"/>
  <c r="E441" i="9"/>
  <c r="F441" i="9" s="1"/>
  <c r="G441" i="9" s="1"/>
  <c r="H441" i="9" s="1"/>
  <c r="E442" i="9"/>
  <c r="F442" i="9" s="1"/>
  <c r="G442" i="9" s="1"/>
  <c r="H442" i="9" s="1"/>
  <c r="E443" i="9"/>
  <c r="F443" i="9" s="1"/>
  <c r="G443" i="9" s="1"/>
  <c r="H443" i="9" s="1"/>
  <c r="E444" i="9"/>
  <c r="F444" i="9" s="1"/>
  <c r="G444" i="9" s="1"/>
  <c r="H444" i="9" s="1"/>
  <c r="E445" i="9"/>
  <c r="F445" i="9" s="1"/>
  <c r="G445" i="9" s="1"/>
  <c r="H445" i="9" s="1"/>
  <c r="E446" i="9"/>
  <c r="F446" i="9" s="1"/>
  <c r="G446" i="9" s="1"/>
  <c r="H446" i="9" s="1"/>
  <c r="E447" i="9"/>
  <c r="F447" i="9" s="1"/>
  <c r="G447" i="9" s="1"/>
  <c r="H447" i="9" s="1"/>
  <c r="E448" i="9"/>
  <c r="F448" i="9" s="1"/>
  <c r="G448" i="9" s="1"/>
  <c r="H448" i="9" s="1"/>
  <c r="E449" i="9"/>
  <c r="F449" i="9" s="1"/>
  <c r="G449" i="9" s="1"/>
  <c r="H449" i="9" s="1"/>
  <c r="E450" i="9"/>
  <c r="F450" i="9" s="1"/>
  <c r="G450" i="9" s="1"/>
  <c r="H450" i="9" s="1"/>
  <c r="AA29" i="13" l="1"/>
  <c r="AB29" i="13" s="1"/>
  <c r="AA31" i="13"/>
  <c r="AB31" i="13" s="1"/>
  <c r="AA32" i="13"/>
  <c r="AB32" i="13" s="1"/>
  <c r="AA33" i="13"/>
  <c r="AB33" i="13" s="1"/>
  <c r="AA30" i="13"/>
  <c r="AB30" i="13" s="1"/>
  <c r="Y9" i="13"/>
  <c r="Z9" i="13"/>
  <c r="Z10" i="13"/>
  <c r="AB10" i="13" s="1"/>
  <c r="AC10" i="13" s="1"/>
  <c r="Z18" i="13"/>
  <c r="AB18" i="13" s="1"/>
  <c r="Z11" i="13"/>
  <c r="AB11" i="13" s="1"/>
  <c r="AC11" i="13" s="1"/>
  <c r="Z19" i="13"/>
  <c r="AB19" i="13" s="1"/>
  <c r="AC19" i="13" s="1"/>
  <c r="Z12" i="13"/>
  <c r="AB12" i="13" s="1"/>
  <c r="AC12" i="13" s="1"/>
  <c r="Z20" i="13"/>
  <c r="AB20" i="13" s="1"/>
  <c r="AC20" i="13" s="1"/>
  <c r="Z13" i="13"/>
  <c r="AB13" i="13" s="1"/>
  <c r="AC13" i="13" s="1"/>
  <c r="Z21" i="13"/>
  <c r="AB21" i="13" s="1"/>
  <c r="AC21" i="13" s="1"/>
  <c r="Z14" i="13"/>
  <c r="AB14" i="13" s="1"/>
  <c r="AC14" i="13" s="1"/>
  <c r="Z22" i="13"/>
  <c r="AB22" i="13" s="1"/>
  <c r="AC22" i="13" s="1"/>
  <c r="Z15" i="13"/>
  <c r="AB15" i="13" s="1"/>
  <c r="AC15" i="13" s="1"/>
  <c r="Z23" i="13"/>
  <c r="AB23" i="13" s="1"/>
  <c r="AC23" i="13" s="1"/>
  <c r="Z16" i="13"/>
  <c r="AB16" i="13" s="1"/>
  <c r="AC16" i="13" s="1"/>
  <c r="Z24" i="13"/>
  <c r="AB24" i="13" s="1"/>
  <c r="AC24" i="13" s="1"/>
  <c r="Z17" i="13"/>
  <c r="AB17" i="13" s="1"/>
  <c r="AC17" i="13" s="1"/>
  <c r="Z27" i="12"/>
  <c r="Z25" i="12"/>
  <c r="Z24" i="12"/>
  <c r="Z23" i="12"/>
  <c r="Z22" i="12"/>
  <c r="Z21" i="12"/>
  <c r="Z20" i="12"/>
  <c r="Z19" i="12"/>
  <c r="Z26" i="12"/>
  <c r="Z18" i="12"/>
  <c r="Y27" i="12"/>
  <c r="Y24" i="12"/>
  <c r="Y23" i="12"/>
  <c r="Y22" i="12"/>
  <c r="Y21" i="12"/>
  <c r="Y25" i="12"/>
  <c r="Y20" i="12"/>
  <c r="Y19" i="12"/>
  <c r="Y26" i="12"/>
  <c r="Y18" i="12"/>
  <c r="X27" i="12"/>
  <c r="X24" i="12"/>
  <c r="X23" i="12"/>
  <c r="X22" i="12"/>
  <c r="X25" i="12"/>
  <c r="X21" i="12"/>
  <c r="X20" i="12"/>
  <c r="X19" i="12"/>
  <c r="X26" i="12"/>
  <c r="X18" i="12"/>
  <c r="M24" i="12"/>
  <c r="M8" i="12"/>
  <c r="M223" i="12"/>
  <c r="M16" i="12"/>
  <c r="M184" i="12"/>
  <c r="M176" i="12"/>
  <c r="M168" i="12"/>
  <c r="M160" i="12"/>
  <c r="M152" i="12"/>
  <c r="M144" i="12"/>
  <c r="M136" i="12"/>
  <c r="M128" i="12"/>
  <c r="M120" i="12"/>
  <c r="M112" i="12"/>
  <c r="M104" i="12"/>
  <c r="M96" i="12"/>
  <c r="M88" i="12"/>
  <c r="M80" i="12"/>
  <c r="M72" i="12"/>
  <c r="M64" i="12"/>
  <c r="M56" i="12"/>
  <c r="M48" i="12"/>
  <c r="M40" i="12"/>
  <c r="M32" i="12"/>
  <c r="M240" i="12"/>
  <c r="M232" i="12"/>
  <c r="M224" i="12"/>
  <c r="M216" i="12"/>
  <c r="M208" i="12"/>
  <c r="M200" i="12"/>
  <c r="M192" i="12"/>
  <c r="M267" i="12"/>
  <c r="M259" i="12"/>
  <c r="M251" i="12"/>
  <c r="M243" i="12"/>
  <c r="M235" i="12"/>
  <c r="M227" i="12"/>
  <c r="M219" i="12"/>
  <c r="M211" i="12"/>
  <c r="M203" i="12"/>
  <c r="M195" i="12"/>
  <c r="M187" i="12"/>
  <c r="M179" i="12"/>
  <c r="M171" i="12"/>
  <c r="M163" i="12"/>
  <c r="M155" i="12"/>
  <c r="M147" i="12"/>
  <c r="M139" i="12"/>
  <c r="M131" i="12"/>
  <c r="M123" i="12"/>
  <c r="M115" i="12"/>
  <c r="M107" i="12"/>
  <c r="M99" i="12"/>
  <c r="M91" i="12"/>
  <c r="M83" i="12"/>
  <c r="M75" i="12"/>
  <c r="M67" i="12"/>
  <c r="M59" i="12"/>
  <c r="M51" i="12"/>
  <c r="M43" i="12"/>
  <c r="M35" i="12"/>
  <c r="M27" i="12"/>
  <c r="M19" i="12"/>
  <c r="M11" i="12"/>
  <c r="M272" i="12"/>
  <c r="M264" i="12"/>
  <c r="M256" i="12"/>
  <c r="M248" i="12"/>
  <c r="M214" i="12"/>
  <c r="N270" i="12"/>
  <c r="N262" i="12"/>
  <c r="N254" i="12"/>
  <c r="N246" i="12"/>
  <c r="N238" i="12"/>
  <c r="N230" i="12"/>
  <c r="N222" i="12"/>
  <c r="N214" i="12"/>
  <c r="N206" i="12"/>
  <c r="N198" i="12"/>
  <c r="N190" i="12"/>
  <c r="N182" i="12"/>
  <c r="N174" i="12"/>
  <c r="N166" i="12"/>
  <c r="N158" i="12"/>
  <c r="N150" i="12"/>
  <c r="N142" i="12"/>
  <c r="N134" i="12"/>
  <c r="N126" i="12"/>
  <c r="N118" i="12"/>
  <c r="N110" i="12"/>
  <c r="N102" i="12"/>
  <c r="N94" i="12"/>
  <c r="N86" i="12"/>
  <c r="N78" i="12"/>
  <c r="N70" i="12"/>
  <c r="N62" i="12"/>
  <c r="N54" i="12"/>
  <c r="N46" i="12"/>
  <c r="N38" i="12"/>
  <c r="N30" i="12"/>
  <c r="N22" i="12"/>
  <c r="N14" i="12"/>
  <c r="N6" i="12"/>
  <c r="M269" i="12"/>
  <c r="M261" i="12"/>
  <c r="M253" i="12"/>
  <c r="M245" i="12"/>
  <c r="M237" i="12"/>
  <c r="M229" i="12"/>
  <c r="M221" i="12"/>
  <c r="M213" i="12"/>
  <c r="M205" i="12"/>
  <c r="M197" i="12"/>
  <c r="M189" i="12"/>
  <c r="M181" i="12"/>
  <c r="M173" i="12"/>
  <c r="M165" i="12"/>
  <c r="M157" i="12"/>
  <c r="M149" i="12"/>
  <c r="M141" i="12"/>
  <c r="M133" i="12"/>
  <c r="M125" i="12"/>
  <c r="M117" i="12"/>
  <c r="M109" i="12"/>
  <c r="M101" i="12"/>
  <c r="M93" i="12"/>
  <c r="M85" i="12"/>
  <c r="M77" i="12"/>
  <c r="M69" i="12"/>
  <c r="M61" i="12"/>
  <c r="M53" i="12"/>
  <c r="M45" i="12"/>
  <c r="M37" i="12"/>
  <c r="M29" i="12"/>
  <c r="M21" i="12"/>
  <c r="M13" i="12"/>
  <c r="M5" i="12"/>
  <c r="M266" i="12"/>
  <c r="M258" i="12"/>
  <c r="M250" i="12"/>
  <c r="M242" i="12"/>
  <c r="M234" i="12"/>
  <c r="M226" i="12"/>
  <c r="M218" i="12"/>
  <c r="M210" i="12"/>
  <c r="M202" i="12"/>
  <c r="M194" i="12"/>
  <c r="M186" i="12"/>
  <c r="M178" i="12"/>
  <c r="M170" i="12"/>
  <c r="M162" i="12"/>
  <c r="M154" i="12"/>
  <c r="M146" i="12"/>
  <c r="M138" i="12"/>
  <c r="M130" i="12"/>
  <c r="M122" i="12"/>
  <c r="M114" i="12"/>
  <c r="M106" i="12"/>
  <c r="M98" i="12"/>
  <c r="M90" i="12"/>
  <c r="M82" i="12"/>
  <c r="M74" i="12"/>
  <c r="M66" i="12"/>
  <c r="M58" i="12"/>
  <c r="M50" i="12"/>
  <c r="M42" i="12"/>
  <c r="M34" i="12"/>
  <c r="M26" i="12"/>
  <c r="M18" i="12"/>
  <c r="M10" i="12"/>
  <c r="N209" i="12"/>
  <c r="M268" i="12"/>
  <c r="M260" i="12"/>
  <c r="M252" i="12"/>
  <c r="M244" i="12"/>
  <c r="M236" i="12"/>
  <c r="M228" i="12"/>
  <c r="M220" i="12"/>
  <c r="M212" i="12"/>
  <c r="M204" i="12"/>
  <c r="M196" i="12"/>
  <c r="M188" i="12"/>
  <c r="M180" i="12"/>
  <c r="M172" i="12"/>
  <c r="M164" i="12"/>
  <c r="M156" i="12"/>
  <c r="M148" i="12"/>
  <c r="M140" i="12"/>
  <c r="M132" i="12"/>
  <c r="M124" i="12"/>
  <c r="M116" i="12"/>
  <c r="M108" i="12"/>
  <c r="M100" i="12"/>
  <c r="M92" i="12"/>
  <c r="M84" i="12"/>
  <c r="M76" i="12"/>
  <c r="M68" i="12"/>
  <c r="M60" i="12"/>
  <c r="M52" i="12"/>
  <c r="M44" i="12"/>
  <c r="M36" i="12"/>
  <c r="M28" i="12"/>
  <c r="M20" i="12"/>
  <c r="M12" i="12"/>
  <c r="N145" i="12"/>
  <c r="M265" i="12"/>
  <c r="M257" i="12"/>
  <c r="M249" i="12"/>
  <c r="M241" i="12"/>
  <c r="M233" i="12"/>
  <c r="M225" i="12"/>
  <c r="M217" i="12"/>
  <c r="M209" i="12"/>
  <c r="M201" i="12"/>
  <c r="M193" i="12"/>
  <c r="M185" i="12"/>
  <c r="M177" i="12"/>
  <c r="M169" i="12"/>
  <c r="M161" i="12"/>
  <c r="M153" i="12"/>
  <c r="M145" i="12"/>
  <c r="M137" i="12"/>
  <c r="M129" i="12"/>
  <c r="M121" i="12"/>
  <c r="M113" i="12"/>
  <c r="M105" i="12"/>
  <c r="M97" i="12"/>
  <c r="M89" i="12"/>
  <c r="M81" i="12"/>
  <c r="M73" i="12"/>
  <c r="M65" i="12"/>
  <c r="M57" i="12"/>
  <c r="M49" i="12"/>
  <c r="M41" i="12"/>
  <c r="M33" i="12"/>
  <c r="M25" i="12"/>
  <c r="M17" i="12"/>
  <c r="M9" i="12"/>
  <c r="N271" i="12"/>
  <c r="N263" i="12"/>
  <c r="N255" i="12"/>
  <c r="N247" i="12"/>
  <c r="N239" i="12"/>
  <c r="N231" i="12"/>
  <c r="N223" i="12"/>
  <c r="N215" i="12"/>
  <c r="N207" i="12"/>
  <c r="N199" i="12"/>
  <c r="N191" i="12"/>
  <c r="N183" i="12"/>
  <c r="N175" i="12"/>
  <c r="N167" i="12"/>
  <c r="N159" i="12"/>
  <c r="N151" i="12"/>
  <c r="N143" i="12"/>
  <c r="N135" i="12"/>
  <c r="N127" i="12"/>
  <c r="N119" i="12"/>
  <c r="N253" i="12"/>
  <c r="N189" i="12"/>
  <c r="M271" i="12"/>
  <c r="M263" i="12"/>
  <c r="M255" i="12"/>
  <c r="M247" i="12"/>
  <c r="M239" i="12"/>
  <c r="M231" i="12"/>
  <c r="M215" i="12"/>
  <c r="M207" i="12"/>
  <c r="M199" i="12"/>
  <c r="M191" i="12"/>
  <c r="M183" i="12"/>
  <c r="M175" i="12"/>
  <c r="M167" i="12"/>
  <c r="M159" i="12"/>
  <c r="M151" i="12"/>
  <c r="M143" i="12"/>
  <c r="M135" i="12"/>
  <c r="M127" i="12"/>
  <c r="M119" i="12"/>
  <c r="O267" i="12"/>
  <c r="O259" i="12"/>
  <c r="O251" i="12"/>
  <c r="O243" i="12"/>
  <c r="O235" i="12"/>
  <c r="O227" i="12"/>
  <c r="O219" i="12"/>
  <c r="O211" i="12"/>
  <c r="O203" i="12"/>
  <c r="O195" i="12"/>
  <c r="O187" i="12"/>
  <c r="O179" i="12"/>
  <c r="O171" i="12"/>
  <c r="O163" i="12"/>
  <c r="O155" i="12"/>
  <c r="O147" i="12"/>
  <c r="O139" i="12"/>
  <c r="O131" i="12"/>
  <c r="O123" i="12"/>
  <c r="O115" i="12"/>
  <c r="O107" i="12"/>
  <c r="O99" i="12"/>
  <c r="O91" i="12"/>
  <c r="O83" i="12"/>
  <c r="O75" i="12"/>
  <c r="O67" i="12"/>
  <c r="O59" i="12"/>
  <c r="O51" i="12"/>
  <c r="O43" i="12"/>
  <c r="O35" i="12"/>
  <c r="O27" i="12"/>
  <c r="O19" i="12"/>
  <c r="O11" i="12"/>
  <c r="O175" i="12"/>
  <c r="M270" i="12"/>
  <c r="M262" i="12"/>
  <c r="M254" i="12"/>
  <c r="M246" i="12"/>
  <c r="M238" i="12"/>
  <c r="M230" i="12"/>
  <c r="M222" i="12"/>
  <c r="M206" i="12"/>
  <c r="M198" i="12"/>
  <c r="M190" i="12"/>
  <c r="M182" i="12"/>
  <c r="M174" i="12"/>
  <c r="M166" i="12"/>
  <c r="M158" i="12"/>
  <c r="M150" i="12"/>
  <c r="M142" i="12"/>
  <c r="M134" i="12"/>
  <c r="M126" i="12"/>
  <c r="M118" i="12"/>
  <c r="M110" i="12"/>
  <c r="M102" i="12"/>
  <c r="M94" i="12"/>
  <c r="M86" i="12"/>
  <c r="M78" i="12"/>
  <c r="M70" i="12"/>
  <c r="M62" i="12"/>
  <c r="M54" i="12"/>
  <c r="M46" i="12"/>
  <c r="M38" i="12"/>
  <c r="M30" i="12"/>
  <c r="M22" i="12"/>
  <c r="M14" i="12"/>
  <c r="M6" i="12"/>
  <c r="N269" i="12"/>
  <c r="N261" i="12"/>
  <c r="N245" i="12"/>
  <c r="N237" i="12"/>
  <c r="N229" i="12"/>
  <c r="N221" i="12"/>
  <c r="N213" i="12"/>
  <c r="N205" i="12"/>
  <c r="N197" i="12"/>
  <c r="N181" i="12"/>
  <c r="N173" i="12"/>
  <c r="N165" i="12"/>
  <c r="N157" i="12"/>
  <c r="N149" i="12"/>
  <c r="O135" i="12"/>
  <c r="N268" i="12"/>
  <c r="N260" i="12"/>
  <c r="N252" i="12"/>
  <c r="N244" i="12"/>
  <c r="N236" i="12"/>
  <c r="N228" i="12"/>
  <c r="N220" i="12"/>
  <c r="N212" i="12"/>
  <c r="N204" i="12"/>
  <c r="N196" i="12"/>
  <c r="N188" i="12"/>
  <c r="N180" i="12"/>
  <c r="N172" i="12"/>
  <c r="N164" i="12"/>
  <c r="N156" i="12"/>
  <c r="N148" i="12"/>
  <c r="N140" i="12"/>
  <c r="N132" i="12"/>
  <c r="N124" i="12"/>
  <c r="O87" i="12"/>
  <c r="N267" i="12"/>
  <c r="N259" i="12"/>
  <c r="N251" i="12"/>
  <c r="N243" i="12"/>
  <c r="N235" i="12"/>
  <c r="N227" i="12"/>
  <c r="N219" i="12"/>
  <c r="N211" i="12"/>
  <c r="N203" i="12"/>
  <c r="N195" i="12"/>
  <c r="N187" i="12"/>
  <c r="N179" i="12"/>
  <c r="N171" i="12"/>
  <c r="N163" i="12"/>
  <c r="N155" i="12"/>
  <c r="N139" i="12"/>
  <c r="N131" i="12"/>
  <c r="N99" i="12"/>
  <c r="N59" i="12"/>
  <c r="N43" i="12"/>
  <c r="N27" i="12"/>
  <c r="N11" i="12"/>
  <c r="O264" i="12"/>
  <c r="O248" i="12"/>
  <c r="O232" i="12"/>
  <c r="O200" i="12"/>
  <c r="O184" i="12"/>
  <c r="O168" i="12"/>
  <c r="O152" i="12"/>
  <c r="O136" i="12"/>
  <c r="O120" i="12"/>
  <c r="O104" i="12"/>
  <c r="O72" i="12"/>
  <c r="O64" i="12"/>
  <c r="O40" i="12"/>
  <c r="O8" i="12"/>
  <c r="N113" i="12"/>
  <c r="O31" i="12"/>
  <c r="O216" i="12"/>
  <c r="N266" i="12"/>
  <c r="N258" i="12"/>
  <c r="N250" i="12"/>
  <c r="N242" i="12"/>
  <c r="N234" i="12"/>
  <c r="N226" i="12"/>
  <c r="N218" i="12"/>
  <c r="N138" i="12"/>
  <c r="N114" i="12"/>
  <c r="N106" i="12"/>
  <c r="N74" i="12"/>
  <c r="N66" i="12"/>
  <c r="N58" i="12"/>
  <c r="N50" i="12"/>
  <c r="N42" i="12"/>
  <c r="N26" i="12"/>
  <c r="N18" i="12"/>
  <c r="N10" i="12"/>
  <c r="O271" i="12"/>
  <c r="O255" i="12"/>
  <c r="O247" i="12"/>
  <c r="O239" i="12"/>
  <c r="O231" i="12"/>
  <c r="O223" i="12"/>
  <c r="O215" i="12"/>
  <c r="O207" i="12"/>
  <c r="O199" i="12"/>
  <c r="O191" i="12"/>
  <c r="O183" i="12"/>
  <c r="O167" i="12"/>
  <c r="O159" i="12"/>
  <c r="O151" i="12"/>
  <c r="O143" i="12"/>
  <c r="O127" i="12"/>
  <c r="O119" i="12"/>
  <c r="O111" i="12"/>
  <c r="O103" i="12"/>
  <c r="O95" i="12"/>
  <c r="O63" i="12"/>
  <c r="O23" i="12"/>
  <c r="N75" i="12"/>
  <c r="O3" i="12"/>
  <c r="N265" i="12"/>
  <c r="N257" i="12"/>
  <c r="N249" i="12"/>
  <c r="N241" i="12"/>
  <c r="N233" i="12"/>
  <c r="N225" i="12"/>
  <c r="N217" i="12"/>
  <c r="N201" i="12"/>
  <c r="N193" i="12"/>
  <c r="N185" i="12"/>
  <c r="N177" i="12"/>
  <c r="N169" i="12"/>
  <c r="N161" i="12"/>
  <c r="N153" i="12"/>
  <c r="N137" i="12"/>
  <c r="N129" i="12"/>
  <c r="N89" i="12"/>
  <c r="N81" i="12"/>
  <c r="N34" i="12"/>
  <c r="N272" i="12"/>
  <c r="N264" i="12"/>
  <c r="N256" i="12"/>
  <c r="N248" i="12"/>
  <c r="N240" i="12"/>
  <c r="N232" i="12"/>
  <c r="N224" i="12"/>
  <c r="N216" i="12"/>
  <c r="N208" i="12"/>
  <c r="N200" i="12"/>
  <c r="N192" i="12"/>
  <c r="N184" i="12"/>
  <c r="N176" i="12"/>
  <c r="N168" i="12"/>
  <c r="N160" i="12"/>
  <c r="N152" i="12"/>
  <c r="N144" i="12"/>
  <c r="N136" i="12"/>
  <c r="N128" i="12"/>
  <c r="N120" i="12"/>
  <c r="N112" i="12"/>
  <c r="N88" i="12"/>
  <c r="O85" i="12"/>
  <c r="O53" i="12"/>
  <c r="O45" i="12"/>
  <c r="O21" i="12"/>
  <c r="O263" i="12"/>
  <c r="N111" i="12"/>
  <c r="N103" i="12"/>
  <c r="N95" i="12"/>
  <c r="N87" i="12"/>
  <c r="N79" i="12"/>
  <c r="N71" i="12"/>
  <c r="N63" i="12"/>
  <c r="N55" i="12"/>
  <c r="N47" i="12"/>
  <c r="N39" i="12"/>
  <c r="N31" i="12"/>
  <c r="N23" i="12"/>
  <c r="N15" i="12"/>
  <c r="N7" i="12"/>
  <c r="O268" i="12"/>
  <c r="O260" i="12"/>
  <c r="O252" i="12"/>
  <c r="O244" i="12"/>
  <c r="O236" i="12"/>
  <c r="O228" i="12"/>
  <c r="O220" i="12"/>
  <c r="O212" i="12"/>
  <c r="O204" i="12"/>
  <c r="O196" i="12"/>
  <c r="O188" i="12"/>
  <c r="O180" i="12"/>
  <c r="O172" i="12"/>
  <c r="O164" i="12"/>
  <c r="O156" i="12"/>
  <c r="O148" i="12"/>
  <c r="O140" i="12"/>
  <c r="O132" i="12"/>
  <c r="O124" i="12"/>
  <c r="O116" i="12"/>
  <c r="O108" i="12"/>
  <c r="O100" i="12"/>
  <c r="O92" i="12"/>
  <c r="O84" i="12"/>
  <c r="O76" i="12"/>
  <c r="O68" i="12"/>
  <c r="O60" i="12"/>
  <c r="O52" i="12"/>
  <c r="O44" i="12"/>
  <c r="O36" i="12"/>
  <c r="O28" i="12"/>
  <c r="O20" i="12"/>
  <c r="O12" i="12"/>
  <c r="O4" i="12"/>
  <c r="N141" i="12"/>
  <c r="N133" i="12"/>
  <c r="N125" i="12"/>
  <c r="N117" i="12"/>
  <c r="N109" i="12"/>
  <c r="N101" i="12"/>
  <c r="N93" i="12"/>
  <c r="N85" i="12"/>
  <c r="N77" i="12"/>
  <c r="N69" i="12"/>
  <c r="N61" i="12"/>
  <c r="N53" i="12"/>
  <c r="N45" i="12"/>
  <c r="N37" i="12"/>
  <c r="N29" i="12"/>
  <c r="N21" i="12"/>
  <c r="N13" i="12"/>
  <c r="N5" i="12"/>
  <c r="O266" i="12"/>
  <c r="O258" i="12"/>
  <c r="O250" i="12"/>
  <c r="O242" i="12"/>
  <c r="O234" i="12"/>
  <c r="O226" i="12"/>
  <c r="O218" i="12"/>
  <c r="O210" i="12"/>
  <c r="O202" i="12"/>
  <c r="O194" i="12"/>
  <c r="O186" i="12"/>
  <c r="O178" i="12"/>
  <c r="O170" i="12"/>
  <c r="O162" i="12"/>
  <c r="O154" i="12"/>
  <c r="O146" i="12"/>
  <c r="O138" i="12"/>
  <c r="O130" i="12"/>
  <c r="O122" i="12"/>
  <c r="O114" i="12"/>
  <c r="O106" i="12"/>
  <c r="O98" i="12"/>
  <c r="O90" i="12"/>
  <c r="O82" i="12"/>
  <c r="O74" i="12"/>
  <c r="O66" i="12"/>
  <c r="O58" i="12"/>
  <c r="O50" i="12"/>
  <c r="O42" i="12"/>
  <c r="O34" i="12"/>
  <c r="O26" i="12"/>
  <c r="O18" i="12"/>
  <c r="O10" i="12"/>
  <c r="N116" i="12"/>
  <c r="N108" i="12"/>
  <c r="N100" i="12"/>
  <c r="N92" i="12"/>
  <c r="N84" i="12"/>
  <c r="N76" i="12"/>
  <c r="N68" i="12"/>
  <c r="N60" i="12"/>
  <c r="N52" i="12"/>
  <c r="N44" i="12"/>
  <c r="N36" i="12"/>
  <c r="N28" i="12"/>
  <c r="N20" i="12"/>
  <c r="N12" i="12"/>
  <c r="N4" i="12"/>
  <c r="O265" i="12"/>
  <c r="O257" i="12"/>
  <c r="O249" i="12"/>
  <c r="O241" i="12"/>
  <c r="O233" i="12"/>
  <c r="O225" i="12"/>
  <c r="O217" i="12"/>
  <c r="O209" i="12"/>
  <c r="O201" i="12"/>
  <c r="O193" i="12"/>
  <c r="O185" i="12"/>
  <c r="O177" i="12"/>
  <c r="O169" i="12"/>
  <c r="O161" i="12"/>
  <c r="O153" i="12"/>
  <c r="O145" i="12"/>
  <c r="O137" i="12"/>
  <c r="O129" i="12"/>
  <c r="O121" i="12"/>
  <c r="O113" i="12"/>
  <c r="O105" i="12"/>
  <c r="O97" i="12"/>
  <c r="O89" i="12"/>
  <c r="O81" i="12"/>
  <c r="O73" i="12"/>
  <c r="O65" i="12"/>
  <c r="O57" i="12"/>
  <c r="O49" i="12"/>
  <c r="O41" i="12"/>
  <c r="O33" i="12"/>
  <c r="O25" i="12"/>
  <c r="O17" i="12"/>
  <c r="O9" i="12"/>
  <c r="N147" i="12"/>
  <c r="N123" i="12"/>
  <c r="N115" i="12"/>
  <c r="N107" i="12"/>
  <c r="N91" i="12"/>
  <c r="N83" i="12"/>
  <c r="N67" i="12"/>
  <c r="N51" i="12"/>
  <c r="N35" i="12"/>
  <c r="N19" i="12"/>
  <c r="O272" i="12"/>
  <c r="O256" i="12"/>
  <c r="O240" i="12"/>
  <c r="O224" i="12"/>
  <c r="O208" i="12"/>
  <c r="O192" i="12"/>
  <c r="O176" i="12"/>
  <c r="O160" i="12"/>
  <c r="O144" i="12"/>
  <c r="O128" i="12"/>
  <c r="O112" i="12"/>
  <c r="O96" i="12"/>
  <c r="O88" i="12"/>
  <c r="O80" i="12"/>
  <c r="O56" i="12"/>
  <c r="O48" i="12"/>
  <c r="O32" i="12"/>
  <c r="O24" i="12"/>
  <c r="O16" i="12"/>
  <c r="N210" i="12"/>
  <c r="N202" i="12"/>
  <c r="N194" i="12"/>
  <c r="N186" i="12"/>
  <c r="N178" i="12"/>
  <c r="N170" i="12"/>
  <c r="N162" i="12"/>
  <c r="N154" i="12"/>
  <c r="N146" i="12"/>
  <c r="N130" i="12"/>
  <c r="N122" i="12"/>
  <c r="N98" i="12"/>
  <c r="N90" i="12"/>
  <c r="N82" i="12"/>
  <c r="O79" i="12"/>
  <c r="O71" i="12"/>
  <c r="O55" i="12"/>
  <c r="O47" i="12"/>
  <c r="O39" i="12"/>
  <c r="O15" i="12"/>
  <c r="O7" i="12"/>
  <c r="N121" i="12"/>
  <c r="N105" i="12"/>
  <c r="N97" i="12"/>
  <c r="N73" i="12"/>
  <c r="N65" i="12"/>
  <c r="N57" i="12"/>
  <c r="N49" i="12"/>
  <c r="N41" i="12"/>
  <c r="N33" i="12"/>
  <c r="N25" i="12"/>
  <c r="N17" i="12"/>
  <c r="N9" i="12"/>
  <c r="O270" i="12"/>
  <c r="O262" i="12"/>
  <c r="O254" i="12"/>
  <c r="O246" i="12"/>
  <c r="O238" i="12"/>
  <c r="O230" i="12"/>
  <c r="O222" i="12"/>
  <c r="O214" i="12"/>
  <c r="O206" i="12"/>
  <c r="O198" i="12"/>
  <c r="O190" i="12"/>
  <c r="O182" i="12"/>
  <c r="O174" i="12"/>
  <c r="O166" i="12"/>
  <c r="O158" i="12"/>
  <c r="O150" i="12"/>
  <c r="O142" i="12"/>
  <c r="O134" i="12"/>
  <c r="O126" i="12"/>
  <c r="O118" i="12"/>
  <c r="O110" i="12"/>
  <c r="O102" i="12"/>
  <c r="O94" i="12"/>
  <c r="O86" i="12"/>
  <c r="O78" i="12"/>
  <c r="O70" i="12"/>
  <c r="O62" i="12"/>
  <c r="O54" i="12"/>
  <c r="O46" i="12"/>
  <c r="O38" i="12"/>
  <c r="O30" i="12"/>
  <c r="O22" i="12"/>
  <c r="O14" i="12"/>
  <c r="O6" i="12"/>
  <c r="N104" i="12"/>
  <c r="N96" i="12"/>
  <c r="N80" i="12"/>
  <c r="N72" i="12"/>
  <c r="N64" i="12"/>
  <c r="N56" i="12"/>
  <c r="N48" i="12"/>
  <c r="N40" i="12"/>
  <c r="N32" i="12"/>
  <c r="N24" i="12"/>
  <c r="N16" i="12"/>
  <c r="N8" i="12"/>
  <c r="O269" i="12"/>
  <c r="O261" i="12"/>
  <c r="O253" i="12"/>
  <c r="O245" i="12"/>
  <c r="O237" i="12"/>
  <c r="O229" i="12"/>
  <c r="O221" i="12"/>
  <c r="O213" i="12"/>
  <c r="O205" i="12"/>
  <c r="O197" i="12"/>
  <c r="O189" i="12"/>
  <c r="O181" i="12"/>
  <c r="O173" i="12"/>
  <c r="O165" i="12"/>
  <c r="O157" i="12"/>
  <c r="O149" i="12"/>
  <c r="O141" i="12"/>
  <c r="O133" i="12"/>
  <c r="O125" i="12"/>
  <c r="O117" i="12"/>
  <c r="O109" i="12"/>
  <c r="O101" i="12"/>
  <c r="O93" i="12"/>
  <c r="O77" i="12"/>
  <c r="O69" i="12"/>
  <c r="O61" i="12"/>
  <c r="O37" i="12"/>
  <c r="O29" i="12"/>
  <c r="O13" i="12"/>
  <c r="O5" i="12"/>
  <c r="K7" i="9"/>
  <c r="AB34" i="13" l="1"/>
  <c r="AC18" i="13"/>
  <c r="AB9" i="13"/>
  <c r="AC9" i="13" s="1"/>
  <c r="AB22" i="12"/>
  <c r="AB26" i="12"/>
  <c r="AB19" i="12"/>
  <c r="AC18" i="12"/>
  <c r="AC19" i="12"/>
  <c r="AC20" i="12"/>
  <c r="AC21" i="12"/>
  <c r="AC22" i="12"/>
  <c r="AC23" i="12"/>
  <c r="AB27" i="12"/>
  <c r="AC24" i="12"/>
  <c r="AC25" i="12"/>
  <c r="AC26" i="12"/>
  <c r="AC27" i="12"/>
  <c r="AB20" i="12"/>
  <c r="AB25" i="12"/>
  <c r="AA24" i="12"/>
  <c r="AA26" i="12"/>
  <c r="AA27" i="12"/>
  <c r="AB23" i="12"/>
  <c r="AB21" i="12"/>
  <c r="AB18" i="12"/>
  <c r="AB24" i="12"/>
  <c r="AA18" i="12"/>
  <c r="AA21" i="12"/>
  <c r="AA22" i="12"/>
  <c r="AA23" i="12"/>
  <c r="AA19" i="12"/>
  <c r="AA20" i="12"/>
  <c r="AA25" i="12"/>
  <c r="P249" i="12"/>
  <c r="P144" i="12"/>
  <c r="P272" i="12"/>
  <c r="P75" i="12"/>
  <c r="P203" i="12"/>
  <c r="P139" i="12"/>
  <c r="P11" i="12"/>
  <c r="P164" i="12"/>
  <c r="P228" i="12"/>
  <c r="P141" i="12"/>
  <c r="P77" i="12"/>
  <c r="P13" i="12"/>
  <c r="P266" i="12"/>
  <c r="P47" i="12"/>
  <c r="P18" i="12"/>
  <c r="P211" i="12"/>
  <c r="P149" i="12"/>
  <c r="P19" i="12"/>
  <c r="P147" i="12"/>
  <c r="P172" i="12"/>
  <c r="P236" i="12"/>
  <c r="P83" i="12"/>
  <c r="P71" i="12"/>
  <c r="P91" i="12"/>
  <c r="P226" i="12"/>
  <c r="P223" i="12"/>
  <c r="P221" i="12"/>
  <c r="P93" i="12"/>
  <c r="P155" i="12"/>
  <c r="P104" i="12"/>
  <c r="P27" i="12"/>
  <c r="P29" i="12"/>
  <c r="P219" i="12"/>
  <c r="P145" i="12"/>
  <c r="P180" i="12"/>
  <c r="P244" i="12"/>
  <c r="P157" i="12"/>
  <c r="P218" i="12"/>
  <c r="P248" i="12"/>
  <c r="P7" i="12"/>
  <c r="P208" i="12"/>
  <c r="P41" i="12"/>
  <c r="P156" i="12"/>
  <c r="P220" i="12"/>
  <c r="P67" i="12"/>
  <c r="P209" i="12"/>
  <c r="P195" i="12"/>
  <c r="P245" i="12"/>
  <c r="P213" i="12"/>
  <c r="P241" i="12"/>
  <c r="P160" i="12"/>
  <c r="P81" i="12"/>
  <c r="P224" i="12"/>
  <c r="P15" i="12"/>
  <c r="P37" i="12"/>
  <c r="P189" i="12"/>
  <c r="P79" i="12"/>
  <c r="P234" i="12"/>
  <c r="P177" i="12"/>
  <c r="P125" i="12"/>
  <c r="P269" i="12"/>
  <c r="P61" i="12"/>
  <c r="P261" i="12"/>
  <c r="P214" i="12"/>
  <c r="P217" i="12"/>
  <c r="P124" i="12"/>
  <c r="P188" i="12"/>
  <c r="P252" i="12"/>
  <c r="P120" i="12"/>
  <c r="P16" i="12"/>
  <c r="P107" i="12"/>
  <c r="P106" i="12"/>
  <c r="P43" i="12"/>
  <c r="P50" i="12"/>
  <c r="P114" i="12"/>
  <c r="P101" i="12"/>
  <c r="P165" i="12"/>
  <c r="P229" i="12"/>
  <c r="P178" i="12"/>
  <c r="P216" i="12"/>
  <c r="P129" i="12"/>
  <c r="P258" i="12"/>
  <c r="P181" i="12"/>
  <c r="P201" i="12"/>
  <c r="P10" i="12"/>
  <c r="P55" i="12"/>
  <c r="P153" i="12"/>
  <c r="P26" i="12"/>
  <c r="P162" i="12"/>
  <c r="P128" i="12"/>
  <c r="P256" i="12"/>
  <c r="P251" i="12"/>
  <c r="P97" i="12"/>
  <c r="P113" i="12"/>
  <c r="P152" i="12"/>
  <c r="P103" i="12"/>
  <c r="P98" i="12"/>
  <c r="P192" i="12"/>
  <c r="P9" i="12"/>
  <c r="P138" i="12"/>
  <c r="P44" i="12"/>
  <c r="P108" i="12"/>
  <c r="P253" i="12"/>
  <c r="P3" i="12"/>
  <c r="P39" i="12"/>
  <c r="P265" i="12"/>
  <c r="P74" i="12"/>
  <c r="P202" i="12"/>
  <c r="P133" i="12"/>
  <c r="P25" i="12"/>
  <c r="P89" i="12"/>
  <c r="P76" i="12"/>
  <c r="P60" i="12"/>
  <c r="P131" i="12"/>
  <c r="P169" i="12"/>
  <c r="P233" i="12"/>
  <c r="P212" i="12"/>
  <c r="P112" i="12"/>
  <c r="P161" i="12"/>
  <c r="P8" i="12"/>
  <c r="P140" i="12"/>
  <c r="P72" i="12"/>
  <c r="P175" i="12"/>
  <c r="P247" i="12"/>
  <c r="P170" i="12"/>
  <c r="P48" i="12"/>
  <c r="P121" i="12"/>
  <c r="P58" i="12"/>
  <c r="P250" i="12"/>
  <c r="P28" i="12"/>
  <c r="P92" i="12"/>
  <c r="P264" i="12"/>
  <c r="P227" i="12"/>
  <c r="P205" i="12"/>
  <c r="P5" i="12"/>
  <c r="P109" i="12"/>
  <c r="P173" i="12"/>
  <c r="P237" i="12"/>
  <c r="P176" i="12"/>
  <c r="P65" i="12"/>
  <c r="P193" i="12"/>
  <c r="P36" i="12"/>
  <c r="P100" i="12"/>
  <c r="P196" i="12"/>
  <c r="P88" i="12"/>
  <c r="P17" i="12"/>
  <c r="P82" i="12"/>
  <c r="P146" i="12"/>
  <c r="P210" i="12"/>
  <c r="P69" i="12"/>
  <c r="P52" i="12"/>
  <c r="P116" i="12"/>
  <c r="P240" i="12"/>
  <c r="P204" i="12"/>
  <c r="P268" i="12"/>
  <c r="P171" i="12"/>
  <c r="P235" i="12"/>
  <c r="P232" i="12"/>
  <c r="P90" i="12"/>
  <c r="P154" i="12"/>
  <c r="P111" i="12"/>
  <c r="P51" i="12"/>
  <c r="P115" i="12"/>
  <c r="P179" i="12"/>
  <c r="P243" i="12"/>
  <c r="P73" i="12"/>
  <c r="P96" i="12"/>
  <c r="P33" i="12"/>
  <c r="P4" i="12"/>
  <c r="P68" i="12"/>
  <c r="P132" i="12"/>
  <c r="P260" i="12"/>
  <c r="P137" i="12"/>
  <c r="P31" i="12"/>
  <c r="P136" i="12"/>
  <c r="P163" i="12"/>
  <c r="P222" i="12"/>
  <c r="P59" i="12"/>
  <c r="P123" i="12"/>
  <c r="P187" i="12"/>
  <c r="P24" i="12"/>
  <c r="P105" i="12"/>
  <c r="P12" i="12"/>
  <c r="P21" i="12"/>
  <c r="P225" i="12"/>
  <c r="P23" i="12"/>
  <c r="P30" i="12"/>
  <c r="P94" i="12"/>
  <c r="P158" i="12"/>
  <c r="P230" i="12"/>
  <c r="P259" i="12"/>
  <c r="P262" i="12"/>
  <c r="P197" i="12"/>
  <c r="P80" i="12"/>
  <c r="P32" i="12"/>
  <c r="P49" i="12"/>
  <c r="P242" i="12"/>
  <c r="P20" i="12"/>
  <c r="P84" i="12"/>
  <c r="P148" i="12"/>
  <c r="P45" i="12"/>
  <c r="P63" i="12"/>
  <c r="P42" i="12"/>
  <c r="P168" i="12"/>
  <c r="P267" i="12"/>
  <c r="P57" i="12"/>
  <c r="P185" i="12"/>
  <c r="P122" i="12"/>
  <c r="P186" i="12"/>
  <c r="P53" i="12"/>
  <c r="P95" i="12"/>
  <c r="P40" i="12"/>
  <c r="P184" i="12"/>
  <c r="P87" i="12"/>
  <c r="P56" i="12"/>
  <c r="P35" i="12"/>
  <c r="P257" i="12"/>
  <c r="P66" i="12"/>
  <c r="P130" i="12"/>
  <c r="P194" i="12"/>
  <c r="P117" i="12"/>
  <c r="P85" i="12"/>
  <c r="P34" i="12"/>
  <c r="P64" i="12"/>
  <c r="P200" i="12"/>
  <c r="P99" i="12"/>
  <c r="P167" i="12"/>
  <c r="P239" i="12"/>
  <c r="P38" i="12"/>
  <c r="P102" i="12"/>
  <c r="P166" i="12"/>
  <c r="P238" i="12"/>
  <c r="P46" i="12"/>
  <c r="P110" i="12"/>
  <c r="P174" i="12"/>
  <c r="P246" i="12"/>
  <c r="P119" i="12"/>
  <c r="P183" i="12"/>
  <c r="P255" i="12"/>
  <c r="P54" i="12"/>
  <c r="P118" i="12"/>
  <c r="P182" i="12"/>
  <c r="P254" i="12"/>
  <c r="P127" i="12"/>
  <c r="P191" i="12"/>
  <c r="P263" i="12"/>
  <c r="P135" i="12"/>
  <c r="P199" i="12"/>
  <c r="P271" i="12"/>
  <c r="P62" i="12"/>
  <c r="P126" i="12"/>
  <c r="P190" i="12"/>
  <c r="P6" i="12"/>
  <c r="P70" i="12"/>
  <c r="P134" i="12"/>
  <c r="P198" i="12"/>
  <c r="P270" i="12"/>
  <c r="P143" i="12"/>
  <c r="P207" i="12"/>
  <c r="P14" i="12"/>
  <c r="P78" i="12"/>
  <c r="P142" i="12"/>
  <c r="P206" i="12"/>
  <c r="P151" i="12"/>
  <c r="P215" i="12"/>
  <c r="P22" i="12"/>
  <c r="P86" i="12"/>
  <c r="P150" i="12"/>
  <c r="P159" i="12"/>
  <c r="P231" i="12"/>
  <c r="AC25" i="13" l="1"/>
  <c r="S4" i="12"/>
  <c r="D4" i="6"/>
  <c r="H4" i="6"/>
  <c r="F3" i="5"/>
  <c r="D3" i="5" s="1"/>
  <c r="E3" i="5" s="1"/>
  <c r="H2" i="5"/>
  <c r="G3" i="5" s="1"/>
  <c r="D5" i="6" l="1"/>
  <c r="F4" i="5"/>
  <c r="D4" i="5"/>
  <c r="H3" i="5"/>
  <c r="G4" i="5" s="1"/>
  <c r="E6" i="6" l="1"/>
  <c r="D6" i="6"/>
  <c r="E7" i="6" s="1"/>
  <c r="E4" i="5"/>
  <c r="F5" i="5" s="1"/>
  <c r="F370" i="1"/>
  <c r="F371" i="1"/>
  <c r="F372" i="1"/>
  <c r="E367" i="1"/>
  <c r="F367" i="1"/>
  <c r="E368" i="1"/>
  <c r="F368" i="1"/>
  <c r="E369" i="1"/>
  <c r="F369" i="1"/>
  <c r="I4" i="1"/>
  <c r="H4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F8" i="1"/>
  <c r="E5" i="1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96" i="4"/>
  <c r="P297" i="4"/>
  <c r="P298" i="4"/>
  <c r="P299" i="4"/>
  <c r="P300" i="4"/>
  <c r="P301" i="4"/>
  <c r="P302" i="4"/>
  <c r="P303" i="4"/>
  <c r="P304" i="4"/>
  <c r="P305" i="4"/>
  <c r="P306" i="4"/>
  <c r="P307" i="4"/>
  <c r="P308" i="4"/>
  <c r="P309" i="4"/>
  <c r="P310" i="4"/>
  <c r="P311" i="4"/>
  <c r="P312" i="4"/>
  <c r="P313" i="4"/>
  <c r="P314" i="4"/>
  <c r="P315" i="4"/>
  <c r="P316" i="4"/>
  <c r="P317" i="4"/>
  <c r="P318" i="4"/>
  <c r="P319" i="4"/>
  <c r="P320" i="4"/>
  <c r="P321" i="4"/>
  <c r="P322" i="4"/>
  <c r="P323" i="4"/>
  <c r="P324" i="4"/>
  <c r="P325" i="4"/>
  <c r="P326" i="4"/>
  <c r="P327" i="4"/>
  <c r="P328" i="4"/>
  <c r="P329" i="4"/>
  <c r="P330" i="4"/>
  <c r="P331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47" i="4"/>
  <c r="P348" i="4"/>
  <c r="P349" i="4"/>
  <c r="P350" i="4"/>
  <c r="P351" i="4"/>
  <c r="P352" i="4"/>
  <c r="P353" i="4"/>
  <c r="P354" i="4"/>
  <c r="P355" i="4"/>
  <c r="P356" i="4"/>
  <c r="P357" i="4"/>
  <c r="P358" i="4"/>
  <c r="P359" i="4"/>
  <c r="P360" i="4"/>
  <c r="P361" i="4"/>
  <c r="P362" i="4"/>
  <c r="P363" i="4"/>
  <c r="P364" i="4"/>
  <c r="P365" i="4"/>
  <c r="P366" i="4"/>
  <c r="P367" i="4"/>
  <c r="P368" i="4"/>
  <c r="P369" i="4"/>
  <c r="P370" i="4"/>
  <c r="P371" i="4"/>
  <c r="P372" i="4"/>
  <c r="P373" i="4"/>
  <c r="P374" i="4"/>
  <c r="P375" i="4"/>
  <c r="P376" i="4"/>
  <c r="P377" i="4"/>
  <c r="P378" i="4"/>
  <c r="P379" i="4"/>
  <c r="P380" i="4"/>
  <c r="P381" i="4"/>
  <c r="P382" i="4"/>
  <c r="P383" i="4"/>
  <c r="P384" i="4"/>
  <c r="P385" i="4"/>
  <c r="P386" i="4"/>
  <c r="P387" i="4"/>
  <c r="P388" i="4"/>
  <c r="P389" i="4"/>
  <c r="P390" i="4"/>
  <c r="P391" i="4"/>
  <c r="P392" i="4"/>
  <c r="P393" i="4"/>
  <c r="P394" i="4"/>
  <c r="P395" i="4"/>
  <c r="P396" i="4"/>
  <c r="P397" i="4"/>
  <c r="P398" i="4"/>
  <c r="P399" i="4"/>
  <c r="P400" i="4"/>
  <c r="P401" i="4"/>
  <c r="P402" i="4"/>
  <c r="P403" i="4"/>
  <c r="P404" i="4"/>
  <c r="P405" i="4"/>
  <c r="P406" i="4"/>
  <c r="P407" i="4"/>
  <c r="P408" i="4"/>
  <c r="P409" i="4"/>
  <c r="P410" i="4"/>
  <c r="P411" i="4"/>
  <c r="P412" i="4"/>
  <c r="P413" i="4"/>
  <c r="P414" i="4"/>
  <c r="P415" i="4"/>
  <c r="P416" i="4"/>
  <c r="P417" i="4"/>
  <c r="P418" i="4"/>
  <c r="P419" i="4"/>
  <c r="P420" i="4"/>
  <c r="P421" i="4"/>
  <c r="P422" i="4"/>
  <c r="P423" i="4"/>
  <c r="P424" i="4"/>
  <c r="P425" i="4"/>
  <c r="P426" i="4"/>
  <c r="P427" i="4"/>
  <c r="P428" i="4"/>
  <c r="P429" i="4"/>
  <c r="P430" i="4"/>
  <c r="P431" i="4"/>
  <c r="P432" i="4"/>
  <c r="P433" i="4"/>
  <c r="P434" i="4"/>
  <c r="P435" i="4"/>
  <c r="P436" i="4"/>
  <c r="P437" i="4"/>
  <c r="P438" i="4"/>
  <c r="P439" i="4"/>
  <c r="P440" i="4"/>
  <c r="P441" i="4"/>
  <c r="P442" i="4"/>
  <c r="P443" i="4"/>
  <c r="P444" i="4"/>
  <c r="P445" i="4"/>
  <c r="P446" i="4"/>
  <c r="P447" i="4"/>
  <c r="P448" i="4"/>
  <c r="P449" i="4"/>
  <c r="P450" i="4"/>
  <c r="P2" i="4"/>
  <c r="J14" i="4"/>
  <c r="J13" i="4"/>
  <c r="J12" i="4"/>
  <c r="J11" i="4"/>
  <c r="J10" i="4"/>
  <c r="I6" i="4" a="1"/>
  <c r="I6" i="4" s="1"/>
  <c r="F12" i="2"/>
  <c r="F11" i="2"/>
  <c r="F10" i="2"/>
  <c r="F9" i="2"/>
  <c r="F8" i="2"/>
  <c r="F7" i="2"/>
  <c r="F6" i="2"/>
  <c r="F5" i="2"/>
  <c r="D7" i="6" l="1"/>
  <c r="D5" i="5"/>
  <c r="H4" i="5"/>
  <c r="G5" i="5" s="1"/>
  <c r="N22" i="4"/>
  <c r="N26" i="4"/>
  <c r="N25" i="4"/>
  <c r="N24" i="4"/>
  <c r="N23" i="4"/>
  <c r="D8" i="6" l="1"/>
  <c r="E8" i="6"/>
  <c r="E5" i="5"/>
  <c r="H5" i="5" s="1"/>
  <c r="G6" i="5" s="1"/>
  <c r="D9" i="6" l="1"/>
  <c r="E9" i="6"/>
  <c r="F6" i="5"/>
  <c r="D6" i="5"/>
  <c r="D10" i="6" l="1"/>
  <c r="E10" i="6"/>
  <c r="E6" i="5"/>
  <c r="F7" i="5" s="1"/>
  <c r="D11" i="6" l="1"/>
  <c r="E12" i="6" s="1"/>
  <c r="E11" i="6"/>
  <c r="H6" i="5"/>
  <c r="G7" i="5" s="1"/>
  <c r="D12" i="6" l="1"/>
  <c r="D7" i="5"/>
  <c r="D13" i="6" l="1"/>
  <c r="E13" i="6"/>
  <c r="E7" i="5"/>
  <c r="F8" i="5" s="1"/>
  <c r="D8" i="5" s="1"/>
  <c r="H7" i="5"/>
  <c r="G8" i="5" s="1"/>
  <c r="D14" i="6" l="1"/>
  <c r="E14" i="6"/>
  <c r="E8" i="5"/>
  <c r="H8" i="5" s="1"/>
  <c r="G9" i="5" s="1"/>
  <c r="D15" i="6" l="1"/>
  <c r="E15" i="6"/>
  <c r="F9" i="5"/>
  <c r="D9" i="5" s="1"/>
  <c r="E9" i="5" s="1"/>
  <c r="H9" i="5" s="1"/>
  <c r="G10" i="5" s="1"/>
  <c r="D16" i="6" l="1"/>
  <c r="E16" i="6"/>
  <c r="F10" i="5"/>
  <c r="D10" i="5"/>
  <c r="D17" i="6" l="1"/>
  <c r="E17" i="6"/>
  <c r="E10" i="5"/>
  <c r="F11" i="5" s="1"/>
  <c r="D18" i="6" l="1"/>
  <c r="E18" i="6"/>
  <c r="D11" i="5"/>
  <c r="H10" i="5"/>
  <c r="G11" i="5" s="1"/>
  <c r="D19" i="6" l="1"/>
  <c r="E19" i="6"/>
  <c r="E11" i="5"/>
  <c r="H11" i="5" s="1"/>
  <c r="G12" i="5" s="1"/>
  <c r="D20" i="6" l="1"/>
  <c r="E20" i="6"/>
  <c r="F12" i="5"/>
  <c r="D12" i="5"/>
  <c r="D21" i="6" l="1"/>
  <c r="E21" i="6"/>
  <c r="E12" i="5"/>
  <c r="H12" i="5" s="1"/>
  <c r="G13" i="5" s="1"/>
  <c r="D22" i="6" l="1"/>
  <c r="E22" i="6"/>
  <c r="F13" i="5"/>
  <c r="D13" i="5"/>
  <c r="D23" i="6" l="1"/>
  <c r="E23" i="6"/>
  <c r="E13" i="5"/>
  <c r="F14" i="5" s="1"/>
  <c r="D24" i="6" l="1"/>
  <c r="E24" i="6"/>
  <c r="H13" i="5"/>
  <c r="G14" i="5" s="1"/>
  <c r="D14" i="5"/>
  <c r="D25" i="6" l="1"/>
  <c r="E25" i="6"/>
  <c r="E14" i="5"/>
  <c r="F15" i="5" s="1"/>
  <c r="D26" i="6" l="1"/>
  <c r="E26" i="6"/>
  <c r="H14" i="5"/>
  <c r="G15" i="5" s="1"/>
  <c r="D15" i="5"/>
  <c r="D27" i="6" l="1"/>
  <c r="E27" i="6"/>
  <c r="E15" i="5"/>
  <c r="H15" i="5" s="1"/>
  <c r="G16" i="5" s="1"/>
  <c r="D28" i="6" l="1"/>
  <c r="E28" i="6"/>
  <c r="F16" i="5"/>
  <c r="D16" i="5" s="1"/>
  <c r="E16" i="5" s="1"/>
  <c r="D29" i="6" l="1"/>
  <c r="E29" i="6"/>
  <c r="F17" i="5"/>
  <c r="D17" i="5" s="1"/>
  <c r="H16" i="5"/>
  <c r="G17" i="5" s="1"/>
  <c r="D30" i="6" l="1"/>
  <c r="E30" i="6"/>
  <c r="E17" i="5"/>
  <c r="H17" i="5" s="1"/>
  <c r="G18" i="5" s="1"/>
  <c r="D31" i="6" l="1"/>
  <c r="E31" i="6"/>
  <c r="F18" i="5"/>
  <c r="D18" i="5" s="1"/>
  <c r="E18" i="5" s="1"/>
  <c r="H18" i="5" s="1"/>
  <c r="G19" i="5" s="1"/>
  <c r="D32" i="6" l="1"/>
  <c r="E32" i="6"/>
  <c r="F19" i="5"/>
  <c r="D19" i="5" s="1"/>
  <c r="E19" i="5" s="1"/>
  <c r="D33" i="6" l="1"/>
  <c r="E33" i="6"/>
  <c r="H19" i="5"/>
  <c r="G20" i="5" s="1"/>
  <c r="F20" i="5"/>
  <c r="D20" i="5"/>
  <c r="D34" i="6" l="1"/>
  <c r="E34" i="6"/>
  <c r="E20" i="5"/>
  <c r="F21" i="5" s="1"/>
  <c r="D35" i="6" l="1"/>
  <c r="E35" i="6"/>
  <c r="H20" i="5"/>
  <c r="G21" i="5" s="1"/>
  <c r="D21" i="5"/>
  <c r="D36" i="6" l="1"/>
  <c r="E36" i="6"/>
  <c r="E21" i="5"/>
  <c r="F22" i="5" s="1"/>
  <c r="D37" i="6" l="1"/>
  <c r="E37" i="6"/>
  <c r="H21" i="5"/>
  <c r="G22" i="5" s="1"/>
  <c r="D22" i="5"/>
  <c r="D38" i="6" l="1"/>
  <c r="E38" i="6"/>
  <c r="E22" i="5"/>
  <c r="F23" i="5" s="1"/>
  <c r="D39" i="6" l="1"/>
  <c r="E39" i="6"/>
  <c r="H22" i="5"/>
  <c r="G23" i="5" s="1"/>
  <c r="D23" i="5"/>
  <c r="D40" i="6" l="1"/>
  <c r="E40" i="6"/>
  <c r="E23" i="5"/>
  <c r="F24" i="5" s="1"/>
  <c r="D41" i="6" l="1"/>
  <c r="E41" i="6"/>
  <c r="H23" i="5"/>
  <c r="G24" i="5" s="1"/>
  <c r="D24" i="5"/>
  <c r="D42" i="6" l="1"/>
  <c r="E42" i="6"/>
  <c r="E24" i="5"/>
  <c r="F25" i="5" s="1"/>
  <c r="D25" i="5" s="1"/>
  <c r="D43" i="6" l="1"/>
  <c r="E43" i="6"/>
  <c r="H24" i="5"/>
  <c r="G25" i="5" s="1"/>
  <c r="E25" i="5"/>
  <c r="H25" i="5" s="1"/>
  <c r="G26" i="5" s="1"/>
  <c r="D44" i="6" l="1"/>
  <c r="E44" i="6"/>
  <c r="F26" i="5"/>
  <c r="D26" i="5" s="1"/>
  <c r="D45" i="6" l="1"/>
  <c r="E45" i="6"/>
  <c r="E26" i="5"/>
  <c r="F27" i="5" s="1"/>
  <c r="D27" i="5" s="1"/>
  <c r="D46" i="6" l="1"/>
  <c r="E46" i="6"/>
  <c r="H26" i="5"/>
  <c r="G27" i="5" s="1"/>
  <c r="E27" i="5"/>
  <c r="H27" i="5" s="1"/>
  <c r="G28" i="5" s="1"/>
  <c r="D47" i="6" l="1"/>
  <c r="E47" i="6"/>
  <c r="F28" i="5"/>
  <c r="D28" i="5"/>
  <c r="D48" i="6" l="1"/>
  <c r="E48" i="6"/>
  <c r="E28" i="5"/>
  <c r="H28" i="5"/>
  <c r="G29" i="5" s="1"/>
  <c r="D49" i="6" l="1"/>
  <c r="E49" i="6"/>
  <c r="F29" i="5"/>
  <c r="D29" i="5" s="1"/>
  <c r="D50" i="6" l="1"/>
  <c r="E50" i="6"/>
  <c r="E29" i="5"/>
  <c r="H29" i="5" s="1"/>
  <c r="G30" i="5" s="1"/>
  <c r="D51" i="6" l="1"/>
  <c r="E51" i="6"/>
  <c r="F30" i="5"/>
  <c r="D30" i="5" s="1"/>
  <c r="E30" i="5" s="1"/>
  <c r="H30" i="5" s="1"/>
  <c r="G31" i="5" s="1"/>
  <c r="D52" i="6" l="1"/>
  <c r="E52" i="6"/>
  <c r="F31" i="5"/>
  <c r="D31" i="5"/>
  <c r="D53" i="6" l="1"/>
  <c r="E53" i="6"/>
  <c r="E31" i="5"/>
  <c r="F32" i="5" s="1"/>
  <c r="D54" i="6" l="1"/>
  <c r="E54" i="6"/>
  <c r="H31" i="5"/>
  <c r="G32" i="5" s="1"/>
  <c r="D32" i="5"/>
  <c r="D55" i="6" l="1"/>
  <c r="E55" i="6"/>
  <c r="E32" i="5"/>
  <c r="F33" i="5" s="1"/>
  <c r="D56" i="6" l="1"/>
  <c r="E56" i="6"/>
  <c r="H32" i="5"/>
  <c r="G33" i="5" s="1"/>
  <c r="D33" i="5"/>
  <c r="D57" i="6" l="1"/>
  <c r="E57" i="6"/>
  <c r="E33" i="5"/>
  <c r="F34" i="5" s="1"/>
  <c r="H33" i="5"/>
  <c r="G34" i="5" s="1"/>
  <c r="D58" i="6" l="1"/>
  <c r="E58" i="6"/>
  <c r="D34" i="5"/>
  <c r="D59" i="6" l="1"/>
  <c r="E59" i="6"/>
  <c r="E34" i="5"/>
  <c r="F35" i="5" s="1"/>
  <c r="D60" i="6" l="1"/>
  <c r="E60" i="6"/>
  <c r="H34" i="5"/>
  <c r="G35" i="5" s="1"/>
  <c r="D35" i="5"/>
  <c r="D61" i="6" l="1"/>
  <c r="E61" i="6"/>
  <c r="E35" i="5"/>
  <c r="H35" i="5" s="1"/>
  <c r="G36" i="5" s="1"/>
  <c r="D62" i="6" l="1"/>
  <c r="E62" i="6"/>
  <c r="F36" i="5"/>
  <c r="D36" i="5"/>
  <c r="D63" i="6" l="1"/>
  <c r="E63" i="6"/>
  <c r="E36" i="5"/>
  <c r="F37" i="5" s="1"/>
  <c r="D64" i="6" l="1"/>
  <c r="E64" i="6"/>
  <c r="H36" i="5"/>
  <c r="G37" i="5" s="1"/>
  <c r="D37" i="5"/>
  <c r="D65" i="6" l="1"/>
  <c r="E65" i="6"/>
  <c r="E37" i="5"/>
  <c r="F38" i="5" s="1"/>
  <c r="H37" i="5"/>
  <c r="G38" i="5" s="1"/>
  <c r="D66" i="6" l="1"/>
  <c r="E66" i="6"/>
  <c r="D38" i="5"/>
  <c r="D67" i="6" l="1"/>
  <c r="E67" i="6"/>
  <c r="E38" i="5"/>
  <c r="H38" i="5" s="1"/>
  <c r="G39" i="5" s="1"/>
  <c r="D68" i="6" l="1"/>
  <c r="E68" i="6"/>
  <c r="F39" i="5"/>
  <c r="D39" i="5"/>
  <c r="D69" i="6" l="1"/>
  <c r="E69" i="6"/>
  <c r="E39" i="5"/>
  <c r="H39" i="5" s="1"/>
  <c r="G40" i="5" s="1"/>
  <c r="D70" i="6" l="1"/>
  <c r="E70" i="6"/>
  <c r="F40" i="5"/>
  <c r="D40" i="5" s="1"/>
  <c r="E40" i="5" s="1"/>
  <c r="H40" i="5" s="1"/>
  <c r="G41" i="5" s="1"/>
  <c r="D71" i="6" l="1"/>
  <c r="E71" i="6"/>
  <c r="F41" i="5"/>
  <c r="D41" i="5"/>
  <c r="D72" i="6" l="1"/>
  <c r="E72" i="6"/>
  <c r="E41" i="5"/>
  <c r="H41" i="5" s="1"/>
  <c r="G42" i="5" s="1"/>
  <c r="D73" i="6" l="1"/>
  <c r="E73" i="6"/>
  <c r="F42" i="5"/>
  <c r="D42" i="5"/>
  <c r="D74" i="6" l="1"/>
  <c r="E74" i="6"/>
  <c r="E42" i="5"/>
  <c r="H42" i="5" s="1"/>
  <c r="G43" i="5" s="1"/>
  <c r="D75" i="6" l="1"/>
  <c r="E75" i="6"/>
  <c r="F43" i="5"/>
  <c r="D43" i="5"/>
  <c r="D76" i="6" l="1"/>
  <c r="E76" i="6"/>
  <c r="E43" i="5"/>
  <c r="H43" i="5" s="1"/>
  <c r="G44" i="5" s="1"/>
  <c r="D77" i="6" l="1"/>
  <c r="E77" i="6"/>
  <c r="F44" i="5"/>
  <c r="D44" i="5"/>
  <c r="D78" i="6" l="1"/>
  <c r="E78" i="6"/>
  <c r="E44" i="5"/>
  <c r="F45" i="5" s="1"/>
  <c r="H44" i="5"/>
  <c r="G45" i="5" s="1"/>
  <c r="D79" i="6" l="1"/>
  <c r="E79" i="6"/>
  <c r="D45" i="5"/>
  <c r="D80" i="6" l="1"/>
  <c r="E80" i="6"/>
  <c r="E45" i="5"/>
  <c r="H45" i="5" s="1"/>
  <c r="G46" i="5" s="1"/>
  <c r="D81" i="6" l="1"/>
  <c r="E81" i="6"/>
  <c r="F46" i="5"/>
  <c r="D46" i="5"/>
  <c r="D82" i="6" l="1"/>
  <c r="E82" i="6"/>
  <c r="E46" i="5"/>
  <c r="H46" i="5" s="1"/>
  <c r="G47" i="5" s="1"/>
  <c r="D83" i="6" l="1"/>
  <c r="E83" i="6"/>
  <c r="F47" i="5"/>
  <c r="D47" i="5" s="1"/>
  <c r="D84" i="6" l="1"/>
  <c r="E84" i="6"/>
  <c r="E47" i="5"/>
  <c r="H47" i="5" s="1"/>
  <c r="G48" i="5" s="1"/>
  <c r="D85" i="6" l="1"/>
  <c r="E85" i="6"/>
  <c r="F48" i="5"/>
  <c r="D48" i="5"/>
  <c r="D86" i="6" l="1"/>
  <c r="E86" i="6"/>
  <c r="E48" i="5"/>
  <c r="H48" i="5" s="1"/>
  <c r="G49" i="5" s="1"/>
  <c r="D87" i="6" l="1"/>
  <c r="E87" i="6"/>
  <c r="F49" i="5"/>
  <c r="D49" i="5"/>
  <c r="D88" i="6" l="1"/>
  <c r="E88" i="6"/>
  <c r="E49" i="5"/>
  <c r="H49" i="5" s="1"/>
  <c r="G50" i="5" s="1"/>
  <c r="D89" i="6" l="1"/>
  <c r="E89" i="6"/>
  <c r="F50" i="5"/>
  <c r="D50" i="5"/>
  <c r="D90" i="6" l="1"/>
  <c r="E90" i="6"/>
  <c r="E50" i="5"/>
  <c r="H50" i="5" s="1"/>
  <c r="G51" i="5" s="1"/>
  <c r="D91" i="6" l="1"/>
  <c r="E91" i="6"/>
  <c r="F51" i="5"/>
  <c r="D51" i="5"/>
  <c r="D92" i="6" l="1"/>
  <c r="E92" i="6"/>
  <c r="E51" i="5"/>
  <c r="H51" i="5" s="1"/>
  <c r="G52" i="5" s="1"/>
  <c r="D93" i="6" l="1"/>
  <c r="E93" i="6"/>
  <c r="F52" i="5"/>
  <c r="D52" i="5"/>
  <c r="D94" i="6" l="1"/>
  <c r="E94" i="6"/>
  <c r="E52" i="5"/>
  <c r="H52" i="5" s="1"/>
  <c r="G53" i="5" s="1"/>
  <c r="D95" i="6" l="1"/>
  <c r="E96" i="6"/>
  <c r="E95" i="6"/>
  <c r="F53" i="5"/>
  <c r="D53" i="5"/>
  <c r="D96" i="6" l="1"/>
  <c r="E53" i="5"/>
  <c r="H53" i="5" s="1"/>
  <c r="G54" i="5" s="1"/>
  <c r="D97" i="6" l="1"/>
  <c r="E97" i="6"/>
  <c r="F54" i="5"/>
  <c r="D54" i="5"/>
  <c r="D98" i="6" l="1"/>
  <c r="E98" i="6"/>
  <c r="E54" i="5"/>
  <c r="H54" i="5" s="1"/>
  <c r="G55" i="5" s="1"/>
  <c r="D99" i="6" l="1"/>
  <c r="E99" i="6"/>
  <c r="F55" i="5"/>
  <c r="D55" i="5"/>
  <c r="D100" i="6" l="1"/>
  <c r="E100" i="6"/>
  <c r="E55" i="5"/>
  <c r="H55" i="5" s="1"/>
  <c r="G56" i="5" s="1"/>
  <c r="D101" i="6" l="1"/>
  <c r="E101" i="6"/>
  <c r="F56" i="5"/>
  <c r="D56" i="5"/>
  <c r="D102" i="6" l="1"/>
  <c r="E102" i="6"/>
  <c r="E56" i="5"/>
  <c r="H56" i="5" s="1"/>
  <c r="G57" i="5" s="1"/>
  <c r="D103" i="6" l="1"/>
  <c r="E103" i="6"/>
  <c r="F57" i="5"/>
  <c r="D57" i="5"/>
  <c r="D104" i="6" l="1"/>
  <c r="E104" i="6"/>
  <c r="E57" i="5"/>
  <c r="H57" i="5" s="1"/>
  <c r="G58" i="5" s="1"/>
  <c r="D105" i="6" l="1"/>
  <c r="E105" i="6"/>
  <c r="F58" i="5"/>
  <c r="D58" i="5"/>
  <c r="D106" i="6" l="1"/>
  <c r="E106" i="6"/>
  <c r="E58" i="5"/>
  <c r="H58" i="5" s="1"/>
  <c r="G59" i="5" s="1"/>
  <c r="D107" i="6" l="1"/>
  <c r="E107" i="6"/>
  <c r="F59" i="5"/>
  <c r="D59" i="5"/>
  <c r="D108" i="6" l="1"/>
  <c r="E108" i="6"/>
  <c r="E59" i="5"/>
  <c r="H59" i="5" s="1"/>
  <c r="G60" i="5" s="1"/>
  <c r="D109" i="6" l="1"/>
  <c r="E109" i="6"/>
  <c r="F60" i="5"/>
  <c r="D60" i="5"/>
  <c r="D110" i="6" l="1"/>
  <c r="E110" i="6"/>
  <c r="E60" i="5"/>
  <c r="H60" i="5" s="1"/>
  <c r="G61" i="5" s="1"/>
  <c r="D111" i="6" l="1"/>
  <c r="E111" i="6"/>
  <c r="F61" i="5"/>
  <c r="D61" i="5"/>
  <c r="D112" i="6" l="1"/>
  <c r="E112" i="6"/>
  <c r="E61" i="5"/>
  <c r="H61" i="5" s="1"/>
  <c r="G62" i="5" s="1"/>
  <c r="D113" i="6" l="1"/>
  <c r="E113" i="6"/>
  <c r="F62" i="5"/>
  <c r="D62" i="5"/>
  <c r="D114" i="6" l="1"/>
  <c r="E114" i="6"/>
  <c r="E62" i="5"/>
  <c r="H62" i="5" s="1"/>
  <c r="G63" i="5" s="1"/>
  <c r="D115" i="6" l="1"/>
  <c r="E116" i="6" s="1"/>
  <c r="E115" i="6"/>
  <c r="F63" i="5"/>
  <c r="D63" i="5" s="1"/>
  <c r="E63" i="5" s="1"/>
  <c r="H63" i="5" s="1"/>
  <c r="G64" i="5" s="1"/>
  <c r="D116" i="6" l="1"/>
  <c r="F64" i="5"/>
  <c r="D64" i="5"/>
  <c r="D117" i="6" l="1"/>
  <c r="E117" i="6"/>
  <c r="E64" i="5"/>
  <c r="H64" i="5" s="1"/>
  <c r="G65" i="5" s="1"/>
  <c r="D118" i="6" l="1"/>
  <c r="E118" i="6"/>
  <c r="F65" i="5"/>
  <c r="D65" i="5" s="1"/>
  <c r="D119" i="6" l="1"/>
  <c r="E119" i="6"/>
  <c r="E65" i="5"/>
  <c r="H65" i="5" s="1"/>
  <c r="G66" i="5" s="1"/>
  <c r="D120" i="6" l="1"/>
  <c r="E120" i="6"/>
  <c r="F66" i="5"/>
  <c r="D66" i="5"/>
  <c r="D121" i="6" l="1"/>
  <c r="E121" i="6"/>
  <c r="E66" i="5"/>
  <c r="H66" i="5"/>
  <c r="G67" i="5" s="1"/>
  <c r="D122" i="6" l="1"/>
  <c r="E122" i="6"/>
  <c r="F67" i="5"/>
  <c r="D67" i="5" s="1"/>
  <c r="D123" i="6" l="1"/>
  <c r="E123" i="6"/>
  <c r="E67" i="5"/>
  <c r="F68" i="5" s="1"/>
  <c r="D68" i="5" s="1"/>
  <c r="D124" i="6" l="1"/>
  <c r="E124" i="6"/>
  <c r="H67" i="5"/>
  <c r="G68" i="5" s="1"/>
  <c r="E68" i="5"/>
  <c r="F69" i="5" s="1"/>
  <c r="D125" i="6" l="1"/>
  <c r="E125" i="6"/>
  <c r="H68" i="5"/>
  <c r="G69" i="5" s="1"/>
  <c r="D69" i="5"/>
  <c r="D126" i="6" l="1"/>
  <c r="E126" i="6"/>
  <c r="E69" i="5"/>
  <c r="H69" i="5"/>
  <c r="G70" i="5" s="1"/>
  <c r="D127" i="6" l="1"/>
  <c r="E127" i="6"/>
  <c r="F70" i="5"/>
  <c r="D70" i="5" s="1"/>
  <c r="D128" i="6" l="1"/>
  <c r="E128" i="6"/>
  <c r="E70" i="5"/>
  <c r="F71" i="5" s="1"/>
  <c r="D71" i="5" s="1"/>
  <c r="D129" i="6" l="1"/>
  <c r="E129" i="6"/>
  <c r="H70" i="5"/>
  <c r="G71" i="5" s="1"/>
  <c r="E71" i="5"/>
  <c r="H71" i="5" s="1"/>
  <c r="G72" i="5" s="1"/>
  <c r="D130" i="6" l="1"/>
  <c r="E130" i="6"/>
  <c r="F72" i="5"/>
  <c r="D72" i="5"/>
  <c r="D131" i="6" l="1"/>
  <c r="E131" i="6"/>
  <c r="E72" i="5"/>
  <c r="H72" i="5" s="1"/>
  <c r="G73" i="5" s="1"/>
  <c r="D132" i="6" l="1"/>
  <c r="E132" i="6"/>
  <c r="F73" i="5"/>
  <c r="D73" i="5" s="1"/>
  <c r="D133" i="6" l="1"/>
  <c r="E133" i="6"/>
  <c r="E73" i="5"/>
  <c r="F74" i="5" s="1"/>
  <c r="D74" i="5" s="1"/>
  <c r="H73" i="5"/>
  <c r="G74" i="5" s="1"/>
  <c r="D134" i="6" l="1"/>
  <c r="E134" i="6"/>
  <c r="E74" i="5"/>
  <c r="H74" i="5" s="1"/>
  <c r="G75" i="5" s="1"/>
  <c r="D135" i="6" l="1"/>
  <c r="E135" i="6"/>
  <c r="F75" i="5"/>
  <c r="D75" i="5" s="1"/>
  <c r="D136" i="6" l="1"/>
  <c r="E136" i="6"/>
  <c r="E75" i="5"/>
  <c r="H75" i="5" s="1"/>
  <c r="G76" i="5" s="1"/>
  <c r="D137" i="6" l="1"/>
  <c r="E137" i="6"/>
  <c r="F76" i="5"/>
  <c r="D76" i="5" s="1"/>
  <c r="D138" i="6" l="1"/>
  <c r="E138" i="6"/>
  <c r="E76" i="5"/>
  <c r="F77" i="5" s="1"/>
  <c r="D77" i="5" s="1"/>
  <c r="D139" i="6" l="1"/>
  <c r="E139" i="6"/>
  <c r="E77" i="5"/>
  <c r="H77" i="5" s="1"/>
  <c r="G78" i="5" s="1"/>
  <c r="H76" i="5"/>
  <c r="G77" i="5" s="1"/>
  <c r="D140" i="6" l="1"/>
  <c r="E140" i="6"/>
  <c r="F78" i="5"/>
  <c r="D78" i="5" s="1"/>
  <c r="E78" i="5" s="1"/>
  <c r="H78" i="5" s="1"/>
  <c r="G79" i="5" s="1"/>
  <c r="D141" i="6" l="1"/>
  <c r="E141" i="6"/>
  <c r="F79" i="5"/>
  <c r="D79" i="5" s="1"/>
  <c r="E79" i="5" s="1"/>
  <c r="D142" i="6" l="1"/>
  <c r="E142" i="6"/>
  <c r="F80" i="5"/>
  <c r="H79" i="5"/>
  <c r="G80" i="5" s="1"/>
  <c r="D80" i="5"/>
  <c r="D143" i="6" l="1"/>
  <c r="E143" i="6"/>
  <c r="E80" i="5"/>
  <c r="H80" i="5" s="1"/>
  <c r="G81" i="5" s="1"/>
  <c r="D144" i="6" l="1"/>
  <c r="E144" i="6"/>
  <c r="F81" i="5"/>
  <c r="D81" i="5"/>
  <c r="D145" i="6" l="1"/>
  <c r="E145" i="6"/>
  <c r="E81" i="5"/>
  <c r="H81" i="5" s="1"/>
  <c r="G82" i="5" s="1"/>
  <c r="D146" i="6" l="1"/>
  <c r="E146" i="6"/>
  <c r="F82" i="5"/>
  <c r="D82" i="5"/>
  <c r="D147" i="6" l="1"/>
  <c r="E147" i="6"/>
  <c r="E82" i="5"/>
  <c r="H82" i="5" s="1"/>
  <c r="G83" i="5" s="1"/>
  <c r="D148" i="6" l="1"/>
  <c r="E148" i="6"/>
  <c r="F83" i="5"/>
  <c r="D83" i="5" s="1"/>
  <c r="E83" i="5" s="1"/>
  <c r="H83" i="5" s="1"/>
  <c r="G84" i="5" s="1"/>
  <c r="D149" i="6" l="1"/>
  <c r="E149" i="6"/>
  <c r="F84" i="5"/>
  <c r="D84" i="5"/>
  <c r="D150" i="6" l="1"/>
  <c r="E150" i="6"/>
  <c r="E84" i="5"/>
  <c r="H84" i="5" s="1"/>
  <c r="G85" i="5" s="1"/>
  <c r="D151" i="6" l="1"/>
  <c r="E151" i="6"/>
  <c r="F85" i="5"/>
  <c r="D85" i="5"/>
  <c r="D152" i="6" l="1"/>
  <c r="E152" i="6"/>
  <c r="E85" i="5"/>
  <c r="H85" i="5" s="1"/>
  <c r="G86" i="5" s="1"/>
  <c r="D153" i="6" l="1"/>
  <c r="E153" i="6"/>
  <c r="F86" i="5"/>
  <c r="D86" i="5"/>
  <c r="D154" i="6" l="1"/>
  <c r="E154" i="6"/>
  <c r="E86" i="5"/>
  <c r="H86" i="5" s="1"/>
  <c r="G87" i="5" s="1"/>
  <c r="D155" i="6" l="1"/>
  <c r="E155" i="6"/>
  <c r="F87" i="5"/>
  <c r="D87" i="5"/>
  <c r="D156" i="6" l="1"/>
  <c r="E156" i="6"/>
  <c r="E87" i="5"/>
  <c r="H87" i="5" s="1"/>
  <c r="G88" i="5" s="1"/>
  <c r="D157" i="6" l="1"/>
  <c r="E157" i="6"/>
  <c r="F88" i="5"/>
  <c r="D88" i="5"/>
  <c r="D158" i="6" l="1"/>
  <c r="E158" i="6"/>
  <c r="E88" i="5"/>
  <c r="H88" i="5" s="1"/>
  <c r="G89" i="5" s="1"/>
  <c r="D159" i="6" l="1"/>
  <c r="E159" i="6"/>
  <c r="F89" i="5"/>
  <c r="D89" i="5"/>
  <c r="D160" i="6" l="1"/>
  <c r="E160" i="6"/>
  <c r="E89" i="5"/>
  <c r="H89" i="5" s="1"/>
  <c r="G90" i="5" s="1"/>
  <c r="D161" i="6" l="1"/>
  <c r="E161" i="6"/>
  <c r="F90" i="5"/>
  <c r="D90" i="5"/>
  <c r="D162" i="6" l="1"/>
  <c r="E162" i="6"/>
  <c r="E90" i="5"/>
  <c r="H90" i="5" s="1"/>
  <c r="G91" i="5" s="1"/>
  <c r="D163" i="6" l="1"/>
  <c r="E164" i="6" s="1"/>
  <c r="E163" i="6"/>
  <c r="F91" i="5"/>
  <c r="D91" i="5" s="1"/>
  <c r="E91" i="5" s="1"/>
  <c r="H91" i="5" s="1"/>
  <c r="G92" i="5" s="1"/>
  <c r="D164" i="6" l="1"/>
  <c r="F92" i="5"/>
  <c r="D92" i="5"/>
  <c r="D165" i="6" l="1"/>
  <c r="E165" i="6"/>
  <c r="E92" i="5"/>
  <c r="H92" i="5" s="1"/>
  <c r="G93" i="5" s="1"/>
  <c r="D166" i="6" l="1"/>
  <c r="E166" i="6"/>
  <c r="F93" i="5"/>
  <c r="D93" i="5"/>
  <c r="D167" i="6" l="1"/>
  <c r="E167" i="6"/>
  <c r="E93" i="5"/>
  <c r="H93" i="5" s="1"/>
  <c r="G94" i="5" s="1"/>
  <c r="D168" i="6" l="1"/>
  <c r="E168" i="6"/>
  <c r="F94" i="5"/>
  <c r="D94" i="5"/>
  <c r="D169" i="6" l="1"/>
  <c r="E169" i="6"/>
  <c r="E94" i="5"/>
  <c r="H94" i="5" s="1"/>
  <c r="G95" i="5" s="1"/>
  <c r="D170" i="6" l="1"/>
  <c r="E170" i="6"/>
  <c r="F95" i="5"/>
  <c r="D95" i="5"/>
  <c r="D171" i="6" l="1"/>
  <c r="E171" i="6"/>
  <c r="E95" i="5"/>
  <c r="H95" i="5" s="1"/>
  <c r="G96" i="5" s="1"/>
  <c r="D172" i="6" l="1"/>
  <c r="E172" i="6"/>
  <c r="F96" i="5"/>
  <c r="D96" i="5"/>
  <c r="D173" i="6" l="1"/>
  <c r="E173" i="6"/>
  <c r="E96" i="5"/>
  <c r="H96" i="5" s="1"/>
  <c r="G97" i="5" s="1"/>
  <c r="D174" i="6" l="1"/>
  <c r="E174" i="6"/>
  <c r="F97" i="5"/>
  <c r="D97" i="5"/>
  <c r="D175" i="6" l="1"/>
  <c r="E175" i="6"/>
  <c r="E97" i="5"/>
  <c r="H97" i="5" s="1"/>
  <c r="G98" i="5" s="1"/>
  <c r="D176" i="6" l="1"/>
  <c r="E176" i="6"/>
  <c r="F98" i="5"/>
  <c r="D98" i="5"/>
  <c r="D177" i="6" l="1"/>
  <c r="E177" i="6"/>
  <c r="E98" i="5"/>
  <c r="H98" i="5" s="1"/>
  <c r="G99" i="5" s="1"/>
  <c r="D178" i="6" l="1"/>
  <c r="E178" i="6"/>
  <c r="F99" i="5"/>
  <c r="D99" i="5"/>
  <c r="D179" i="6" l="1"/>
  <c r="E179" i="6"/>
  <c r="E99" i="5"/>
  <c r="H99" i="5"/>
  <c r="G100" i="5" s="1"/>
  <c r="D180" i="6" l="1"/>
  <c r="E180" i="6"/>
  <c r="F100" i="5"/>
  <c r="D100" i="5" s="1"/>
  <c r="D181" i="6" l="1"/>
  <c r="E181" i="6"/>
  <c r="E100" i="5"/>
  <c r="F101" i="5" s="1"/>
  <c r="D101" i="5" s="1"/>
  <c r="H100" i="5"/>
  <c r="G101" i="5" s="1"/>
  <c r="D182" i="6" l="1"/>
  <c r="E182" i="6"/>
  <c r="E101" i="5"/>
  <c r="H101" i="5" s="1"/>
  <c r="G102" i="5" s="1"/>
  <c r="D183" i="6" l="1"/>
  <c r="E183" i="6"/>
  <c r="F102" i="5"/>
  <c r="D102" i="5"/>
  <c r="D184" i="6" l="1"/>
  <c r="E184" i="6"/>
  <c r="E102" i="5"/>
  <c r="F103" i="5" s="1"/>
  <c r="D185" i="6" l="1"/>
  <c r="E185" i="6"/>
  <c r="H102" i="5"/>
  <c r="G103" i="5" s="1"/>
  <c r="D103" i="5"/>
  <c r="D186" i="6" l="1"/>
  <c r="E186" i="6"/>
  <c r="E103" i="5"/>
  <c r="H103" i="5" s="1"/>
  <c r="G104" i="5" s="1"/>
  <c r="D187" i="6" l="1"/>
  <c r="E187" i="6"/>
  <c r="F104" i="5"/>
  <c r="D104" i="5"/>
  <c r="D188" i="6" l="1"/>
  <c r="E188" i="6"/>
  <c r="E104" i="5"/>
  <c r="H104" i="5" s="1"/>
  <c r="G105" i="5" s="1"/>
  <c r="D189" i="6" l="1"/>
  <c r="E189" i="6"/>
  <c r="F105" i="5"/>
  <c r="D105" i="5" s="1"/>
  <c r="E105" i="5" s="1"/>
  <c r="H105" i="5" s="1"/>
  <c r="G106" i="5" s="1"/>
  <c r="D190" i="6" l="1"/>
  <c r="E190" i="6"/>
  <c r="F106" i="5"/>
  <c r="D106" i="5"/>
  <c r="D191" i="6" l="1"/>
  <c r="E191" i="6"/>
  <c r="E106" i="5"/>
  <c r="H106" i="5" s="1"/>
  <c r="G107" i="5" s="1"/>
  <c r="D192" i="6" l="1"/>
  <c r="E192" i="6"/>
  <c r="F107" i="5"/>
  <c r="D107" i="5"/>
  <c r="D193" i="6" l="1"/>
  <c r="E193" i="6"/>
  <c r="E107" i="5"/>
  <c r="H107" i="5" s="1"/>
  <c r="G108" i="5" s="1"/>
  <c r="D194" i="6" l="1"/>
  <c r="E194" i="6"/>
  <c r="F108" i="5"/>
  <c r="D108" i="5"/>
  <c r="D195" i="6" l="1"/>
  <c r="E195" i="6"/>
  <c r="E108" i="5"/>
  <c r="H108" i="5" s="1"/>
  <c r="G109" i="5" s="1"/>
  <c r="D196" i="6" l="1"/>
  <c r="E196" i="6"/>
  <c r="F109" i="5"/>
  <c r="D109" i="5"/>
  <c r="D197" i="6" l="1"/>
  <c r="E197" i="6"/>
  <c r="E109" i="5"/>
  <c r="H109" i="5" s="1"/>
  <c r="G110" i="5" s="1"/>
  <c r="D198" i="6" l="1"/>
  <c r="E198" i="6"/>
  <c r="F110" i="5"/>
  <c r="D110" i="5"/>
  <c r="D199" i="6" l="1"/>
  <c r="E199" i="6"/>
  <c r="E110" i="5"/>
  <c r="H110" i="5" s="1"/>
  <c r="G111" i="5" s="1"/>
  <c r="D200" i="6" l="1"/>
  <c r="E200" i="6"/>
  <c r="F111" i="5"/>
  <c r="D111" i="5"/>
  <c r="D201" i="6" l="1"/>
  <c r="E201" i="6"/>
  <c r="E111" i="5"/>
  <c r="H111" i="5" s="1"/>
  <c r="G112" i="5" s="1"/>
  <c r="D202" i="6" l="1"/>
  <c r="E202" i="6"/>
  <c r="F112" i="5"/>
  <c r="D112" i="5"/>
  <c r="D203" i="6" l="1"/>
  <c r="E203" i="6"/>
  <c r="E112" i="5"/>
  <c r="H112" i="5" s="1"/>
  <c r="G113" i="5" s="1"/>
  <c r="D204" i="6" l="1"/>
  <c r="E204" i="6"/>
  <c r="F113" i="5"/>
  <c r="D113" i="5"/>
  <c r="D205" i="6" l="1"/>
  <c r="E205" i="6"/>
  <c r="E113" i="5"/>
  <c r="H113" i="5" s="1"/>
  <c r="G114" i="5" s="1"/>
  <c r="D206" i="6" l="1"/>
  <c r="E206" i="6"/>
  <c r="F114" i="5"/>
  <c r="D114" i="5"/>
  <c r="D207" i="6" l="1"/>
  <c r="E207" i="6"/>
  <c r="E114" i="5"/>
  <c r="H114" i="5" s="1"/>
  <c r="G115" i="5" s="1"/>
  <c r="D208" i="6" l="1"/>
  <c r="E208" i="6"/>
  <c r="F115" i="5"/>
  <c r="D115" i="5"/>
  <c r="D209" i="6" l="1"/>
  <c r="E209" i="6"/>
  <c r="E115" i="5"/>
  <c r="H115" i="5" s="1"/>
  <c r="G116" i="5" s="1"/>
  <c r="D210" i="6" l="1"/>
  <c r="E210" i="6"/>
  <c r="F116" i="5"/>
  <c r="D116" i="5"/>
  <c r="D211" i="6" l="1"/>
  <c r="E211" i="6"/>
  <c r="E116" i="5"/>
  <c r="H116" i="5" s="1"/>
  <c r="G117" i="5" s="1"/>
  <c r="D212" i="6" l="1"/>
  <c r="E212" i="6"/>
  <c r="F117" i="5"/>
  <c r="D117" i="5"/>
  <c r="D213" i="6" l="1"/>
  <c r="E213" i="6"/>
  <c r="E117" i="5"/>
  <c r="H117" i="5" s="1"/>
  <c r="G118" i="5" s="1"/>
  <c r="D214" i="6" l="1"/>
  <c r="E214" i="6"/>
  <c r="F118" i="5"/>
  <c r="D118" i="5" s="1"/>
  <c r="D215" i="6" l="1"/>
  <c r="E215" i="6"/>
  <c r="E118" i="5"/>
  <c r="H118" i="5" s="1"/>
  <c r="G119" i="5" s="1"/>
  <c r="D216" i="6" l="1"/>
  <c r="E216" i="6"/>
  <c r="F119" i="5"/>
  <c r="D119" i="5" s="1"/>
  <c r="D217" i="6" l="1"/>
  <c r="E217" i="6"/>
  <c r="E119" i="5"/>
  <c r="H119" i="5" s="1"/>
  <c r="G120" i="5" s="1"/>
  <c r="D218" i="6" l="1"/>
  <c r="E218" i="6"/>
  <c r="F120" i="5"/>
  <c r="D120" i="5"/>
  <c r="D219" i="6" l="1"/>
  <c r="E219" i="6"/>
  <c r="E120" i="5"/>
  <c r="H120" i="5" s="1"/>
  <c r="G121" i="5" s="1"/>
  <c r="D220" i="6" l="1"/>
  <c r="E220" i="6"/>
  <c r="F121" i="5"/>
  <c r="D121" i="5"/>
  <c r="D221" i="6" l="1"/>
  <c r="E221" i="6"/>
  <c r="E121" i="5"/>
  <c r="H121" i="5" s="1"/>
  <c r="G122" i="5" s="1"/>
  <c r="D222" i="6" l="1"/>
  <c r="E222" i="6"/>
  <c r="F122" i="5"/>
  <c r="D122" i="5"/>
  <c r="D223" i="6" l="1"/>
  <c r="E223" i="6"/>
  <c r="E122" i="5"/>
  <c r="H122" i="5" s="1"/>
  <c r="G123" i="5" s="1"/>
  <c r="D224" i="6" l="1"/>
  <c r="E224" i="6"/>
  <c r="F123" i="5"/>
  <c r="D123" i="5"/>
  <c r="D225" i="6" l="1"/>
  <c r="E225" i="6"/>
  <c r="E123" i="5"/>
  <c r="H123" i="5" s="1"/>
  <c r="G124" i="5" s="1"/>
  <c r="D226" i="6" l="1"/>
  <c r="E226" i="6"/>
  <c r="F124" i="5"/>
  <c r="D124" i="5" s="1"/>
  <c r="E124" i="5" s="1"/>
  <c r="H124" i="5" s="1"/>
  <c r="G125" i="5" s="1"/>
  <c r="D227" i="6" l="1"/>
  <c r="E227" i="6"/>
  <c r="F125" i="5"/>
  <c r="D125" i="5"/>
  <c r="D228" i="6" l="1"/>
  <c r="E228" i="6"/>
  <c r="E125" i="5"/>
  <c r="D229" i="6" l="1"/>
  <c r="E229" i="6"/>
  <c r="F126" i="5"/>
  <c r="D126" i="5" s="1"/>
  <c r="H125" i="5"/>
  <c r="G126" i="5" s="1"/>
  <c r="D230" i="6" l="1"/>
  <c r="E230" i="6"/>
  <c r="E126" i="5"/>
  <c r="H126" i="5" s="1"/>
  <c r="G127" i="5" s="1"/>
  <c r="D231" i="6" l="1"/>
  <c r="E231" i="6"/>
  <c r="F127" i="5"/>
  <c r="D127" i="5" s="1"/>
  <c r="E127" i="5" s="1"/>
  <c r="H127" i="5" s="1"/>
  <c r="G128" i="5" s="1"/>
  <c r="D232" i="6" l="1"/>
  <c r="E232" i="6"/>
  <c r="F128" i="5"/>
  <c r="D128" i="5"/>
  <c r="D233" i="6" l="1"/>
  <c r="E233" i="6"/>
  <c r="E128" i="5"/>
  <c r="H128" i="5" s="1"/>
  <c r="G129" i="5" s="1"/>
  <c r="D234" i="6" l="1"/>
  <c r="E234" i="6"/>
  <c r="F129" i="5"/>
  <c r="D129" i="5"/>
  <c r="D235" i="6" l="1"/>
  <c r="E235" i="6"/>
  <c r="E129" i="5"/>
  <c r="H129" i="5" s="1"/>
  <c r="G130" i="5" s="1"/>
  <c r="D236" i="6" l="1"/>
  <c r="E237" i="6" s="1"/>
  <c r="E236" i="6"/>
  <c r="F130" i="5"/>
  <c r="D130" i="5"/>
  <c r="D237" i="6" l="1"/>
  <c r="E130" i="5"/>
  <c r="H130" i="5" s="1"/>
  <c r="G131" i="5" s="1"/>
  <c r="D238" i="6" l="1"/>
  <c r="E238" i="6"/>
  <c r="F131" i="5"/>
  <c r="D131" i="5" s="1"/>
  <c r="E131" i="5"/>
  <c r="H131" i="5" s="1"/>
  <c r="G132" i="5" s="1"/>
  <c r="D239" i="6" l="1"/>
  <c r="E239" i="6"/>
  <c r="F132" i="5"/>
  <c r="D132" i="5" s="1"/>
  <c r="E132" i="5" s="1"/>
  <c r="H132" i="5" s="1"/>
  <c r="G133" i="5" s="1"/>
  <c r="D240" i="6" l="1"/>
  <c r="E240" i="6"/>
  <c r="F133" i="5"/>
  <c r="D133" i="5" s="1"/>
  <c r="E133" i="5"/>
  <c r="H133" i="5" s="1"/>
  <c r="G134" i="5" s="1"/>
  <c r="D241" i="6" l="1"/>
  <c r="E241" i="6"/>
  <c r="F134" i="5"/>
  <c r="D134" i="5" s="1"/>
  <c r="E134" i="5" s="1"/>
  <c r="H134" i="5" s="1"/>
  <c r="G135" i="5" s="1"/>
  <c r="D242" i="6" l="1"/>
  <c r="E242" i="6"/>
  <c r="F135" i="5"/>
  <c r="D135" i="5"/>
  <c r="D243" i="6" l="1"/>
  <c r="E243" i="6"/>
  <c r="E135" i="5"/>
  <c r="H135" i="5" s="1"/>
  <c r="G136" i="5" s="1"/>
  <c r="D244" i="6" l="1"/>
  <c r="E244" i="6"/>
  <c r="F136" i="5"/>
  <c r="D136" i="5" s="1"/>
  <c r="E136" i="5"/>
  <c r="H136" i="5" s="1"/>
  <c r="G137" i="5" s="1"/>
  <c r="D245" i="6" l="1"/>
  <c r="E245" i="6"/>
  <c r="F137" i="5"/>
  <c r="D137" i="5" s="1"/>
  <c r="E137" i="5"/>
  <c r="H137" i="5" s="1"/>
  <c r="G138" i="5" s="1"/>
  <c r="D246" i="6" l="1"/>
  <c r="E246" i="6"/>
  <c r="F138" i="5"/>
  <c r="D138" i="5" s="1"/>
  <c r="E138" i="5" s="1"/>
  <c r="H138" i="5" s="1"/>
  <c r="G139" i="5" s="1"/>
  <c r="D247" i="6" l="1"/>
  <c r="E247" i="6"/>
  <c r="F139" i="5"/>
  <c r="D139" i="5" s="1"/>
  <c r="E139" i="5" s="1"/>
  <c r="H139" i="5" s="1"/>
  <c r="G140" i="5" s="1"/>
  <c r="D248" i="6" l="1"/>
  <c r="E248" i="6"/>
  <c r="F140" i="5"/>
  <c r="D140" i="5"/>
  <c r="D249" i="6" l="1"/>
  <c r="E249" i="6"/>
  <c r="E140" i="5"/>
  <c r="H140" i="5" s="1"/>
  <c r="G141" i="5" s="1"/>
  <c r="D250" i="6" l="1"/>
  <c r="E250" i="6"/>
  <c r="F141" i="5"/>
  <c r="D141" i="5"/>
  <c r="D251" i="6" l="1"/>
  <c r="E251" i="6"/>
  <c r="E141" i="5"/>
  <c r="F142" i="5" s="1"/>
  <c r="D252" i="6" l="1"/>
  <c r="E252" i="6"/>
  <c r="H141" i="5"/>
  <c r="G142" i="5" s="1"/>
  <c r="D142" i="5"/>
  <c r="D253" i="6" l="1"/>
  <c r="E253" i="6"/>
  <c r="E142" i="5"/>
  <c r="F143" i="5" s="1"/>
  <c r="D254" i="6" l="1"/>
  <c r="E254" i="6"/>
  <c r="H142" i="5"/>
  <c r="G143" i="5" s="1"/>
  <c r="D143" i="5"/>
  <c r="D255" i="6" l="1"/>
  <c r="E255" i="6"/>
  <c r="E143" i="5"/>
  <c r="H143" i="5" s="1"/>
  <c r="G144" i="5" s="1"/>
  <c r="D256" i="6" l="1"/>
  <c r="E256" i="6"/>
  <c r="F144" i="5"/>
  <c r="D144" i="5"/>
  <c r="D257" i="6" l="1"/>
  <c r="E257" i="6"/>
  <c r="E144" i="5"/>
  <c r="H144" i="5" s="1"/>
  <c r="G145" i="5" s="1"/>
  <c r="D258" i="6" l="1"/>
  <c r="E258" i="6"/>
  <c r="F145" i="5"/>
  <c r="D145" i="5"/>
  <c r="D259" i="6" l="1"/>
  <c r="E259" i="6"/>
  <c r="E145" i="5"/>
  <c r="H145" i="5" s="1"/>
  <c r="G146" i="5" s="1"/>
  <c r="D260" i="6" l="1"/>
  <c r="E260" i="6"/>
  <c r="F146" i="5"/>
  <c r="D146" i="5"/>
  <c r="D261" i="6" l="1"/>
  <c r="E261" i="6"/>
  <c r="E146" i="5"/>
  <c r="H146" i="5" s="1"/>
  <c r="G147" i="5" s="1"/>
  <c r="D262" i="6" l="1"/>
  <c r="E262" i="6"/>
  <c r="F147" i="5"/>
  <c r="D147" i="5"/>
  <c r="D263" i="6" l="1"/>
  <c r="E263" i="6"/>
  <c r="E147" i="5"/>
  <c r="H147" i="5" s="1"/>
  <c r="G148" i="5" s="1"/>
  <c r="D264" i="6" l="1"/>
  <c r="E264" i="6"/>
  <c r="F148" i="5"/>
  <c r="D148" i="5"/>
  <c r="D265" i="6" l="1"/>
  <c r="E265" i="6"/>
  <c r="E148" i="5"/>
  <c r="H148" i="5" s="1"/>
  <c r="G149" i="5" s="1"/>
  <c r="D266" i="6" l="1"/>
  <c r="E266" i="6"/>
  <c r="F149" i="5"/>
  <c r="D149" i="5" s="1"/>
  <c r="D267" i="6" l="1"/>
  <c r="E267" i="6"/>
  <c r="E149" i="5"/>
  <c r="F150" i="5" s="1"/>
  <c r="D268" i="6" l="1"/>
  <c r="E268" i="6"/>
  <c r="H149" i="5"/>
  <c r="G150" i="5" s="1"/>
  <c r="D150" i="5"/>
  <c r="D269" i="6" l="1"/>
  <c r="E269" i="6"/>
  <c r="E150" i="5"/>
  <c r="F151" i="5" s="1"/>
  <c r="D151" i="5" s="1"/>
  <c r="D270" i="6" l="1"/>
  <c r="E271" i="6" s="1"/>
  <c r="E270" i="6"/>
  <c r="H150" i="5"/>
  <c r="G151" i="5" s="1"/>
  <c r="E151" i="5"/>
  <c r="H151" i="5" s="1"/>
  <c r="G152" i="5" s="1"/>
  <c r="D271" i="6" l="1"/>
  <c r="F152" i="5"/>
  <c r="D152" i="5"/>
  <c r="D272" i="6" l="1"/>
  <c r="E272" i="6"/>
  <c r="E152" i="5"/>
  <c r="H152" i="5" s="1"/>
  <c r="G153" i="5" s="1"/>
  <c r="D273" i="6" l="1"/>
  <c r="E273" i="6"/>
  <c r="F153" i="5"/>
  <c r="D153" i="5" s="1"/>
  <c r="D274" i="6" l="1"/>
  <c r="E275" i="6" s="1"/>
  <c r="E274" i="6"/>
  <c r="E153" i="5"/>
  <c r="H153" i="5" s="1"/>
  <c r="G154" i="5" s="1"/>
  <c r="D275" i="6" l="1"/>
  <c r="F154" i="5"/>
  <c r="D154" i="5"/>
  <c r="D276" i="6" l="1"/>
  <c r="E276" i="6"/>
  <c r="E154" i="5"/>
  <c r="H154" i="5" s="1"/>
  <c r="G155" i="5" s="1"/>
  <c r="D277" i="6" l="1"/>
  <c r="E277" i="6"/>
  <c r="F155" i="5"/>
  <c r="D155" i="5"/>
  <c r="E278" i="6" l="1"/>
  <c r="D278" i="6"/>
  <c r="E279" i="6" s="1"/>
  <c r="E155" i="5"/>
  <c r="H155" i="5" s="1"/>
  <c r="G156" i="5" s="1"/>
  <c r="D279" i="6" l="1"/>
  <c r="F156" i="5"/>
  <c r="D156" i="5"/>
  <c r="D280" i="6" l="1"/>
  <c r="E280" i="6"/>
  <c r="E156" i="5"/>
  <c r="H156" i="5" s="1"/>
  <c r="G157" i="5" s="1"/>
  <c r="D281" i="6" l="1"/>
  <c r="E281" i="6"/>
  <c r="F157" i="5"/>
  <c r="D157" i="5"/>
  <c r="E282" i="6" l="1"/>
  <c r="D282" i="6"/>
  <c r="E283" i="6" s="1"/>
  <c r="E157" i="5"/>
  <c r="H157" i="5" s="1"/>
  <c r="G158" i="5" s="1"/>
  <c r="D283" i="6" l="1"/>
  <c r="F158" i="5"/>
  <c r="D158" i="5"/>
  <c r="D284" i="6" l="1"/>
  <c r="E284" i="6"/>
  <c r="E285" i="6"/>
  <c r="E158" i="5"/>
  <c r="H158" i="5" s="1"/>
  <c r="G159" i="5" s="1"/>
  <c r="D285" i="6" l="1"/>
  <c r="E286" i="6" s="1"/>
  <c r="F159" i="5"/>
  <c r="D159" i="5"/>
  <c r="D286" i="6" l="1"/>
  <c r="E159" i="5"/>
  <c r="H159" i="5" s="1"/>
  <c r="G160" i="5" s="1"/>
  <c r="D287" i="6" l="1"/>
  <c r="E287" i="6"/>
  <c r="F160" i="5"/>
  <c r="D160" i="5"/>
  <c r="E288" i="6" l="1"/>
  <c r="D288" i="6"/>
  <c r="E289" i="6" s="1"/>
  <c r="E160" i="5"/>
  <c r="H160" i="5" s="1"/>
  <c r="G161" i="5" s="1"/>
  <c r="D289" i="6" l="1"/>
  <c r="F161" i="5"/>
  <c r="D161" i="5"/>
  <c r="D290" i="6" l="1"/>
  <c r="E290" i="6"/>
  <c r="E291" i="6"/>
  <c r="E161" i="5"/>
  <c r="H161" i="5" s="1"/>
  <c r="G162" i="5" s="1"/>
  <c r="D291" i="6" l="1"/>
  <c r="E292" i="6" s="1"/>
  <c r="F162" i="5"/>
  <c r="D162" i="5"/>
  <c r="D292" i="6" l="1"/>
  <c r="E162" i="5"/>
  <c r="H162" i="5" s="1"/>
  <c r="G163" i="5" s="1"/>
  <c r="D293" i="6" l="1"/>
  <c r="E293" i="6"/>
  <c r="F163" i="5"/>
  <c r="D163" i="5"/>
  <c r="D294" i="6" l="1"/>
  <c r="E294" i="6"/>
  <c r="E163" i="5"/>
  <c r="H163" i="5" s="1"/>
  <c r="G164" i="5" s="1"/>
  <c r="D295" i="6" l="1"/>
  <c r="E295" i="6"/>
  <c r="F164" i="5"/>
  <c r="D164" i="5"/>
  <c r="D296" i="6" l="1"/>
  <c r="E296" i="6"/>
  <c r="E164" i="5"/>
  <c r="H164" i="5" s="1"/>
  <c r="G165" i="5" s="1"/>
  <c r="D297" i="6" l="1"/>
  <c r="E297" i="6"/>
  <c r="F165" i="5"/>
  <c r="D165" i="5"/>
  <c r="D298" i="6" l="1"/>
  <c r="E298" i="6"/>
  <c r="E165" i="5"/>
  <c r="H165" i="5" s="1"/>
  <c r="G166" i="5" s="1"/>
  <c r="D299" i="6" l="1"/>
  <c r="E299" i="6"/>
  <c r="F166" i="5"/>
  <c r="D166" i="5"/>
  <c r="D300" i="6" l="1"/>
  <c r="E300" i="6"/>
  <c r="E166" i="5"/>
  <c r="H166" i="5" s="1"/>
  <c r="G167" i="5" s="1"/>
  <c r="D301" i="6" l="1"/>
  <c r="E301" i="6"/>
  <c r="F167" i="5"/>
  <c r="D167" i="5"/>
  <c r="D302" i="6" l="1"/>
  <c r="E302" i="6"/>
  <c r="E167" i="5"/>
  <c r="H167" i="5" s="1"/>
  <c r="G168" i="5" s="1"/>
  <c r="D303" i="6" l="1"/>
  <c r="E303" i="6"/>
  <c r="F168" i="5"/>
  <c r="D168" i="5"/>
  <c r="D304" i="6" l="1"/>
  <c r="E304" i="6"/>
  <c r="E168" i="5"/>
  <c r="H168" i="5" s="1"/>
  <c r="G169" i="5" s="1"/>
  <c r="D305" i="6" l="1"/>
  <c r="E305" i="6"/>
  <c r="F169" i="5"/>
  <c r="D169" i="5" s="1"/>
  <c r="D306" i="6" l="1"/>
  <c r="E306" i="6"/>
  <c r="E169" i="5"/>
  <c r="H169" i="5" s="1"/>
  <c r="G170" i="5" s="1"/>
  <c r="D307" i="6" l="1"/>
  <c r="E307" i="6"/>
  <c r="F170" i="5"/>
  <c r="D170" i="5" s="1"/>
  <c r="D308" i="6" l="1"/>
  <c r="E308" i="6"/>
  <c r="E170" i="5"/>
  <c r="H170" i="5" s="1"/>
  <c r="G171" i="5" s="1"/>
  <c r="D309" i="6" l="1"/>
  <c r="E309" i="6"/>
  <c r="F171" i="5"/>
  <c r="D171" i="5"/>
  <c r="D310" i="6" l="1"/>
  <c r="E310" i="6"/>
  <c r="E171" i="5"/>
  <c r="H171" i="5" s="1"/>
  <c r="G172" i="5" s="1"/>
  <c r="D311" i="6" l="1"/>
  <c r="E311" i="6"/>
  <c r="F172" i="5"/>
  <c r="D172" i="5"/>
  <c r="D312" i="6" l="1"/>
  <c r="E312" i="6"/>
  <c r="E172" i="5"/>
  <c r="H172" i="5" s="1"/>
  <c r="G173" i="5" s="1"/>
  <c r="D313" i="6" l="1"/>
  <c r="E313" i="6"/>
  <c r="F173" i="5"/>
  <c r="D173" i="5"/>
  <c r="D314" i="6" l="1"/>
  <c r="E314" i="6"/>
  <c r="E173" i="5"/>
  <c r="H173" i="5" s="1"/>
  <c r="G174" i="5" s="1"/>
  <c r="D315" i="6" l="1"/>
  <c r="E315" i="6"/>
  <c r="F174" i="5"/>
  <c r="D174" i="5"/>
  <c r="D316" i="6" l="1"/>
  <c r="E316" i="6"/>
  <c r="E174" i="5"/>
  <c r="H174" i="5" s="1"/>
  <c r="G175" i="5" s="1"/>
  <c r="D317" i="6" l="1"/>
  <c r="E317" i="6"/>
  <c r="F175" i="5"/>
  <c r="D175" i="5"/>
  <c r="D318" i="6" l="1"/>
  <c r="E318" i="6"/>
  <c r="E175" i="5"/>
  <c r="H175" i="5" s="1"/>
  <c r="G176" i="5" s="1"/>
  <c r="D319" i="6" l="1"/>
  <c r="E320" i="6"/>
  <c r="E319" i="6"/>
  <c r="F176" i="5"/>
  <c r="D176" i="5"/>
  <c r="D320" i="6" l="1"/>
  <c r="E176" i="5"/>
  <c r="H176" i="5" s="1"/>
  <c r="G177" i="5" s="1"/>
  <c r="D321" i="6" l="1"/>
  <c r="E321" i="6"/>
  <c r="F177" i="5"/>
  <c r="D177" i="5"/>
  <c r="D322" i="6" l="1"/>
  <c r="E322" i="6"/>
  <c r="E177" i="5"/>
  <c r="H177" i="5" s="1"/>
  <c r="G178" i="5" s="1"/>
  <c r="D323" i="6" l="1"/>
  <c r="E324" i="6"/>
  <c r="E323" i="6"/>
  <c r="F178" i="5"/>
  <c r="D178" i="5"/>
  <c r="D324" i="6" l="1"/>
  <c r="E178" i="5"/>
  <c r="H178" i="5" s="1"/>
  <c r="G179" i="5" s="1"/>
  <c r="D325" i="6" l="1"/>
  <c r="E325" i="6"/>
  <c r="F179" i="5"/>
  <c r="D179" i="5"/>
  <c r="D326" i="6" l="1"/>
  <c r="E326" i="6"/>
  <c r="E179" i="5"/>
  <c r="H179" i="5" s="1"/>
  <c r="G180" i="5" s="1"/>
  <c r="D327" i="6" l="1"/>
  <c r="E327" i="6"/>
  <c r="F180" i="5"/>
  <c r="D180" i="5"/>
  <c r="D328" i="6" l="1"/>
  <c r="E328" i="6"/>
  <c r="E180" i="5"/>
  <c r="H180" i="5" s="1"/>
  <c r="G181" i="5" s="1"/>
  <c r="D329" i="6" l="1"/>
  <c r="E329" i="6"/>
  <c r="F181" i="5"/>
  <c r="D181" i="5"/>
  <c r="D330" i="6" l="1"/>
  <c r="E330" i="6"/>
  <c r="E181" i="5"/>
  <c r="H181" i="5" s="1"/>
  <c r="G182" i="5" s="1"/>
  <c r="D331" i="6" l="1"/>
  <c r="E331" i="6"/>
  <c r="F182" i="5"/>
  <c r="D182" i="5"/>
  <c r="D332" i="6" l="1"/>
  <c r="E332" i="6"/>
  <c r="E182" i="5"/>
  <c r="H182" i="5" s="1"/>
  <c r="G183" i="5" s="1"/>
  <c r="D333" i="6" l="1"/>
  <c r="E333" i="6"/>
  <c r="F183" i="5"/>
  <c r="D183" i="5"/>
  <c r="D334" i="6" l="1"/>
  <c r="E334" i="6"/>
  <c r="E183" i="5"/>
  <c r="H183" i="5" s="1"/>
  <c r="G184" i="5" s="1"/>
  <c r="D335" i="6" l="1"/>
  <c r="E335" i="6"/>
  <c r="F184" i="5"/>
  <c r="D184" i="5"/>
  <c r="D336" i="6" l="1"/>
  <c r="E336" i="6"/>
  <c r="E184" i="5"/>
  <c r="D337" i="6" l="1"/>
  <c r="E337" i="6"/>
  <c r="F185" i="5"/>
  <c r="D185" i="5" s="1"/>
  <c r="H184" i="5"/>
  <c r="G185" i="5" s="1"/>
  <c r="D338" i="6" l="1"/>
  <c r="E338" i="6"/>
  <c r="E185" i="5"/>
  <c r="H185" i="5" s="1"/>
  <c r="G186" i="5" s="1"/>
  <c r="D339" i="6" l="1"/>
  <c r="E339" i="6"/>
  <c r="F186" i="5"/>
  <c r="D186" i="5" s="1"/>
  <c r="D340" i="6" l="1"/>
  <c r="E340" i="6"/>
  <c r="E186" i="5"/>
  <c r="H186" i="5" s="1"/>
  <c r="G187" i="5" s="1"/>
  <c r="D341" i="6" l="1"/>
  <c r="E341" i="6"/>
  <c r="F187" i="5"/>
  <c r="D187" i="5" s="1"/>
  <c r="D342" i="6" l="1"/>
  <c r="E342" i="6"/>
  <c r="E187" i="5"/>
  <c r="H187" i="5" s="1"/>
  <c r="G188" i="5" s="1"/>
  <c r="D343" i="6" l="1"/>
  <c r="E343" i="6"/>
  <c r="F188" i="5"/>
  <c r="D188" i="5" s="1"/>
  <c r="D344" i="6" l="1"/>
  <c r="E344" i="6"/>
  <c r="E188" i="5"/>
  <c r="F189" i="5" s="1"/>
  <c r="D189" i="5" s="1"/>
  <c r="D345" i="6" l="1"/>
  <c r="E345" i="6"/>
  <c r="E189" i="5"/>
  <c r="F190" i="5" s="1"/>
  <c r="D190" i="5" s="1"/>
  <c r="H188" i="5"/>
  <c r="G189" i="5" s="1"/>
  <c r="D346" i="6" l="1"/>
  <c r="E346" i="6"/>
  <c r="E190" i="5"/>
  <c r="H190" i="5" s="1"/>
  <c r="G191" i="5" s="1"/>
  <c r="H189" i="5"/>
  <c r="G190" i="5" s="1"/>
  <c r="D347" i="6" l="1"/>
  <c r="E347" i="6"/>
  <c r="F191" i="5"/>
  <c r="D191" i="5" s="1"/>
  <c r="D348" i="6" l="1"/>
  <c r="E348" i="6"/>
  <c r="E191" i="5"/>
  <c r="H191" i="5" s="1"/>
  <c r="G192" i="5" s="1"/>
  <c r="D349" i="6" l="1"/>
  <c r="E349" i="6"/>
  <c r="F192" i="5"/>
  <c r="D192" i="5" s="1"/>
  <c r="D350" i="6" l="1"/>
  <c r="E350" i="6"/>
  <c r="E192" i="5"/>
  <c r="H192" i="5" s="1"/>
  <c r="G193" i="5" s="1"/>
  <c r="D351" i="6" l="1"/>
  <c r="E351" i="6"/>
  <c r="F193" i="5"/>
  <c r="D193" i="5" s="1"/>
  <c r="D352" i="6" l="1"/>
  <c r="E352" i="6"/>
  <c r="E193" i="5"/>
  <c r="H193" i="5" s="1"/>
  <c r="G194" i="5" s="1"/>
  <c r="D353" i="6" l="1"/>
  <c r="E353" i="6"/>
  <c r="F194" i="5"/>
  <c r="D194" i="5" s="1"/>
  <c r="D354" i="6" l="1"/>
  <c r="E354" i="6"/>
  <c r="E194" i="5"/>
  <c r="H194" i="5" s="1"/>
  <c r="G195" i="5" s="1"/>
  <c r="D355" i="6" l="1"/>
  <c r="E355" i="6"/>
  <c r="F195" i="5"/>
  <c r="D195" i="5" s="1"/>
  <c r="D356" i="6" l="1"/>
  <c r="E356" i="6"/>
  <c r="E195" i="5"/>
  <c r="H195" i="5" s="1"/>
  <c r="G196" i="5" s="1"/>
  <c r="D357" i="6" l="1"/>
  <c r="E357" i="6"/>
  <c r="F196" i="5"/>
  <c r="D196" i="5" s="1"/>
  <c r="D358" i="6" l="1"/>
  <c r="E358" i="6"/>
  <c r="E196" i="5"/>
  <c r="H196" i="5" s="1"/>
  <c r="G197" i="5" s="1"/>
  <c r="D359" i="6" l="1"/>
  <c r="E359" i="6"/>
  <c r="F197" i="5"/>
  <c r="D197" i="5" s="1"/>
  <c r="D360" i="6" l="1"/>
  <c r="E360" i="6"/>
  <c r="E197" i="5"/>
  <c r="H197" i="5" s="1"/>
  <c r="G198" i="5" s="1"/>
  <c r="D361" i="6" l="1"/>
  <c r="E361" i="6"/>
  <c r="F198" i="5"/>
  <c r="D198" i="5" s="1"/>
  <c r="D362" i="6" l="1"/>
  <c r="E362" i="6"/>
  <c r="E198" i="5"/>
  <c r="H198" i="5" s="1"/>
  <c r="G199" i="5" s="1"/>
  <c r="D363" i="6" l="1"/>
  <c r="E363" i="6"/>
  <c r="F199" i="5"/>
  <c r="D199" i="5" s="1"/>
  <c r="D364" i="6" l="1"/>
  <c r="E364" i="6"/>
  <c r="E199" i="5"/>
  <c r="H199" i="5" s="1"/>
  <c r="G200" i="5" s="1"/>
  <c r="D365" i="6" l="1"/>
  <c r="D366" i="6" s="1"/>
  <c r="G8" i="6" s="1"/>
  <c r="E365" i="6"/>
  <c r="F200" i="5"/>
  <c r="D200" i="5" s="1"/>
  <c r="E366" i="6" l="1"/>
  <c r="E200" i="5"/>
  <c r="H200" i="5" s="1"/>
  <c r="G201" i="5" s="1"/>
  <c r="F201" i="5" l="1"/>
  <c r="D201" i="5" s="1"/>
  <c r="E201" i="5" l="1"/>
  <c r="H201" i="5" s="1"/>
  <c r="G202" i="5" s="1"/>
  <c r="F202" i="5" l="1"/>
  <c r="D202" i="5" s="1"/>
  <c r="E202" i="5" s="1"/>
  <c r="H202" i="5" s="1"/>
  <c r="G203" i="5" s="1"/>
  <c r="F203" i="5" l="1"/>
  <c r="D203" i="5" s="1"/>
  <c r="E203" i="5" l="1"/>
  <c r="H203" i="5" s="1"/>
  <c r="G204" i="5" s="1"/>
  <c r="F204" i="5" l="1"/>
  <c r="D204" i="5" s="1"/>
  <c r="E204" i="5" l="1"/>
  <c r="H204" i="5" s="1"/>
  <c r="G205" i="5" s="1"/>
  <c r="F205" i="5" l="1"/>
  <c r="D205" i="5" s="1"/>
  <c r="E205" i="5" l="1"/>
  <c r="F206" i="5" s="1"/>
  <c r="D206" i="5" s="1"/>
  <c r="E206" i="5" l="1"/>
  <c r="H206" i="5" s="1"/>
  <c r="G207" i="5" s="1"/>
  <c r="H205" i="5"/>
  <c r="G206" i="5" s="1"/>
  <c r="F207" i="5" l="1"/>
  <c r="D207" i="5" s="1"/>
  <c r="E207" i="5"/>
  <c r="H207" i="5" s="1"/>
  <c r="G208" i="5" s="1"/>
  <c r="F208" i="5" l="1"/>
  <c r="D208" i="5" s="1"/>
  <c r="E208" i="5" l="1"/>
  <c r="H208" i="5" s="1"/>
  <c r="G209" i="5" s="1"/>
  <c r="F209" i="5" l="1"/>
  <c r="D209" i="5" s="1"/>
  <c r="E209" i="5" s="1"/>
  <c r="H209" i="5" s="1"/>
  <c r="G210" i="5" s="1"/>
  <c r="F210" i="5"/>
  <c r="D210" i="5" s="1"/>
  <c r="E210" i="5" l="1"/>
  <c r="F211" i="5" s="1"/>
  <c r="H210" i="5" l="1"/>
  <c r="G211" i="5" s="1"/>
  <c r="D211" i="5"/>
  <c r="E211" i="5" l="1"/>
  <c r="H211" i="5" s="1"/>
  <c r="G212" i="5" s="1"/>
  <c r="F212" i="5" l="1"/>
  <c r="D212" i="5" s="1"/>
  <c r="E212" i="5" l="1"/>
  <c r="F213" i="5" s="1"/>
  <c r="D213" i="5" s="1"/>
  <c r="H212" i="5"/>
  <c r="G213" i="5" s="1"/>
  <c r="E213" i="5" l="1"/>
  <c r="F214" i="5" s="1"/>
  <c r="D214" i="5" s="1"/>
  <c r="E214" i="5" l="1"/>
  <c r="F215" i="5" s="1"/>
  <c r="D215" i="5" s="1"/>
  <c r="H213" i="5"/>
  <c r="G214" i="5" s="1"/>
  <c r="E215" i="5" l="1"/>
  <c r="H215" i="5" s="1"/>
  <c r="G216" i="5" s="1"/>
  <c r="H214" i="5"/>
  <c r="G215" i="5" s="1"/>
  <c r="F216" i="5" l="1"/>
  <c r="D216" i="5" s="1"/>
  <c r="E216" i="5" l="1"/>
  <c r="H216" i="5" s="1"/>
  <c r="G217" i="5" s="1"/>
  <c r="F217" i="5" l="1"/>
  <c r="D217" i="5" s="1"/>
  <c r="E217" i="5" s="1"/>
  <c r="H217" i="5" s="1"/>
  <c r="G218" i="5" s="1"/>
  <c r="F218" i="5" l="1"/>
  <c r="D218" i="5" s="1"/>
  <c r="E218" i="5" s="1"/>
  <c r="H218" i="5" s="1"/>
  <c r="G219" i="5" s="1"/>
  <c r="F219" i="5" l="1"/>
  <c r="D219" i="5" s="1"/>
  <c r="E219" i="5" l="1"/>
  <c r="F220" i="5" s="1"/>
  <c r="H219" i="5" l="1"/>
  <c r="G220" i="5" s="1"/>
  <c r="D220" i="5"/>
  <c r="E220" i="5" l="1"/>
  <c r="F221" i="5" s="1"/>
  <c r="D221" i="5" s="1"/>
  <c r="H220" i="5"/>
  <c r="G221" i="5" s="1"/>
  <c r="E221" i="5" l="1"/>
  <c r="H221" i="5" s="1"/>
  <c r="G222" i="5" s="1"/>
  <c r="F222" i="5" l="1"/>
  <c r="D222" i="5"/>
  <c r="E222" i="5" l="1"/>
  <c r="H222" i="5" s="1"/>
  <c r="G223" i="5" s="1"/>
  <c r="F223" i="5" l="1"/>
  <c r="D223" i="5" s="1"/>
  <c r="E223" i="5" l="1"/>
  <c r="H223" i="5" s="1"/>
  <c r="G224" i="5" s="1"/>
  <c r="F224" i="5" l="1"/>
  <c r="D224" i="5" s="1"/>
  <c r="E224" i="5" l="1"/>
  <c r="H224" i="5" s="1"/>
  <c r="G225" i="5" s="1"/>
  <c r="F225" i="5" l="1"/>
  <c r="D225" i="5" s="1"/>
  <c r="E225" i="5" l="1"/>
  <c r="H225" i="5" s="1"/>
  <c r="G226" i="5" s="1"/>
  <c r="F226" i="5" l="1"/>
  <c r="D226" i="5" s="1"/>
  <c r="E226" i="5" l="1"/>
  <c r="H226" i="5" s="1"/>
  <c r="G227" i="5" s="1"/>
  <c r="F227" i="5" l="1"/>
  <c r="D227" i="5" s="1"/>
  <c r="E227" i="5" l="1"/>
  <c r="H227" i="5" s="1"/>
  <c r="G228" i="5" s="1"/>
  <c r="F228" i="5" l="1"/>
  <c r="D228" i="5"/>
  <c r="E228" i="5" l="1"/>
  <c r="H228" i="5" s="1"/>
  <c r="G229" i="5" s="1"/>
  <c r="F229" i="5" l="1"/>
  <c r="D229" i="5"/>
  <c r="E229" i="5" l="1"/>
  <c r="H229" i="5" s="1"/>
  <c r="G230" i="5" s="1"/>
  <c r="F230" i="5" l="1"/>
  <c r="D230" i="5" s="1"/>
  <c r="E230" i="5" l="1"/>
  <c r="F231" i="5" s="1"/>
  <c r="D231" i="5" l="1"/>
  <c r="H230" i="5"/>
  <c r="G231" i="5" s="1"/>
  <c r="E231" i="5" l="1"/>
  <c r="H231" i="5" s="1"/>
  <c r="G232" i="5" s="1"/>
  <c r="F232" i="5" l="1"/>
  <c r="D232" i="5" s="1"/>
  <c r="E232" i="5" s="1"/>
  <c r="H232" i="5" l="1"/>
  <c r="G233" i="5" s="1"/>
  <c r="F233" i="5"/>
  <c r="D233" i="5"/>
  <c r="E233" i="5" l="1"/>
  <c r="H233" i="5" s="1"/>
  <c r="G234" i="5" s="1"/>
  <c r="F234" i="5" l="1"/>
  <c r="D234" i="5" s="1"/>
  <c r="E234" i="5"/>
  <c r="H234" i="5" s="1"/>
  <c r="G235" i="5" s="1"/>
  <c r="F235" i="5" l="1"/>
  <c r="D235" i="5" s="1"/>
  <c r="E235" i="5" s="1"/>
  <c r="H235" i="5" s="1"/>
  <c r="G236" i="5" s="1"/>
  <c r="F236" i="5" l="1"/>
  <c r="D236" i="5" s="1"/>
  <c r="E236" i="5" s="1"/>
  <c r="H236" i="5" s="1"/>
  <c r="G237" i="5" s="1"/>
  <c r="F237" i="5" l="1"/>
  <c r="D237" i="5" s="1"/>
  <c r="E237" i="5" l="1"/>
  <c r="H237" i="5" s="1"/>
  <c r="G238" i="5" s="1"/>
  <c r="F238" i="5" l="1"/>
  <c r="D238" i="5" s="1"/>
  <c r="E238" i="5" l="1"/>
  <c r="H238" i="5" s="1"/>
  <c r="G239" i="5" s="1"/>
  <c r="F239" i="5" l="1"/>
  <c r="D239" i="5" s="1"/>
  <c r="E239" i="5" l="1"/>
  <c r="H239" i="5" s="1"/>
  <c r="G240" i="5" s="1"/>
  <c r="F240" i="5" l="1"/>
  <c r="D240" i="5" s="1"/>
  <c r="E240" i="5" l="1"/>
  <c r="H240" i="5" s="1"/>
  <c r="G241" i="5" s="1"/>
  <c r="F241" i="5" l="1"/>
  <c r="D241" i="5" s="1"/>
  <c r="E241" i="5" l="1"/>
  <c r="H241" i="5" s="1"/>
  <c r="G242" i="5" s="1"/>
  <c r="F242" i="5" l="1"/>
  <c r="D242" i="5" s="1"/>
  <c r="E242" i="5" l="1"/>
  <c r="H242" i="5" s="1"/>
  <c r="G243" i="5" s="1"/>
  <c r="F243" i="5" l="1"/>
  <c r="D243" i="5" s="1"/>
  <c r="E243" i="5" l="1"/>
  <c r="H243" i="5" s="1"/>
  <c r="G244" i="5" s="1"/>
  <c r="F244" i="5" l="1"/>
  <c r="D244" i="5" s="1"/>
  <c r="E244" i="5" l="1"/>
  <c r="H244" i="5" s="1"/>
  <c r="G245" i="5" s="1"/>
  <c r="F245" i="5" l="1"/>
  <c r="D245" i="5" s="1"/>
  <c r="E245" i="5" l="1"/>
  <c r="H245" i="5" s="1"/>
  <c r="G246" i="5" s="1"/>
  <c r="F246" i="5" l="1"/>
  <c r="D246" i="5" s="1"/>
  <c r="E246" i="5" l="1"/>
  <c r="H246" i="5" s="1"/>
  <c r="G247" i="5" s="1"/>
  <c r="F247" i="5" l="1"/>
  <c r="D247" i="5" s="1"/>
  <c r="E247" i="5" l="1"/>
  <c r="H247" i="5" s="1"/>
  <c r="G248" i="5" s="1"/>
  <c r="F248" i="5" l="1"/>
  <c r="D248" i="5" s="1"/>
  <c r="E248" i="5" l="1"/>
  <c r="H248" i="5" s="1"/>
  <c r="G249" i="5" s="1"/>
  <c r="F249" i="5" l="1"/>
  <c r="D249" i="5" s="1"/>
  <c r="E249" i="5" l="1"/>
  <c r="H249" i="5" s="1"/>
  <c r="G250" i="5" s="1"/>
  <c r="F250" i="5" l="1"/>
  <c r="D250" i="5" s="1"/>
  <c r="E250" i="5" l="1"/>
  <c r="H250" i="5" s="1"/>
  <c r="G251" i="5" s="1"/>
  <c r="F251" i="5" l="1"/>
  <c r="D251" i="5" s="1"/>
  <c r="E251" i="5" l="1"/>
  <c r="H251" i="5" s="1"/>
  <c r="G252" i="5" s="1"/>
  <c r="F252" i="5" l="1"/>
  <c r="D252" i="5" s="1"/>
  <c r="E252" i="5" l="1"/>
  <c r="H252" i="5" s="1"/>
  <c r="G253" i="5" s="1"/>
  <c r="F253" i="5" l="1"/>
  <c r="D253" i="5" s="1"/>
  <c r="E253" i="5" l="1"/>
  <c r="H253" i="5" s="1"/>
  <c r="G254" i="5" s="1"/>
  <c r="F254" i="5" l="1"/>
  <c r="D254" i="5" s="1"/>
  <c r="E254" i="5" l="1"/>
  <c r="H254" i="5" s="1"/>
  <c r="G255" i="5" s="1"/>
  <c r="F255" i="5" l="1"/>
  <c r="D255" i="5" s="1"/>
  <c r="E255" i="5" l="1"/>
  <c r="H255" i="5" s="1"/>
  <c r="G256" i="5" s="1"/>
  <c r="F256" i="5" l="1"/>
  <c r="D256" i="5" s="1"/>
  <c r="E256" i="5" l="1"/>
  <c r="H256" i="5" s="1"/>
  <c r="G257" i="5" s="1"/>
  <c r="F257" i="5" l="1"/>
  <c r="D257" i="5" s="1"/>
  <c r="E257" i="5" l="1"/>
  <c r="H257" i="5" s="1"/>
  <c r="G258" i="5" s="1"/>
  <c r="F258" i="5" l="1"/>
  <c r="D258" i="5" s="1"/>
  <c r="E258" i="5" l="1"/>
  <c r="H258" i="5" s="1"/>
  <c r="G259" i="5" s="1"/>
  <c r="F259" i="5" l="1"/>
  <c r="D259" i="5" s="1"/>
  <c r="E259" i="5" l="1"/>
  <c r="H259" i="5" s="1"/>
  <c r="G260" i="5" s="1"/>
  <c r="F260" i="5" l="1"/>
  <c r="D260" i="5" s="1"/>
  <c r="E260" i="5" l="1"/>
  <c r="F261" i="5" s="1"/>
  <c r="D261" i="5" s="1"/>
  <c r="H260" i="5"/>
  <c r="G261" i="5" s="1"/>
  <c r="E261" i="5" l="1"/>
  <c r="F262" i="5" s="1"/>
  <c r="D262" i="5" s="1"/>
  <c r="H261" i="5" l="1"/>
  <c r="G262" i="5" s="1"/>
  <c r="E262" i="5"/>
  <c r="H262" i="5" s="1"/>
  <c r="G263" i="5" s="1"/>
  <c r="F263" i="5" l="1"/>
  <c r="D263" i="5" s="1"/>
  <c r="E263" i="5" l="1"/>
  <c r="H263" i="5" s="1"/>
  <c r="G264" i="5" s="1"/>
  <c r="F264" i="5" l="1"/>
  <c r="D264" i="5" s="1"/>
  <c r="E264" i="5" l="1"/>
  <c r="H264" i="5" s="1"/>
  <c r="G265" i="5" s="1"/>
  <c r="F265" i="5" l="1"/>
  <c r="D265" i="5" s="1"/>
  <c r="E265" i="5" l="1"/>
  <c r="H265" i="5" s="1"/>
  <c r="G266" i="5" s="1"/>
  <c r="F266" i="5" l="1"/>
  <c r="D266" i="5" s="1"/>
  <c r="E266" i="5" l="1"/>
  <c r="H266" i="5" s="1"/>
  <c r="G267" i="5" s="1"/>
  <c r="F267" i="5" l="1"/>
  <c r="D267" i="5" s="1"/>
  <c r="E267" i="5" l="1"/>
  <c r="F268" i="5" s="1"/>
  <c r="D268" i="5" s="1"/>
  <c r="H267" i="5" l="1"/>
  <c r="G268" i="5" s="1"/>
  <c r="E268" i="5"/>
  <c r="F269" i="5" s="1"/>
  <c r="D269" i="5" s="1"/>
  <c r="H268" i="5"/>
  <c r="G269" i="5" s="1"/>
  <c r="E269" i="5" l="1"/>
  <c r="H269" i="5" s="1"/>
  <c r="G270" i="5" s="1"/>
  <c r="F270" i="5" l="1"/>
  <c r="D270" i="5" s="1"/>
  <c r="E270" i="5" l="1"/>
  <c r="H270" i="5" s="1"/>
  <c r="G271" i="5" s="1"/>
  <c r="F271" i="5" l="1"/>
  <c r="D271" i="5" s="1"/>
  <c r="E271" i="5" s="1"/>
  <c r="H271" i="5" s="1"/>
  <c r="G272" i="5" s="1"/>
  <c r="F272" i="5" l="1"/>
  <c r="D272" i="5" s="1"/>
  <c r="E272" i="5" l="1"/>
  <c r="H272" i="5" s="1"/>
  <c r="G273" i="5" s="1"/>
  <c r="F273" i="5" l="1"/>
  <c r="D273" i="5" s="1"/>
  <c r="E273" i="5" l="1"/>
  <c r="H273" i="5" s="1"/>
  <c r="G274" i="5" s="1"/>
  <c r="F274" i="5" l="1"/>
  <c r="D274" i="5" s="1"/>
  <c r="E274" i="5" l="1"/>
  <c r="H274" i="5" s="1"/>
  <c r="G275" i="5" s="1"/>
  <c r="F275" i="5" l="1"/>
  <c r="D275" i="5" s="1"/>
  <c r="E275" i="5" l="1"/>
  <c r="H275" i="5" s="1"/>
  <c r="G276" i="5" s="1"/>
  <c r="F276" i="5" l="1"/>
  <c r="D276" i="5" s="1"/>
  <c r="E276" i="5" l="1"/>
  <c r="H276" i="5" s="1"/>
  <c r="G277" i="5" s="1"/>
  <c r="F277" i="5" l="1"/>
  <c r="D277" i="5" s="1"/>
  <c r="E277" i="5" l="1"/>
  <c r="F278" i="5" s="1"/>
  <c r="D278" i="5" s="1"/>
  <c r="H277" i="5" l="1"/>
  <c r="G278" i="5" s="1"/>
  <c r="E278" i="5"/>
  <c r="H278" i="5" s="1"/>
  <c r="G279" i="5" s="1"/>
  <c r="F279" i="5" l="1"/>
  <c r="D279" i="5" s="1"/>
  <c r="E279" i="5" l="1"/>
  <c r="H279" i="5" s="1"/>
  <c r="G280" i="5" s="1"/>
  <c r="F280" i="5" l="1"/>
  <c r="D280" i="5" s="1"/>
  <c r="E280" i="5" l="1"/>
  <c r="H280" i="5" s="1"/>
  <c r="G281" i="5" s="1"/>
  <c r="F281" i="5" l="1"/>
  <c r="D281" i="5" s="1"/>
  <c r="E281" i="5" l="1"/>
  <c r="H281" i="5" s="1"/>
  <c r="G282" i="5" s="1"/>
  <c r="F282" i="5" l="1"/>
  <c r="D282" i="5" s="1"/>
  <c r="E282" i="5" l="1"/>
  <c r="H282" i="5" s="1"/>
  <c r="G283" i="5" s="1"/>
  <c r="F283" i="5" l="1"/>
  <c r="D283" i="5" s="1"/>
  <c r="E283" i="5" l="1"/>
  <c r="H283" i="5" s="1"/>
  <c r="G284" i="5" s="1"/>
  <c r="F284" i="5" l="1"/>
  <c r="D284" i="5" s="1"/>
  <c r="E284" i="5" l="1"/>
  <c r="H284" i="5" s="1"/>
  <c r="G285" i="5" s="1"/>
  <c r="F285" i="5" l="1"/>
  <c r="D285" i="5" s="1"/>
  <c r="E285" i="5" l="1"/>
  <c r="H285" i="5" s="1"/>
  <c r="G286" i="5" s="1"/>
  <c r="F286" i="5" l="1"/>
  <c r="D286" i="5" s="1"/>
  <c r="E286" i="5" l="1"/>
  <c r="H286" i="5" s="1"/>
  <c r="G287" i="5" s="1"/>
  <c r="F287" i="5" l="1"/>
  <c r="D287" i="5" s="1"/>
  <c r="E287" i="5" l="1"/>
  <c r="H287" i="5" s="1"/>
  <c r="G288" i="5" s="1"/>
  <c r="F288" i="5" l="1"/>
  <c r="D288" i="5" s="1"/>
  <c r="E288" i="5" l="1"/>
  <c r="H288" i="5" s="1"/>
  <c r="G289" i="5" s="1"/>
  <c r="F289" i="5" l="1"/>
  <c r="D289" i="5" s="1"/>
  <c r="E289" i="5" l="1"/>
  <c r="H289" i="5" s="1"/>
  <c r="G290" i="5" s="1"/>
  <c r="F290" i="5" l="1"/>
  <c r="D290" i="5" s="1"/>
  <c r="E290" i="5" l="1"/>
  <c r="H290" i="5" s="1"/>
  <c r="G291" i="5" s="1"/>
  <c r="F291" i="5" l="1"/>
  <c r="D291" i="5" s="1"/>
  <c r="E291" i="5" l="1"/>
  <c r="H291" i="5" s="1"/>
  <c r="G292" i="5" s="1"/>
  <c r="F292" i="5" l="1"/>
  <c r="D292" i="5" s="1"/>
  <c r="E292" i="5" l="1"/>
  <c r="F293" i="5" s="1"/>
  <c r="D293" i="5" s="1"/>
  <c r="H292" i="5"/>
  <c r="G293" i="5" s="1"/>
  <c r="E293" i="5" l="1"/>
  <c r="F294" i="5" s="1"/>
  <c r="D294" i="5" s="1"/>
  <c r="E294" i="5" l="1"/>
  <c r="F295" i="5" s="1"/>
  <c r="D295" i="5" s="1"/>
  <c r="H293" i="5"/>
  <c r="G294" i="5" s="1"/>
  <c r="E295" i="5" l="1"/>
  <c r="F296" i="5" s="1"/>
  <c r="D296" i="5" s="1"/>
  <c r="H294" i="5"/>
  <c r="G295" i="5" s="1"/>
  <c r="E296" i="5" l="1"/>
  <c r="F297" i="5" s="1"/>
  <c r="D297" i="5" s="1"/>
  <c r="H295" i="5"/>
  <c r="G296" i="5" s="1"/>
  <c r="E297" i="5" l="1"/>
  <c r="F298" i="5" s="1"/>
  <c r="D298" i="5" s="1"/>
  <c r="H296" i="5"/>
  <c r="G297" i="5" s="1"/>
  <c r="H297" i="5" l="1"/>
  <c r="G298" i="5" s="1"/>
  <c r="E298" i="5"/>
  <c r="H298" i="5" s="1"/>
  <c r="G299" i="5" s="1"/>
  <c r="F299" i="5" l="1"/>
  <c r="D299" i="5"/>
  <c r="E299" i="5" l="1"/>
  <c r="H299" i="5" s="1"/>
  <c r="G300" i="5" s="1"/>
  <c r="F300" i="5" l="1"/>
  <c r="D300" i="5"/>
  <c r="E300" i="5" l="1"/>
  <c r="H300" i="5" s="1"/>
  <c r="G301" i="5" s="1"/>
  <c r="F301" i="5" l="1"/>
  <c r="D301" i="5"/>
  <c r="E301" i="5" l="1"/>
  <c r="H301" i="5" s="1"/>
  <c r="G302" i="5" s="1"/>
  <c r="F302" i="5" l="1"/>
  <c r="D302" i="5"/>
  <c r="E302" i="5" l="1"/>
  <c r="H302" i="5" s="1"/>
  <c r="G303" i="5" s="1"/>
  <c r="F303" i="5" l="1"/>
  <c r="D303" i="5"/>
  <c r="E303" i="5" l="1"/>
  <c r="H303" i="5" s="1"/>
  <c r="G304" i="5" s="1"/>
  <c r="F304" i="5" l="1"/>
  <c r="D304" i="5"/>
  <c r="E304" i="5" l="1"/>
  <c r="H304" i="5" s="1"/>
  <c r="G305" i="5" s="1"/>
  <c r="F305" i="5" l="1"/>
  <c r="D305" i="5"/>
  <c r="E305" i="5" l="1"/>
  <c r="F306" i="5" s="1"/>
  <c r="H305" i="5"/>
  <c r="G306" i="5" s="1"/>
  <c r="D306" i="5" l="1"/>
  <c r="E306" i="5" l="1"/>
  <c r="F307" i="5" l="1"/>
  <c r="D307" i="5" s="1"/>
  <c r="H306" i="5"/>
  <c r="G307" i="5" s="1"/>
  <c r="E307" i="5" l="1"/>
  <c r="H307" i="5" s="1"/>
  <c r="G308" i="5" s="1"/>
  <c r="F308" i="5" l="1"/>
  <c r="D308" i="5" s="1"/>
  <c r="E308" i="5"/>
  <c r="H308" i="5" s="1"/>
  <c r="G309" i="5" s="1"/>
  <c r="F309" i="5" l="1"/>
  <c r="D309" i="5"/>
  <c r="E309" i="5" l="1"/>
  <c r="H309" i="5" s="1"/>
  <c r="G310" i="5" s="1"/>
  <c r="F310" i="5" l="1"/>
  <c r="D310" i="5"/>
  <c r="E310" i="5" l="1"/>
  <c r="H310" i="5" s="1"/>
  <c r="G311" i="5" s="1"/>
  <c r="F311" i="5" l="1"/>
  <c r="D311" i="5"/>
  <c r="E311" i="5" l="1"/>
  <c r="H311" i="5" s="1"/>
  <c r="G312" i="5" s="1"/>
  <c r="F312" i="5" l="1"/>
  <c r="D312" i="5"/>
  <c r="E312" i="5" l="1"/>
  <c r="H312" i="5" s="1"/>
  <c r="G313" i="5" s="1"/>
  <c r="F313" i="5" l="1"/>
  <c r="D313" i="5"/>
  <c r="E313" i="5" l="1"/>
  <c r="H313" i="5" s="1"/>
  <c r="G314" i="5" s="1"/>
  <c r="F314" i="5" l="1"/>
  <c r="D314" i="5"/>
  <c r="E314" i="5" l="1"/>
  <c r="H314" i="5" s="1"/>
  <c r="G315" i="5" s="1"/>
  <c r="F315" i="5" l="1"/>
  <c r="D315" i="5"/>
  <c r="E315" i="5" l="1"/>
  <c r="H315" i="5" s="1"/>
  <c r="G316" i="5" s="1"/>
  <c r="F316" i="5" l="1"/>
  <c r="D316" i="5"/>
  <c r="E316" i="5" l="1"/>
  <c r="H316" i="5" s="1"/>
  <c r="G317" i="5" s="1"/>
  <c r="F317" i="5" l="1"/>
  <c r="D317" i="5"/>
  <c r="E317" i="5" l="1"/>
  <c r="H317" i="5" s="1"/>
  <c r="G318" i="5" s="1"/>
  <c r="F318" i="5" l="1"/>
  <c r="D318" i="5"/>
  <c r="E318" i="5" l="1"/>
  <c r="H318" i="5" s="1"/>
  <c r="G319" i="5" s="1"/>
  <c r="F319" i="5" l="1"/>
  <c r="D319" i="5"/>
  <c r="E319" i="5" l="1"/>
  <c r="H319" i="5" s="1"/>
  <c r="G320" i="5" s="1"/>
  <c r="F320" i="5" l="1"/>
  <c r="D320" i="5"/>
  <c r="E320" i="5" l="1"/>
  <c r="H320" i="5" s="1"/>
  <c r="G321" i="5" s="1"/>
  <c r="F321" i="5" l="1"/>
  <c r="D321" i="5"/>
  <c r="E321" i="5" l="1"/>
  <c r="H321" i="5" s="1"/>
  <c r="G322" i="5" s="1"/>
  <c r="F322" i="5" l="1"/>
  <c r="D322" i="5"/>
  <c r="E322" i="5" l="1"/>
  <c r="H322" i="5" s="1"/>
  <c r="G323" i="5" s="1"/>
  <c r="F323" i="5" l="1"/>
  <c r="D323" i="5"/>
  <c r="E323" i="5" l="1"/>
  <c r="H323" i="5" s="1"/>
  <c r="G324" i="5" s="1"/>
  <c r="F324" i="5" l="1"/>
  <c r="D324" i="5"/>
  <c r="E324" i="5" l="1"/>
  <c r="H324" i="5" s="1"/>
  <c r="G325" i="5" s="1"/>
  <c r="F325" i="5" l="1"/>
  <c r="D325" i="5"/>
  <c r="E325" i="5" l="1"/>
  <c r="H325" i="5" s="1"/>
  <c r="G326" i="5" s="1"/>
  <c r="F326" i="5" l="1"/>
  <c r="D326" i="5"/>
  <c r="E326" i="5" l="1"/>
  <c r="H326" i="5" s="1"/>
  <c r="G327" i="5" s="1"/>
  <c r="F327" i="5" l="1"/>
  <c r="D327" i="5"/>
  <c r="E327" i="5" l="1"/>
  <c r="H327" i="5" s="1"/>
  <c r="G328" i="5" s="1"/>
  <c r="F328" i="5" l="1"/>
  <c r="D328" i="5"/>
  <c r="E328" i="5" l="1"/>
  <c r="H328" i="5" s="1"/>
  <c r="G329" i="5" s="1"/>
  <c r="F329" i="5" l="1"/>
  <c r="D329" i="5"/>
  <c r="E329" i="5" l="1"/>
  <c r="H329" i="5" s="1"/>
  <c r="G330" i="5" s="1"/>
  <c r="F330" i="5" l="1"/>
  <c r="D330" i="5"/>
  <c r="E330" i="5" l="1"/>
  <c r="H330" i="5" s="1"/>
  <c r="G331" i="5" s="1"/>
  <c r="F331" i="5" l="1"/>
  <c r="D331" i="5"/>
  <c r="E331" i="5" l="1"/>
  <c r="H331" i="5" s="1"/>
  <c r="G332" i="5" s="1"/>
  <c r="F332" i="5" l="1"/>
  <c r="D332" i="5"/>
  <c r="E332" i="5" l="1"/>
  <c r="H332" i="5" s="1"/>
  <c r="G333" i="5" s="1"/>
  <c r="F333" i="5" l="1"/>
  <c r="D333" i="5"/>
  <c r="E333" i="5" l="1"/>
  <c r="H333" i="5" s="1"/>
  <c r="G334" i="5" s="1"/>
  <c r="F334" i="5" l="1"/>
  <c r="D334" i="5"/>
  <c r="E334" i="5" l="1"/>
  <c r="H334" i="5" s="1"/>
  <c r="G335" i="5" s="1"/>
  <c r="F335" i="5" l="1"/>
  <c r="D335" i="5"/>
  <c r="E335" i="5" l="1"/>
  <c r="H335" i="5" s="1"/>
  <c r="G336" i="5" s="1"/>
  <c r="F336" i="5" l="1"/>
  <c r="D336" i="5"/>
  <c r="E336" i="5" l="1"/>
  <c r="H336" i="5" s="1"/>
  <c r="G337" i="5" s="1"/>
  <c r="F337" i="5" l="1"/>
  <c r="D337" i="5"/>
  <c r="E337" i="5" l="1"/>
  <c r="H337" i="5" s="1"/>
  <c r="G338" i="5" s="1"/>
  <c r="F338" i="5" l="1"/>
  <c r="D338" i="5"/>
  <c r="E338" i="5" l="1"/>
  <c r="H338" i="5" s="1"/>
  <c r="G339" i="5" s="1"/>
  <c r="F339" i="5" l="1"/>
  <c r="D339" i="5"/>
  <c r="E339" i="5" l="1"/>
  <c r="H339" i="5" s="1"/>
  <c r="G340" i="5" s="1"/>
  <c r="F340" i="5" l="1"/>
  <c r="D340" i="5"/>
  <c r="E340" i="5" l="1"/>
  <c r="H340" i="5" s="1"/>
  <c r="G341" i="5" s="1"/>
  <c r="F341" i="5" l="1"/>
  <c r="D341" i="5"/>
  <c r="E341" i="5" l="1"/>
  <c r="H341" i="5" s="1"/>
  <c r="G342" i="5" s="1"/>
  <c r="F342" i="5" l="1"/>
  <c r="D342" i="5" s="1"/>
  <c r="E342" i="5" l="1"/>
  <c r="H342" i="5" s="1"/>
  <c r="G343" i="5" s="1"/>
  <c r="F343" i="5" l="1"/>
  <c r="D343" i="5"/>
  <c r="E343" i="5" l="1"/>
  <c r="H343" i="5" s="1"/>
  <c r="G344" i="5" s="1"/>
  <c r="F344" i="5" l="1"/>
  <c r="D344" i="5"/>
  <c r="E344" i="5" l="1"/>
  <c r="H344" i="5" s="1"/>
  <c r="G345" i="5" s="1"/>
  <c r="F345" i="5" l="1"/>
  <c r="D345" i="5"/>
  <c r="E345" i="5" l="1"/>
  <c r="H345" i="5" s="1"/>
  <c r="G346" i="5" s="1"/>
  <c r="F346" i="5" l="1"/>
  <c r="D346" i="5"/>
  <c r="E346" i="5" l="1"/>
  <c r="H346" i="5" s="1"/>
  <c r="G347" i="5" s="1"/>
  <c r="F347" i="5" l="1"/>
  <c r="D347" i="5"/>
  <c r="E347" i="5" l="1"/>
  <c r="H347" i="5" s="1"/>
  <c r="G348" i="5" s="1"/>
  <c r="F348" i="5" l="1"/>
  <c r="D348" i="5"/>
  <c r="E348" i="5" l="1"/>
  <c r="F349" i="5" s="1"/>
  <c r="H348" i="5"/>
  <c r="G349" i="5" s="1"/>
  <c r="D349" i="5" l="1"/>
  <c r="E349" i="5" l="1"/>
  <c r="H349" i="5" s="1"/>
  <c r="G350" i="5" s="1"/>
  <c r="F350" i="5" l="1"/>
  <c r="D350" i="5"/>
  <c r="E350" i="5" l="1"/>
  <c r="H350" i="5" s="1"/>
  <c r="G351" i="5" s="1"/>
  <c r="F351" i="5" l="1"/>
  <c r="D351" i="5"/>
  <c r="E351" i="5" l="1"/>
  <c r="H351" i="5" s="1"/>
  <c r="G352" i="5" s="1"/>
  <c r="F352" i="5" l="1"/>
  <c r="D352" i="5"/>
  <c r="E352" i="5" l="1"/>
  <c r="H352" i="5" s="1"/>
  <c r="G353" i="5" s="1"/>
  <c r="F353" i="5" l="1"/>
  <c r="D353" i="5"/>
  <c r="E353" i="5" l="1"/>
  <c r="H353" i="5" s="1"/>
  <c r="G354" i="5" s="1"/>
  <c r="F354" i="5" l="1"/>
  <c r="D354" i="5"/>
  <c r="E354" i="5" l="1"/>
  <c r="H354" i="5" s="1"/>
  <c r="G355" i="5" s="1"/>
  <c r="F355" i="5" l="1"/>
  <c r="D355" i="5"/>
  <c r="E355" i="5" l="1"/>
  <c r="H355" i="5" s="1"/>
  <c r="G356" i="5" s="1"/>
  <c r="F356" i="5" l="1"/>
  <c r="D356" i="5"/>
  <c r="E356" i="5" l="1"/>
  <c r="H356" i="5" s="1"/>
  <c r="G357" i="5" s="1"/>
  <c r="F357" i="5" l="1"/>
  <c r="D357" i="5"/>
  <c r="E357" i="5" l="1"/>
  <c r="H357" i="5" s="1"/>
  <c r="G358" i="5" s="1"/>
  <c r="F358" i="5" l="1"/>
  <c r="D358" i="5"/>
  <c r="E358" i="5" l="1"/>
  <c r="H358" i="5" s="1"/>
  <c r="G359" i="5" s="1"/>
  <c r="F359" i="5" l="1"/>
  <c r="D359" i="5"/>
  <c r="E359" i="5" l="1"/>
  <c r="H359" i="5" s="1"/>
  <c r="G360" i="5" s="1"/>
  <c r="F360" i="5" l="1"/>
  <c r="D360" i="5"/>
  <c r="E360" i="5" l="1"/>
  <c r="H360" i="5" s="1"/>
  <c r="G361" i="5" s="1"/>
  <c r="F361" i="5" l="1"/>
  <c r="D361" i="5"/>
  <c r="E361" i="5" l="1"/>
  <c r="H361" i="5" s="1"/>
  <c r="G362" i="5" s="1"/>
  <c r="F362" i="5" l="1"/>
  <c r="D362" i="5"/>
  <c r="E362" i="5" l="1"/>
  <c r="H362" i="5" s="1"/>
  <c r="G363" i="5" s="1"/>
  <c r="F363" i="5" l="1"/>
  <c r="D363" i="5"/>
  <c r="E363" i="5" l="1"/>
  <c r="H363" i="5" s="1"/>
  <c r="G364" i="5" s="1"/>
  <c r="F364" i="5" l="1"/>
  <c r="D364" i="5"/>
  <c r="E364" i="5" l="1"/>
  <c r="H364" i="5" s="1"/>
  <c r="G365" i="5" s="1"/>
  <c r="F365" i="5" l="1"/>
  <c r="D365" i="5"/>
  <c r="E365" i="5" l="1"/>
  <c r="H365" i="5" s="1"/>
  <c r="G366" i="5" s="1"/>
  <c r="K4" i="5" s="1"/>
  <c r="F366" i="5" l="1"/>
  <c r="D366" i="5"/>
  <c r="E366" i="5" l="1"/>
  <c r="F367" i="5" s="1"/>
  <c r="H366" i="5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0C3BBE-9A5B-4920-8B4F-8A264DD2533A}" keepAlive="1" name="Query - Linear Regression" description="Connection to the 'Linear Regression' query in the workbook." type="5" refreshedVersion="8" background="1" saveData="1">
    <dbPr connection="Provider=Microsoft.Mashup.OleDb.1;Data Source=$Workbook$;Location=&quot;Linear Regression&quot;;Extended Properties=&quot;&quot;" command="SELECT * FROM [Linear Regression]"/>
  </connection>
  <connection id="2" xr16:uid="{BC68D88A-A439-4A16-8EAB-B8172098C51C}" keepAlive="1" name="Query - Linear Regression (2)" description="Connection to the 'Linear Regression (2)' query in the workbook." type="5" refreshedVersion="8" background="1" saveData="1">
    <dbPr connection="Provider=Microsoft.Mashup.OleDb.1;Data Source=$Workbook$;Location=&quot;Linear Regression (2)&quot;;Extended Properties=&quot;&quot;" command="SELECT * FROM [Linear Regression (2)]"/>
  </connection>
  <connection id="3" xr16:uid="{6051F2E8-7662-4E65-9280-F1B2359D5A0A}" keepAlive="1" name="Query - Linear Regression (3)" description="Connection to the 'Linear Regression (3)' query in the workbook." type="5" refreshedVersion="8" background="1" saveData="1">
    <dbPr connection="Provider=Microsoft.Mashup.OleDb.1;Data Source=$Workbook$;Location=&quot;Linear Regression (3)&quot;;Extended Properties=&quot;&quot;" command="SELECT * FROM [Linear Regression (3)]"/>
  </connection>
  <connection id="4" xr16:uid="{F43BD79D-C1B2-42AB-8228-AC8643160B77}" keepAlive="1" name="Query - Linear Regression (4)" description="Connection to the 'Linear Regression (4)' query in the workbook." type="5" refreshedVersion="8" background="1" saveData="1">
    <dbPr connection="Provider=Microsoft.Mashup.OleDb.1;Data Source=$Workbook$;Location=&quot;Linear Regression (4)&quot;;Extended Properties=&quot;&quot;" command="SELECT * FROM [Linear Regression (4)]"/>
  </connection>
  <connection id="5" xr16:uid="{96B1E778-3FE5-4048-B0EF-C92CC93E5B02}" keepAlive="1" name="Query - Linear Regression (5)" description="Connection to the 'Linear Regression (5)' query in the workbook." type="5" refreshedVersion="8" background="1" saveData="1">
    <dbPr connection="Provider=Microsoft.Mashup.OleDb.1;Data Source=$Workbook$;Location=&quot;Linear Regression (5)&quot;;Extended Properties=&quot;&quot;" command="SELECT * FROM [Linear Regression (5)]"/>
  </connection>
  <connection id="6" xr16:uid="{3C4D3BCB-3328-4C96-9689-A97FEF2480E4}" keepAlive="1" name="Query - penguins" description="Connection to the 'penguins' query in the workbook." type="5" refreshedVersion="8" background="1" saveData="1">
    <dbPr connection="Provider=Microsoft.Mashup.OleDb.1;Data Source=$Workbook$;Location=penguins;Extended Properties=&quot;&quot;" command="SELECT * FROM [penguins]"/>
  </connection>
  <connection id="7" xr16:uid="{A8B2E600-3817-4EB5-ABAC-28675B5CAEBB}" keepAlive="1" name="Query - Student_Performance" description="Connection to the 'Student_Performance' query in the workbook." type="5" refreshedVersion="0" background="1">
    <dbPr connection="Provider=Microsoft.Mashup.OleDb.1;Data Source=$Workbook$;Location=Student_Performance;Extended Properties=&quot;&quot;" command="SELECT * FROM [Student_Performance]"/>
  </connection>
  <connection id="8" xr16:uid="{67C1C002-3690-4200-A054-927620FB758F}" keepAlive="1" name="Query - Student_Performance (2)" description="Connection to the 'Student_Performance (2)' query in the workbook." type="5" refreshedVersion="8" background="1" saveData="1">
    <dbPr connection="Provider=Microsoft.Mashup.OleDb.1;Data Source=$Workbook$;Location=&quot;Student_Performance (2)&quot;;Extended Properties=&quot;&quot;" command="SELECT * FROM [Student_Performance (2)]"/>
  </connection>
  <connection id="9" xr16:uid="{08198769-926D-4780-BCD5-484B5C42A451}" keepAlive="1" name="Query - Student_Performance (3)" description="Connection to the 'Student_Performance (3)' query in the workbook." type="5" refreshedVersion="0" background="1">
    <dbPr connection="Provider=Microsoft.Mashup.OleDb.1;Data Source=$Workbook$;Location=&quot;Student_Performance (3)&quot;;Extended Properties=&quot;&quot;" command="SELECT * FROM [Student_Performance (3)]"/>
  </connection>
  <connection id="10" xr16:uid="{B34481D1-D6D0-4E6E-BDD4-5355250833FB}" keepAlive="1" name="Query - Student_Performance (4)" description="Connection to the 'Student_Performance (4)' query in the workbook." type="5" refreshedVersion="8" background="1" saveData="1">
    <dbPr connection="Provider=Microsoft.Mashup.OleDb.1;Data Source=$Workbook$;Location=&quot;Student_Performance (4)&quot;;Extended Properties=&quot;&quot;" command="SELECT * FROM [Student_Performance (4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<sst xmlns="http://schemas.openxmlformats.org/spreadsheetml/2006/main" count="548" uniqueCount="137">
  <si>
    <t>Correlation</t>
  </si>
  <si>
    <t>regression coeficient (M)</t>
  </si>
  <si>
    <t>intercept (C)</t>
  </si>
  <si>
    <t>Standard Deviation (Temperature)</t>
  </si>
  <si>
    <t>Standard Deviation (Ice Cream Profits)</t>
  </si>
  <si>
    <t>Mean  (Ice Cream Profits)</t>
  </si>
  <si>
    <t>Mean (Temperature)</t>
  </si>
  <si>
    <t>Forecast if Temperature = 100</t>
  </si>
  <si>
    <t>Temperature (F)</t>
  </si>
  <si>
    <t>Ice Cream Profits (USD)</t>
  </si>
  <si>
    <t>Hours Studied</t>
  </si>
  <si>
    <t>Previous Scores</t>
  </si>
  <si>
    <t>Extracurricular Activities</t>
  </si>
  <si>
    <t>Sleep Hours</t>
  </si>
  <si>
    <t>Sample Question Papers Practiced</t>
  </si>
  <si>
    <t>Performance Index</t>
  </si>
  <si>
    <t>Coefficients</t>
  </si>
  <si>
    <t>Intercept</t>
  </si>
  <si>
    <t>Correlations</t>
  </si>
  <si>
    <t>Forecasting</t>
  </si>
  <si>
    <t>Composite</t>
  </si>
  <si>
    <t>MA-3</t>
  </si>
  <si>
    <t>MA-6</t>
  </si>
  <si>
    <t>-</t>
  </si>
  <si>
    <t>Standard Error</t>
  </si>
  <si>
    <t>FORECASTING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</si>
  <si>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</si>
  <si>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</si>
  <si>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</si>
  <si>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</si>
  <si>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</si>
  <si>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</si>
  <si>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</si>
  <si>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</si>
  <si>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</si>
  <si>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</si>
  <si>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df</t>
  </si>
  <si>
    <t>SS</t>
  </si>
  <si>
    <t>MS</t>
  </si>
  <si>
    <t>F</t>
  </si>
  <si>
    <t>Significance F</t>
  </si>
  <si>
    <t>t Stat</t>
  </si>
  <si>
    <t>P-value</t>
  </si>
  <si>
    <t>Lower 95%</t>
  </si>
  <si>
    <t>Upper 95%</t>
  </si>
  <si>
    <t>Lower 95,0%</t>
  </si>
  <si>
    <t>Upper 95,0%</t>
  </si>
  <si>
    <t>X Variable 1</t>
  </si>
  <si>
    <t>Error</t>
  </si>
  <si>
    <t>Level</t>
  </si>
  <si>
    <t>Slope / Trend</t>
  </si>
  <si>
    <t>Forecast for next Temperature</t>
  </si>
  <si>
    <t>Alpha</t>
  </si>
  <si>
    <t>RMSE</t>
  </si>
  <si>
    <t>Forecast (Holt's Method)</t>
  </si>
  <si>
    <t>Solver</t>
  </si>
  <si>
    <t>Gamma/Beta</t>
  </si>
  <si>
    <t>Forecast</t>
  </si>
  <si>
    <t>1-alpha</t>
  </si>
  <si>
    <t>Root Mean Square Error</t>
  </si>
  <si>
    <t>RMSE (3)</t>
  </si>
  <si>
    <t>Linear Regression Formula</t>
  </si>
  <si>
    <t>Multiple Linear Regression Formula</t>
  </si>
  <si>
    <t>RMSE Formula</t>
  </si>
  <si>
    <t>Smoothing Formula</t>
  </si>
  <si>
    <t>Probability Distribution Formula</t>
  </si>
  <si>
    <t>Passed</t>
  </si>
  <si>
    <t>Logit</t>
  </si>
  <si>
    <t>Exponential of logit</t>
  </si>
  <si>
    <t>Log likelihood</t>
  </si>
  <si>
    <t>Probability / Likelihood</t>
  </si>
  <si>
    <t>Solver Decision Variables</t>
  </si>
  <si>
    <t>b0</t>
  </si>
  <si>
    <t>b1</t>
  </si>
  <si>
    <t>b2</t>
  </si>
  <si>
    <t>Total Log likelihood</t>
  </si>
  <si>
    <t>Probabiliity</t>
  </si>
  <si>
    <t>Index</t>
  </si>
  <si>
    <t>Gender</t>
  </si>
  <si>
    <t>Body mass (g)</t>
  </si>
  <si>
    <t>Flipper Length (mm)</t>
  </si>
  <si>
    <t>Culmen Depth (mm)</t>
  </si>
  <si>
    <t>Culmen Length (mm)</t>
  </si>
  <si>
    <t>Species</t>
  </si>
  <si>
    <t>Species_code</t>
  </si>
  <si>
    <t>Logits</t>
  </si>
  <si>
    <t>Probabilities / Likelihood</t>
  </si>
  <si>
    <t>Emperor Penguin</t>
  </si>
  <si>
    <t>King Penguin</t>
  </si>
  <si>
    <t>Little Penguin</t>
  </si>
  <si>
    <t>Total Loglikelihood</t>
  </si>
  <si>
    <t>Coefficient</t>
  </si>
  <si>
    <t>Culman Length</t>
  </si>
  <si>
    <t>Culman Depth</t>
  </si>
  <si>
    <t>Flipper Length</t>
  </si>
  <si>
    <t>Body Mass</t>
  </si>
  <si>
    <t>Notes
The Species data is just dummy</t>
  </si>
  <si>
    <t>Random Cases</t>
  </si>
  <si>
    <t>Total Transactions</t>
  </si>
  <si>
    <t>Feature</t>
  </si>
  <si>
    <t>Frequency</t>
  </si>
  <si>
    <t>2 Way Lift</t>
  </si>
  <si>
    <t>LHS</t>
  </si>
  <si>
    <t>RHS</t>
  </si>
  <si>
    <t>Occurances</t>
  </si>
  <si>
    <t>LHS Freq</t>
  </si>
  <si>
    <t>RHS Freq</t>
  </si>
  <si>
    <t xml:space="preserve"> Transaction</t>
  </si>
  <si>
    <t>Predicted Trans</t>
  </si>
  <si>
    <t>Lift</t>
  </si>
  <si>
    <t>3-Way Lift</t>
  </si>
  <si>
    <t>Occurences Freq</t>
  </si>
  <si>
    <t>Multinomial Logistic Regression</t>
  </si>
  <si>
    <t>Binomial Logistic Regression</t>
  </si>
  <si>
    <t>Lunox</t>
  </si>
  <si>
    <t>Aurora</t>
  </si>
  <si>
    <t>Vexana</t>
  </si>
  <si>
    <t>Harith</t>
  </si>
  <si>
    <t>Odette</t>
  </si>
  <si>
    <t>Valir</t>
  </si>
  <si>
    <t>Alice</t>
  </si>
  <si>
    <t>Kadita</t>
  </si>
  <si>
    <t>Eudora</t>
  </si>
  <si>
    <t>Pharsa</t>
  </si>
  <si>
    <t>Nana</t>
  </si>
  <si>
    <t>Harley</t>
  </si>
  <si>
    <t>Esmeralda</t>
  </si>
  <si>
    <t>Vale</t>
  </si>
  <si>
    <t>Yve</t>
  </si>
  <si>
    <t>Luo Yi</t>
  </si>
  <si>
    <t>Saber</t>
  </si>
  <si>
    <t>Dataset is randomized</t>
  </si>
  <si>
    <t>Market Basket Analysis</t>
  </si>
  <si>
    <t>Naïve Bayes Formula</t>
  </si>
  <si>
    <t>10 Random Case (Probability to Passed an Exam based on Hours Studied and Sleep Hours)</t>
  </si>
  <si>
    <t>Most Pick (Pair): Alice x Saber</t>
  </si>
  <si>
    <t>Most Pick (Pair): Aurora x Nana x Saber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</si>
</sst>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1" xfId="0" applyFont="1" applyBorder="1"/>
    <xf numFmtId="0" fontId="0" fillId="2" borderId="1" xfId="0" applyFill="1" applyBorder="1"/>
    <xf numFmtId="0" fontId="2" fillId="0" borderId="1" xfId="0" applyFont="1" applyBorder="1" applyAlignment="1">
      <alignment horizontal="left"/>
    </xf>
    <xf numFmtId="0" fontId="2" fillId="2" borderId="1" xfId="0" applyFont="1" applyFill="1" applyBorder="1"/>
    <xf numFmtId="2" fontId="0" fillId="0" borderId="1" xfId="0" applyNumberFormat="1" applyBorder="1" applyAlignment="1">
      <alignment horizontal="left"/>
    </xf>
    <xf numFmtId="0" fontId="0" fillId="0" borderId="1" xfId="0" applyBorder="1"/>
    <xf numFmtId="0" fontId="1" fillId="3" borderId="1" xfId="0" applyFont="1" applyFill="1" applyBorder="1"/>
    <xf numFmtId="0" fontId="1" fillId="3" borderId="0" xfId="0" applyFont="1" applyFill="1"/>
    <xf numFmtId="0" fontId="0" fillId="0" borderId="7" xfId="0" applyBorder="1"/>
    <xf numFmtId="0" fontId="3" fillId="0" borderId="8" xfId="0" applyFont="1" applyBorder="1" applyAlignment="1">
      <alignment horizontal="center"/>
    </xf>
    <xf numFmtId="0" fontId="3" fillId="0" borderId="8" xfId="0" applyFont="1" applyBorder="1" applyAlignment="1">
      <alignment horizontal="centerContinuous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7" borderId="1" xfId="0" applyFont="1" applyFill="1" applyBorder="1"/>
    <xf numFmtId="0" fontId="1" fillId="8" borderId="1" xfId="0" applyFont="1" applyFill="1" applyBorder="1"/>
    <xf numFmtId="0" fontId="2" fillId="9" borderId="1" xfId="0" applyFont="1" applyFill="1" applyBorder="1"/>
    <xf numFmtId="0" fontId="2" fillId="10" borderId="1" xfId="0" applyFont="1" applyFill="1" applyBorder="1"/>
    <xf numFmtId="0" fontId="2" fillId="11" borderId="1" xfId="0" applyFont="1" applyFill="1" applyBorder="1"/>
    <xf numFmtId="0" fontId="2" fillId="0" borderId="1" xfId="0" applyFont="1" applyBorder="1" applyAlignment="1">
      <alignment vertical="center"/>
    </xf>
    <xf numFmtId="0" fontId="2" fillId="12" borderId="1" xfId="0" applyFont="1" applyFill="1" applyBorder="1"/>
    <xf numFmtId="0" fontId="2" fillId="13" borderId="1" xfId="0" applyFont="1" applyFill="1" applyBorder="1" applyAlignment="1">
      <alignment vertical="center"/>
    </xf>
    <xf numFmtId="0" fontId="0" fillId="13" borderId="1" xfId="0" applyFill="1" applyBorder="1"/>
    <xf numFmtId="0" fontId="0" fillId="14" borderId="1" xfId="0" applyFill="1" applyBorder="1"/>
    <xf numFmtId="0" fontId="0" fillId="13" borderId="0" xfId="0" applyFill="1"/>
    <xf numFmtId="0" fontId="0" fillId="9" borderId="0" xfId="0" applyFill="1"/>
    <xf numFmtId="0" fontId="0" fillId="11" borderId="0" xfId="0" applyFill="1"/>
    <xf numFmtId="0" fontId="5" fillId="13" borderId="0" xfId="0" applyFont="1" applyFill="1" applyAlignment="1">
      <alignment horizontal="left" vertical="center"/>
    </xf>
    <xf numFmtId="0" fontId="1" fillId="13" borderId="0" xfId="0" applyFont="1" applyFill="1" applyAlignment="1">
      <alignment horizontal="left" vertical="center"/>
    </xf>
    <xf numFmtId="0" fontId="5" fillId="9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1" fillId="5" borderId="0" xfId="0" applyFont="1" applyFill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0" fontId="5" fillId="11" borderId="0" xfId="0" applyFont="1" applyFill="1" applyAlignment="1">
      <alignment horizontal="left" vertical="center"/>
    </xf>
    <xf numFmtId="0" fontId="0" fillId="2" borderId="2" xfId="0" applyFill="1" applyBorder="1" applyAlignment="1">
      <alignment horizontal="right" vertical="center"/>
    </xf>
    <xf numFmtId="0" fontId="0" fillId="2" borderId="3" xfId="0" applyFill="1" applyBorder="1" applyAlignment="1">
      <alignment horizontal="right" vertical="center"/>
    </xf>
    <xf numFmtId="0" fontId="2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1" fillId="7" borderId="11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13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0" fillId="13" borderId="4" xfId="0" applyFill="1" applyBorder="1" applyAlignment="1">
      <alignment horizontal="left"/>
    </xf>
    <xf numFmtId="0" fontId="0" fillId="13" borderId="5" xfId="0" applyFill="1" applyBorder="1" applyAlignment="1">
      <alignment horizontal="left"/>
    </xf>
    <xf numFmtId="0" fontId="0" fillId="13" borderId="6" xfId="0" applyFill="1" applyBorder="1" applyAlignment="1">
      <alignment horizontal="left"/>
    </xf>
    <xf numFmtId="0" fontId="0" fillId="14" borderId="4" xfId="0" applyFill="1" applyBorder="1" applyAlignment="1">
      <alignment horizontal="center"/>
    </xf>
    <xf numFmtId="0" fontId="0" fillId="14" borderId="5" xfId="0" applyFill="1" applyBorder="1" applyAlignment="1">
      <alignment horizontal="center"/>
    </xf>
    <xf numFmtId="0" fontId="0" fillId="14" borderId="6" xfId="0" applyFill="1" applyBorder="1" applyAlignment="1">
      <alignment horizontal="center"/>
    </xf>
    <xf numFmtId="0" fontId="2" fillId="13" borderId="13" xfId="0" applyFont="1" applyFill="1" applyBorder="1" applyAlignment="1">
      <alignment horizontal="center" vertical="center"/>
    </xf>
    <xf numFmtId="0" fontId="2" fillId="13" borderId="14" xfId="0" applyFont="1" applyFill="1" applyBorder="1" applyAlignment="1">
      <alignment horizontal="center" vertical="center"/>
    </xf>
    <xf numFmtId="0" fontId="2" fillId="13" borderId="12" xfId="0" applyFont="1" applyFill="1" applyBorder="1" applyAlignment="1">
      <alignment horizontal="center" vertical="center"/>
    </xf>
    <xf numFmtId="0" fontId="2" fillId="13" borderId="15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left"/>
    </xf>
  </cellXfs>
  <cellStyles count="1">
    <cellStyle name="Normal" xfId="0" builtinId="0"/>
  </cellStyles>
  <dxfs count="5">
    <dxf>
      <numFmt numFmtId="0" formatCode="General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Linear Regression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'Linear Regression'!$A$2:$A$366</c:f>
              <c:numCache>
                <c:formatCode>General</c:formatCode>
                <c:ptCount val="365"/>
                <c:pt idx="0">
                  <c:v>39</c:v>
                </c:pt>
                <c:pt idx="1">
                  <c:v>40</c:v>
                </c:pt>
                <c:pt idx="2">
                  <c:v>41</c:v>
                </c:pt>
                <c:pt idx="3">
                  <c:v>42</c:v>
                </c:pt>
                <c:pt idx="4">
                  <c:v>43</c:v>
                </c:pt>
                <c:pt idx="5">
                  <c:v>43</c:v>
                </c:pt>
                <c:pt idx="6">
                  <c:v>44</c:v>
                </c:pt>
                <c:pt idx="7">
                  <c:v>44</c:v>
                </c:pt>
                <c:pt idx="8">
                  <c:v>45</c:v>
                </c:pt>
                <c:pt idx="9">
                  <c:v>45</c:v>
                </c:pt>
                <c:pt idx="10">
                  <c:v>45</c:v>
                </c:pt>
                <c:pt idx="11">
                  <c:v>46</c:v>
                </c:pt>
                <c:pt idx="12">
                  <c:v>46</c:v>
                </c:pt>
                <c:pt idx="13">
                  <c:v>47</c:v>
                </c:pt>
                <c:pt idx="14">
                  <c:v>48</c:v>
                </c:pt>
                <c:pt idx="15">
                  <c:v>48</c:v>
                </c:pt>
                <c:pt idx="16">
                  <c:v>48</c:v>
                </c:pt>
                <c:pt idx="17">
                  <c:v>48</c:v>
                </c:pt>
                <c:pt idx="18">
                  <c:v>48</c:v>
                </c:pt>
                <c:pt idx="19">
                  <c:v>48</c:v>
                </c:pt>
                <c:pt idx="20">
                  <c:v>49</c:v>
                </c:pt>
                <c:pt idx="21">
                  <c:v>49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51</c:v>
                </c:pt>
                <c:pt idx="28">
                  <c:v>51</c:v>
                </c:pt>
                <c:pt idx="29">
                  <c:v>52</c:v>
                </c:pt>
                <c:pt idx="30">
                  <c:v>52</c:v>
                </c:pt>
                <c:pt idx="31">
                  <c:v>52</c:v>
                </c:pt>
                <c:pt idx="32">
                  <c:v>52</c:v>
                </c:pt>
                <c:pt idx="33">
                  <c:v>52</c:v>
                </c:pt>
                <c:pt idx="34">
                  <c:v>53</c:v>
                </c:pt>
                <c:pt idx="35">
                  <c:v>53</c:v>
                </c:pt>
                <c:pt idx="36">
                  <c:v>53</c:v>
                </c:pt>
                <c:pt idx="37">
                  <c:v>53</c:v>
                </c:pt>
                <c:pt idx="38">
                  <c:v>54</c:v>
                </c:pt>
                <c:pt idx="39">
                  <c:v>54</c:v>
                </c:pt>
                <c:pt idx="40">
                  <c:v>54</c:v>
                </c:pt>
                <c:pt idx="41">
                  <c:v>54</c:v>
                </c:pt>
                <c:pt idx="42">
                  <c:v>54</c:v>
                </c:pt>
                <c:pt idx="43">
                  <c:v>54</c:v>
                </c:pt>
                <c:pt idx="44">
                  <c:v>54</c:v>
                </c:pt>
                <c:pt idx="45">
                  <c:v>54</c:v>
                </c:pt>
                <c:pt idx="46">
                  <c:v>54</c:v>
                </c:pt>
                <c:pt idx="47">
                  <c:v>55</c:v>
                </c:pt>
                <c:pt idx="48">
                  <c:v>55</c:v>
                </c:pt>
                <c:pt idx="49">
                  <c:v>55</c:v>
                </c:pt>
                <c:pt idx="50">
                  <c:v>55</c:v>
                </c:pt>
                <c:pt idx="51">
                  <c:v>56</c:v>
                </c:pt>
                <c:pt idx="52">
                  <c:v>56</c:v>
                </c:pt>
                <c:pt idx="53">
                  <c:v>57</c:v>
                </c:pt>
                <c:pt idx="54">
                  <c:v>57</c:v>
                </c:pt>
                <c:pt idx="55">
                  <c:v>58</c:v>
                </c:pt>
                <c:pt idx="56">
                  <c:v>58</c:v>
                </c:pt>
                <c:pt idx="57">
                  <c:v>58</c:v>
                </c:pt>
                <c:pt idx="58">
                  <c:v>58</c:v>
                </c:pt>
                <c:pt idx="59">
                  <c:v>58</c:v>
                </c:pt>
                <c:pt idx="60">
                  <c:v>58</c:v>
                </c:pt>
                <c:pt idx="61">
                  <c:v>59</c:v>
                </c:pt>
                <c:pt idx="62">
                  <c:v>59</c:v>
                </c:pt>
                <c:pt idx="63">
                  <c:v>59</c:v>
                </c:pt>
                <c:pt idx="64">
                  <c:v>59</c:v>
                </c:pt>
                <c:pt idx="65">
                  <c:v>59</c:v>
                </c:pt>
                <c:pt idx="66">
                  <c:v>59</c:v>
                </c:pt>
                <c:pt idx="67">
                  <c:v>59</c:v>
                </c:pt>
                <c:pt idx="68">
                  <c:v>59</c:v>
                </c:pt>
                <c:pt idx="69">
                  <c:v>60</c:v>
                </c:pt>
                <c:pt idx="70">
                  <c:v>60</c:v>
                </c:pt>
                <c:pt idx="71">
                  <c:v>60</c:v>
                </c:pt>
                <c:pt idx="72">
                  <c:v>60</c:v>
                </c:pt>
                <c:pt idx="73">
                  <c:v>60</c:v>
                </c:pt>
                <c:pt idx="74">
                  <c:v>61</c:v>
                </c:pt>
                <c:pt idx="75">
                  <c:v>61</c:v>
                </c:pt>
                <c:pt idx="76">
                  <c:v>61</c:v>
                </c:pt>
                <c:pt idx="77">
                  <c:v>61</c:v>
                </c:pt>
                <c:pt idx="78">
                  <c:v>61</c:v>
                </c:pt>
                <c:pt idx="79">
                  <c:v>61</c:v>
                </c:pt>
                <c:pt idx="80">
                  <c:v>61</c:v>
                </c:pt>
                <c:pt idx="81">
                  <c:v>61</c:v>
                </c:pt>
                <c:pt idx="82">
                  <c:v>61</c:v>
                </c:pt>
                <c:pt idx="83">
                  <c:v>62</c:v>
                </c:pt>
                <c:pt idx="84">
                  <c:v>62</c:v>
                </c:pt>
                <c:pt idx="85">
                  <c:v>62</c:v>
                </c:pt>
                <c:pt idx="86">
                  <c:v>62</c:v>
                </c:pt>
                <c:pt idx="87">
                  <c:v>63</c:v>
                </c:pt>
                <c:pt idx="88">
                  <c:v>63</c:v>
                </c:pt>
                <c:pt idx="89">
                  <c:v>63</c:v>
                </c:pt>
                <c:pt idx="90">
                  <c:v>63</c:v>
                </c:pt>
                <c:pt idx="91">
                  <c:v>63</c:v>
                </c:pt>
                <c:pt idx="92">
                  <c:v>64</c:v>
                </c:pt>
                <c:pt idx="93">
                  <c:v>64</c:v>
                </c:pt>
                <c:pt idx="94">
                  <c:v>64</c:v>
                </c:pt>
                <c:pt idx="95">
                  <c:v>64</c:v>
                </c:pt>
                <c:pt idx="96">
                  <c:v>64</c:v>
                </c:pt>
                <c:pt idx="97">
                  <c:v>64</c:v>
                </c:pt>
                <c:pt idx="98">
                  <c:v>64</c:v>
                </c:pt>
                <c:pt idx="99">
                  <c:v>64</c:v>
                </c:pt>
                <c:pt idx="100">
                  <c:v>64</c:v>
                </c:pt>
                <c:pt idx="101">
                  <c:v>65</c:v>
                </c:pt>
                <c:pt idx="102">
                  <c:v>65</c:v>
                </c:pt>
                <c:pt idx="103">
                  <c:v>65</c:v>
                </c:pt>
                <c:pt idx="104">
                  <c:v>65</c:v>
                </c:pt>
                <c:pt idx="105">
                  <c:v>65</c:v>
                </c:pt>
                <c:pt idx="106">
                  <c:v>65</c:v>
                </c:pt>
                <c:pt idx="107">
                  <c:v>65</c:v>
                </c:pt>
                <c:pt idx="108">
                  <c:v>65</c:v>
                </c:pt>
                <c:pt idx="109">
                  <c:v>65</c:v>
                </c:pt>
                <c:pt idx="110">
                  <c:v>66</c:v>
                </c:pt>
                <c:pt idx="111">
                  <c:v>66</c:v>
                </c:pt>
                <c:pt idx="112">
                  <c:v>66</c:v>
                </c:pt>
                <c:pt idx="113">
                  <c:v>66</c:v>
                </c:pt>
                <c:pt idx="114">
                  <c:v>66</c:v>
                </c:pt>
                <c:pt idx="115">
                  <c:v>66</c:v>
                </c:pt>
                <c:pt idx="116">
                  <c:v>66</c:v>
                </c:pt>
                <c:pt idx="117">
                  <c:v>66</c:v>
                </c:pt>
                <c:pt idx="118">
                  <c:v>66</c:v>
                </c:pt>
                <c:pt idx="119">
                  <c:v>66</c:v>
                </c:pt>
                <c:pt idx="120">
                  <c:v>66</c:v>
                </c:pt>
                <c:pt idx="121">
                  <c:v>66</c:v>
                </c:pt>
                <c:pt idx="122">
                  <c:v>66</c:v>
                </c:pt>
                <c:pt idx="123">
                  <c:v>66</c:v>
                </c:pt>
                <c:pt idx="124">
                  <c:v>67</c:v>
                </c:pt>
                <c:pt idx="125">
                  <c:v>67</c:v>
                </c:pt>
                <c:pt idx="126">
                  <c:v>67</c:v>
                </c:pt>
                <c:pt idx="127">
                  <c:v>67</c:v>
                </c:pt>
                <c:pt idx="128">
                  <c:v>67</c:v>
                </c:pt>
                <c:pt idx="129">
                  <c:v>67</c:v>
                </c:pt>
                <c:pt idx="130">
                  <c:v>68</c:v>
                </c:pt>
                <c:pt idx="131">
                  <c:v>68</c:v>
                </c:pt>
                <c:pt idx="132">
                  <c:v>68</c:v>
                </c:pt>
                <c:pt idx="133">
                  <c:v>68</c:v>
                </c:pt>
                <c:pt idx="134">
                  <c:v>68</c:v>
                </c:pt>
                <c:pt idx="135">
                  <c:v>68</c:v>
                </c:pt>
                <c:pt idx="136">
                  <c:v>68</c:v>
                </c:pt>
                <c:pt idx="137">
                  <c:v>68</c:v>
                </c:pt>
                <c:pt idx="138">
                  <c:v>68</c:v>
                </c:pt>
                <c:pt idx="139">
                  <c:v>68</c:v>
                </c:pt>
                <c:pt idx="140">
                  <c:v>68</c:v>
                </c:pt>
                <c:pt idx="141">
                  <c:v>68</c:v>
                </c:pt>
                <c:pt idx="142">
                  <c:v>69</c:v>
                </c:pt>
                <c:pt idx="143">
                  <c:v>69</c:v>
                </c:pt>
                <c:pt idx="144">
                  <c:v>69</c:v>
                </c:pt>
                <c:pt idx="145">
                  <c:v>69</c:v>
                </c:pt>
                <c:pt idx="146">
                  <c:v>69</c:v>
                </c:pt>
                <c:pt idx="147">
                  <c:v>69</c:v>
                </c:pt>
                <c:pt idx="148">
                  <c:v>70</c:v>
                </c:pt>
                <c:pt idx="149">
                  <c:v>70</c:v>
                </c:pt>
                <c:pt idx="150">
                  <c:v>70</c:v>
                </c:pt>
                <c:pt idx="151">
                  <c:v>70</c:v>
                </c:pt>
                <c:pt idx="152">
                  <c:v>70</c:v>
                </c:pt>
                <c:pt idx="153">
                  <c:v>70</c:v>
                </c:pt>
                <c:pt idx="154">
                  <c:v>70</c:v>
                </c:pt>
                <c:pt idx="155">
                  <c:v>70</c:v>
                </c:pt>
                <c:pt idx="156">
                  <c:v>70</c:v>
                </c:pt>
                <c:pt idx="157">
                  <c:v>71</c:v>
                </c:pt>
                <c:pt idx="158">
                  <c:v>71</c:v>
                </c:pt>
                <c:pt idx="159">
                  <c:v>71</c:v>
                </c:pt>
                <c:pt idx="160">
                  <c:v>71</c:v>
                </c:pt>
                <c:pt idx="161">
                  <c:v>71</c:v>
                </c:pt>
                <c:pt idx="162">
                  <c:v>71</c:v>
                </c:pt>
                <c:pt idx="163">
                  <c:v>71</c:v>
                </c:pt>
                <c:pt idx="164">
                  <c:v>71</c:v>
                </c:pt>
                <c:pt idx="165">
                  <c:v>71</c:v>
                </c:pt>
                <c:pt idx="166">
                  <c:v>72</c:v>
                </c:pt>
                <c:pt idx="167">
                  <c:v>72</c:v>
                </c:pt>
                <c:pt idx="168">
                  <c:v>72</c:v>
                </c:pt>
                <c:pt idx="169">
                  <c:v>72</c:v>
                </c:pt>
                <c:pt idx="170">
                  <c:v>72</c:v>
                </c:pt>
                <c:pt idx="171">
                  <c:v>72</c:v>
                </c:pt>
                <c:pt idx="172">
                  <c:v>72</c:v>
                </c:pt>
                <c:pt idx="173">
                  <c:v>72</c:v>
                </c:pt>
                <c:pt idx="174">
                  <c:v>72</c:v>
                </c:pt>
                <c:pt idx="175">
                  <c:v>72</c:v>
                </c:pt>
                <c:pt idx="176">
                  <c:v>73</c:v>
                </c:pt>
                <c:pt idx="177">
                  <c:v>73</c:v>
                </c:pt>
                <c:pt idx="178">
                  <c:v>73</c:v>
                </c:pt>
                <c:pt idx="179">
                  <c:v>73</c:v>
                </c:pt>
                <c:pt idx="180">
                  <c:v>73</c:v>
                </c:pt>
                <c:pt idx="181">
                  <c:v>73</c:v>
                </c:pt>
                <c:pt idx="182">
                  <c:v>73</c:v>
                </c:pt>
                <c:pt idx="183">
                  <c:v>73</c:v>
                </c:pt>
                <c:pt idx="184">
                  <c:v>73</c:v>
                </c:pt>
                <c:pt idx="185">
                  <c:v>74</c:v>
                </c:pt>
                <c:pt idx="186">
                  <c:v>74</c:v>
                </c:pt>
                <c:pt idx="187">
                  <c:v>74</c:v>
                </c:pt>
                <c:pt idx="188">
                  <c:v>74</c:v>
                </c:pt>
                <c:pt idx="189">
                  <c:v>74</c:v>
                </c:pt>
                <c:pt idx="190">
                  <c:v>74</c:v>
                </c:pt>
                <c:pt idx="191">
                  <c:v>74</c:v>
                </c:pt>
                <c:pt idx="192">
                  <c:v>74</c:v>
                </c:pt>
                <c:pt idx="193">
                  <c:v>74</c:v>
                </c:pt>
                <c:pt idx="194">
                  <c:v>74</c:v>
                </c:pt>
                <c:pt idx="195">
                  <c:v>74</c:v>
                </c:pt>
                <c:pt idx="196">
                  <c:v>74</c:v>
                </c:pt>
                <c:pt idx="197">
                  <c:v>75</c:v>
                </c:pt>
                <c:pt idx="198">
                  <c:v>75</c:v>
                </c:pt>
                <c:pt idx="199">
                  <c:v>75</c:v>
                </c:pt>
                <c:pt idx="200">
                  <c:v>75</c:v>
                </c:pt>
                <c:pt idx="201">
                  <c:v>75</c:v>
                </c:pt>
                <c:pt idx="202">
                  <c:v>75</c:v>
                </c:pt>
                <c:pt idx="203">
                  <c:v>76</c:v>
                </c:pt>
                <c:pt idx="204">
                  <c:v>76</c:v>
                </c:pt>
                <c:pt idx="205">
                  <c:v>76</c:v>
                </c:pt>
                <c:pt idx="206">
                  <c:v>76</c:v>
                </c:pt>
                <c:pt idx="207">
                  <c:v>76</c:v>
                </c:pt>
                <c:pt idx="208">
                  <c:v>76</c:v>
                </c:pt>
                <c:pt idx="209">
                  <c:v>76</c:v>
                </c:pt>
                <c:pt idx="210">
                  <c:v>76</c:v>
                </c:pt>
                <c:pt idx="211">
                  <c:v>76</c:v>
                </c:pt>
                <c:pt idx="212">
                  <c:v>76</c:v>
                </c:pt>
                <c:pt idx="213">
                  <c:v>76</c:v>
                </c:pt>
                <c:pt idx="214">
                  <c:v>77</c:v>
                </c:pt>
                <c:pt idx="215">
                  <c:v>77</c:v>
                </c:pt>
                <c:pt idx="216">
                  <c:v>77</c:v>
                </c:pt>
                <c:pt idx="217">
                  <c:v>77</c:v>
                </c:pt>
                <c:pt idx="218">
                  <c:v>77</c:v>
                </c:pt>
                <c:pt idx="219">
                  <c:v>77</c:v>
                </c:pt>
                <c:pt idx="220">
                  <c:v>77</c:v>
                </c:pt>
                <c:pt idx="221">
                  <c:v>77</c:v>
                </c:pt>
                <c:pt idx="222">
                  <c:v>77</c:v>
                </c:pt>
                <c:pt idx="223">
                  <c:v>77</c:v>
                </c:pt>
                <c:pt idx="224">
                  <c:v>77</c:v>
                </c:pt>
                <c:pt idx="225">
                  <c:v>77</c:v>
                </c:pt>
                <c:pt idx="226">
                  <c:v>77</c:v>
                </c:pt>
                <c:pt idx="227">
                  <c:v>77</c:v>
                </c:pt>
                <c:pt idx="228">
                  <c:v>77</c:v>
                </c:pt>
                <c:pt idx="229">
                  <c:v>78</c:v>
                </c:pt>
                <c:pt idx="230">
                  <c:v>78</c:v>
                </c:pt>
                <c:pt idx="231">
                  <c:v>78</c:v>
                </c:pt>
                <c:pt idx="232">
                  <c:v>78</c:v>
                </c:pt>
                <c:pt idx="233">
                  <c:v>78</c:v>
                </c:pt>
                <c:pt idx="234">
                  <c:v>78</c:v>
                </c:pt>
                <c:pt idx="235">
                  <c:v>78</c:v>
                </c:pt>
                <c:pt idx="236">
                  <c:v>78</c:v>
                </c:pt>
                <c:pt idx="237">
                  <c:v>78</c:v>
                </c:pt>
                <c:pt idx="238">
                  <c:v>78</c:v>
                </c:pt>
                <c:pt idx="239">
                  <c:v>78</c:v>
                </c:pt>
                <c:pt idx="240">
                  <c:v>78</c:v>
                </c:pt>
                <c:pt idx="241">
                  <c:v>79</c:v>
                </c:pt>
                <c:pt idx="242">
                  <c:v>79</c:v>
                </c:pt>
                <c:pt idx="243">
                  <c:v>79</c:v>
                </c:pt>
                <c:pt idx="244">
                  <c:v>79</c:v>
                </c:pt>
                <c:pt idx="245">
                  <c:v>79</c:v>
                </c:pt>
                <c:pt idx="246">
                  <c:v>79</c:v>
                </c:pt>
                <c:pt idx="247">
                  <c:v>79</c:v>
                </c:pt>
                <c:pt idx="248">
                  <c:v>79</c:v>
                </c:pt>
                <c:pt idx="249">
                  <c:v>79</c:v>
                </c:pt>
                <c:pt idx="250">
                  <c:v>79</c:v>
                </c:pt>
                <c:pt idx="251">
                  <c:v>79</c:v>
                </c:pt>
                <c:pt idx="252">
                  <c:v>79</c:v>
                </c:pt>
                <c:pt idx="253">
                  <c:v>80</c:v>
                </c:pt>
                <c:pt idx="254">
                  <c:v>80</c:v>
                </c:pt>
                <c:pt idx="255">
                  <c:v>80</c:v>
                </c:pt>
                <c:pt idx="256">
                  <c:v>80</c:v>
                </c:pt>
                <c:pt idx="257">
                  <c:v>80</c:v>
                </c:pt>
                <c:pt idx="258">
                  <c:v>80</c:v>
                </c:pt>
                <c:pt idx="259">
                  <c:v>80</c:v>
                </c:pt>
                <c:pt idx="260">
                  <c:v>80</c:v>
                </c:pt>
                <c:pt idx="261">
                  <c:v>80</c:v>
                </c:pt>
                <c:pt idx="262">
                  <c:v>81</c:v>
                </c:pt>
                <c:pt idx="263">
                  <c:v>81</c:v>
                </c:pt>
                <c:pt idx="264">
                  <c:v>81</c:v>
                </c:pt>
                <c:pt idx="265">
                  <c:v>81</c:v>
                </c:pt>
                <c:pt idx="266">
                  <c:v>81</c:v>
                </c:pt>
                <c:pt idx="267">
                  <c:v>81</c:v>
                </c:pt>
                <c:pt idx="268">
                  <c:v>81</c:v>
                </c:pt>
                <c:pt idx="269">
                  <c:v>81</c:v>
                </c:pt>
                <c:pt idx="270">
                  <c:v>81</c:v>
                </c:pt>
                <c:pt idx="271">
                  <c:v>82</c:v>
                </c:pt>
                <c:pt idx="272">
                  <c:v>82</c:v>
                </c:pt>
                <c:pt idx="273">
                  <c:v>82</c:v>
                </c:pt>
                <c:pt idx="274">
                  <c:v>82</c:v>
                </c:pt>
                <c:pt idx="275">
                  <c:v>82</c:v>
                </c:pt>
                <c:pt idx="276">
                  <c:v>82</c:v>
                </c:pt>
                <c:pt idx="277">
                  <c:v>82</c:v>
                </c:pt>
                <c:pt idx="278">
                  <c:v>82</c:v>
                </c:pt>
                <c:pt idx="279">
                  <c:v>82</c:v>
                </c:pt>
                <c:pt idx="280">
                  <c:v>82</c:v>
                </c:pt>
                <c:pt idx="281">
                  <c:v>82</c:v>
                </c:pt>
                <c:pt idx="282">
                  <c:v>83</c:v>
                </c:pt>
                <c:pt idx="283">
                  <c:v>83</c:v>
                </c:pt>
                <c:pt idx="284">
                  <c:v>83</c:v>
                </c:pt>
                <c:pt idx="285">
                  <c:v>83</c:v>
                </c:pt>
                <c:pt idx="286">
                  <c:v>83</c:v>
                </c:pt>
                <c:pt idx="287">
                  <c:v>83</c:v>
                </c:pt>
                <c:pt idx="288">
                  <c:v>84</c:v>
                </c:pt>
                <c:pt idx="289">
                  <c:v>84</c:v>
                </c:pt>
                <c:pt idx="290">
                  <c:v>84</c:v>
                </c:pt>
                <c:pt idx="291">
                  <c:v>84</c:v>
                </c:pt>
                <c:pt idx="292">
                  <c:v>84</c:v>
                </c:pt>
                <c:pt idx="293">
                  <c:v>84</c:v>
                </c:pt>
                <c:pt idx="294">
                  <c:v>84</c:v>
                </c:pt>
                <c:pt idx="295">
                  <c:v>84</c:v>
                </c:pt>
                <c:pt idx="296">
                  <c:v>84</c:v>
                </c:pt>
                <c:pt idx="297">
                  <c:v>84</c:v>
                </c:pt>
                <c:pt idx="298">
                  <c:v>84</c:v>
                </c:pt>
                <c:pt idx="299">
                  <c:v>84</c:v>
                </c:pt>
                <c:pt idx="300">
                  <c:v>84</c:v>
                </c:pt>
                <c:pt idx="301">
                  <c:v>85</c:v>
                </c:pt>
                <c:pt idx="302">
                  <c:v>85</c:v>
                </c:pt>
                <c:pt idx="303">
                  <c:v>85</c:v>
                </c:pt>
                <c:pt idx="304">
                  <c:v>85</c:v>
                </c:pt>
                <c:pt idx="305">
                  <c:v>85</c:v>
                </c:pt>
                <c:pt idx="306">
                  <c:v>85</c:v>
                </c:pt>
                <c:pt idx="307">
                  <c:v>85</c:v>
                </c:pt>
                <c:pt idx="308">
                  <c:v>85</c:v>
                </c:pt>
                <c:pt idx="309">
                  <c:v>85</c:v>
                </c:pt>
                <c:pt idx="310">
                  <c:v>85</c:v>
                </c:pt>
                <c:pt idx="311">
                  <c:v>85</c:v>
                </c:pt>
                <c:pt idx="312">
                  <c:v>86</c:v>
                </c:pt>
                <c:pt idx="313">
                  <c:v>86</c:v>
                </c:pt>
                <c:pt idx="314">
                  <c:v>86</c:v>
                </c:pt>
                <c:pt idx="315">
                  <c:v>86</c:v>
                </c:pt>
                <c:pt idx="316">
                  <c:v>86</c:v>
                </c:pt>
                <c:pt idx="317">
                  <c:v>86</c:v>
                </c:pt>
                <c:pt idx="318">
                  <c:v>86</c:v>
                </c:pt>
                <c:pt idx="319">
                  <c:v>86</c:v>
                </c:pt>
                <c:pt idx="320">
                  <c:v>87</c:v>
                </c:pt>
                <c:pt idx="321">
                  <c:v>87</c:v>
                </c:pt>
                <c:pt idx="322">
                  <c:v>87</c:v>
                </c:pt>
                <c:pt idx="323">
                  <c:v>87</c:v>
                </c:pt>
                <c:pt idx="324">
                  <c:v>87</c:v>
                </c:pt>
                <c:pt idx="325">
                  <c:v>87</c:v>
                </c:pt>
                <c:pt idx="326">
                  <c:v>88</c:v>
                </c:pt>
                <c:pt idx="327">
                  <c:v>88</c:v>
                </c:pt>
                <c:pt idx="328">
                  <c:v>88</c:v>
                </c:pt>
                <c:pt idx="329">
                  <c:v>89</c:v>
                </c:pt>
                <c:pt idx="330">
                  <c:v>89</c:v>
                </c:pt>
                <c:pt idx="331">
                  <c:v>89</c:v>
                </c:pt>
                <c:pt idx="332">
                  <c:v>89</c:v>
                </c:pt>
                <c:pt idx="333">
                  <c:v>90</c:v>
                </c:pt>
                <c:pt idx="334">
                  <c:v>90</c:v>
                </c:pt>
                <c:pt idx="335">
                  <c:v>90</c:v>
                </c:pt>
                <c:pt idx="336">
                  <c:v>90</c:v>
                </c:pt>
                <c:pt idx="337">
                  <c:v>90</c:v>
                </c:pt>
                <c:pt idx="338">
                  <c:v>90</c:v>
                </c:pt>
                <c:pt idx="339">
                  <c:v>90</c:v>
                </c:pt>
                <c:pt idx="340">
                  <c:v>91</c:v>
                </c:pt>
                <c:pt idx="341">
                  <c:v>91</c:v>
                </c:pt>
                <c:pt idx="342">
                  <c:v>91</c:v>
                </c:pt>
                <c:pt idx="343">
                  <c:v>92</c:v>
                </c:pt>
                <c:pt idx="344">
                  <c:v>92</c:v>
                </c:pt>
                <c:pt idx="345">
                  <c:v>92</c:v>
                </c:pt>
                <c:pt idx="346">
                  <c:v>92</c:v>
                </c:pt>
                <c:pt idx="347">
                  <c:v>93</c:v>
                </c:pt>
                <c:pt idx="348">
                  <c:v>93</c:v>
                </c:pt>
                <c:pt idx="349">
                  <c:v>94</c:v>
                </c:pt>
                <c:pt idx="350">
                  <c:v>94</c:v>
                </c:pt>
                <c:pt idx="351">
                  <c:v>95</c:v>
                </c:pt>
                <c:pt idx="352">
                  <c:v>95</c:v>
                </c:pt>
                <c:pt idx="353">
                  <c:v>95</c:v>
                </c:pt>
                <c:pt idx="354">
                  <c:v>95</c:v>
                </c:pt>
                <c:pt idx="355">
                  <c:v>96</c:v>
                </c:pt>
                <c:pt idx="356">
                  <c:v>96</c:v>
                </c:pt>
                <c:pt idx="357">
                  <c:v>96</c:v>
                </c:pt>
                <c:pt idx="358">
                  <c:v>97</c:v>
                </c:pt>
                <c:pt idx="359">
                  <c:v>98</c:v>
                </c:pt>
                <c:pt idx="360">
                  <c:v>99</c:v>
                </c:pt>
                <c:pt idx="361">
                  <c:v>99</c:v>
                </c:pt>
                <c:pt idx="362">
                  <c:v>99</c:v>
                </c:pt>
                <c:pt idx="363">
                  <c:v>101</c:v>
                </c:pt>
                <c:pt idx="364">
                  <c:v>101</c:v>
                </c:pt>
              </c:numCache>
            </c:numRef>
          </c:xVal>
          <c:yVal>
            <c:numRef>
              <c:f>'Linear Regression'!$B$2:$B$366</c:f>
              <c:numCache>
                <c:formatCode>General</c:formatCode>
                <c:ptCount val="365"/>
                <c:pt idx="0">
                  <c:v>1317</c:v>
                </c:pt>
                <c:pt idx="1">
                  <c:v>1188</c:v>
                </c:pt>
                <c:pt idx="2">
                  <c:v>1882</c:v>
                </c:pt>
                <c:pt idx="3">
                  <c:v>1865</c:v>
                </c:pt>
                <c:pt idx="4">
                  <c:v>1702</c:v>
                </c:pt>
                <c:pt idx="5">
                  <c:v>1588</c:v>
                </c:pt>
                <c:pt idx="6">
                  <c:v>1907</c:v>
                </c:pt>
                <c:pt idx="7">
                  <c:v>1957</c:v>
                </c:pt>
                <c:pt idx="8">
                  <c:v>2162</c:v>
                </c:pt>
                <c:pt idx="9">
                  <c:v>2234</c:v>
                </c:pt>
                <c:pt idx="10">
                  <c:v>1923</c:v>
                </c:pt>
                <c:pt idx="11">
                  <c:v>2125</c:v>
                </c:pt>
                <c:pt idx="12">
                  <c:v>1981</c:v>
                </c:pt>
                <c:pt idx="13">
                  <c:v>2212</c:v>
                </c:pt>
                <c:pt idx="14">
                  <c:v>2422</c:v>
                </c:pt>
                <c:pt idx="15">
                  <c:v>2468</c:v>
                </c:pt>
                <c:pt idx="16">
                  <c:v>2378</c:v>
                </c:pt>
                <c:pt idx="17">
                  <c:v>2641</c:v>
                </c:pt>
                <c:pt idx="18">
                  <c:v>2501</c:v>
                </c:pt>
                <c:pt idx="19">
                  <c:v>2229</c:v>
                </c:pt>
                <c:pt idx="20">
                  <c:v>2781</c:v>
                </c:pt>
                <c:pt idx="21">
                  <c:v>2354</c:v>
                </c:pt>
                <c:pt idx="22">
                  <c:v>2289</c:v>
                </c:pt>
                <c:pt idx="23">
                  <c:v>2568</c:v>
                </c:pt>
                <c:pt idx="24">
                  <c:v>2729</c:v>
                </c:pt>
                <c:pt idx="25">
                  <c:v>2764</c:v>
                </c:pt>
                <c:pt idx="26">
                  <c:v>2731</c:v>
                </c:pt>
                <c:pt idx="27">
                  <c:v>2193</c:v>
                </c:pt>
                <c:pt idx="28">
                  <c:v>3218</c:v>
                </c:pt>
                <c:pt idx="29">
                  <c:v>3067</c:v>
                </c:pt>
                <c:pt idx="30">
                  <c:v>2805</c:v>
                </c:pt>
                <c:pt idx="31">
                  <c:v>2882</c:v>
                </c:pt>
                <c:pt idx="32">
                  <c:v>2787</c:v>
                </c:pt>
                <c:pt idx="33">
                  <c:v>2939</c:v>
                </c:pt>
                <c:pt idx="34">
                  <c:v>3260</c:v>
                </c:pt>
                <c:pt idx="35">
                  <c:v>3162</c:v>
                </c:pt>
                <c:pt idx="36">
                  <c:v>2571</c:v>
                </c:pt>
                <c:pt idx="37">
                  <c:v>2848</c:v>
                </c:pt>
                <c:pt idx="38">
                  <c:v>3009</c:v>
                </c:pt>
                <c:pt idx="39">
                  <c:v>3358</c:v>
                </c:pt>
                <c:pt idx="40">
                  <c:v>2975</c:v>
                </c:pt>
                <c:pt idx="41">
                  <c:v>3194</c:v>
                </c:pt>
                <c:pt idx="42">
                  <c:v>3371</c:v>
                </c:pt>
                <c:pt idx="43">
                  <c:v>2837</c:v>
                </c:pt>
                <c:pt idx="44">
                  <c:v>2741</c:v>
                </c:pt>
                <c:pt idx="45">
                  <c:v>2799</c:v>
                </c:pt>
                <c:pt idx="46">
                  <c:v>3037</c:v>
                </c:pt>
                <c:pt idx="47">
                  <c:v>2768</c:v>
                </c:pt>
                <c:pt idx="48">
                  <c:v>2953</c:v>
                </c:pt>
                <c:pt idx="49">
                  <c:v>3391</c:v>
                </c:pt>
                <c:pt idx="50">
                  <c:v>3419</c:v>
                </c:pt>
                <c:pt idx="51">
                  <c:v>3322</c:v>
                </c:pt>
                <c:pt idx="52">
                  <c:v>3447</c:v>
                </c:pt>
                <c:pt idx="53">
                  <c:v>3089</c:v>
                </c:pt>
                <c:pt idx="54">
                  <c:v>3580</c:v>
                </c:pt>
                <c:pt idx="55">
                  <c:v>3344</c:v>
                </c:pt>
                <c:pt idx="56">
                  <c:v>3679</c:v>
                </c:pt>
                <c:pt idx="57">
                  <c:v>3156</c:v>
                </c:pt>
                <c:pt idx="58">
                  <c:v>3513</c:v>
                </c:pt>
                <c:pt idx="59">
                  <c:v>3611</c:v>
                </c:pt>
                <c:pt idx="60">
                  <c:v>3239</c:v>
                </c:pt>
                <c:pt idx="61">
                  <c:v>3818</c:v>
                </c:pt>
                <c:pt idx="62">
                  <c:v>2969</c:v>
                </c:pt>
                <c:pt idx="63">
                  <c:v>3847</c:v>
                </c:pt>
                <c:pt idx="64">
                  <c:v>3774</c:v>
                </c:pt>
                <c:pt idx="65">
                  <c:v>3671</c:v>
                </c:pt>
                <c:pt idx="66">
                  <c:v>3229</c:v>
                </c:pt>
                <c:pt idx="67">
                  <c:v>3750</c:v>
                </c:pt>
                <c:pt idx="68">
                  <c:v>3533</c:v>
                </c:pt>
                <c:pt idx="69">
                  <c:v>3506</c:v>
                </c:pt>
                <c:pt idx="70">
                  <c:v>3625</c:v>
                </c:pt>
                <c:pt idx="71">
                  <c:v>4025</c:v>
                </c:pt>
                <c:pt idx="72">
                  <c:v>3969</c:v>
                </c:pt>
                <c:pt idx="73">
                  <c:v>4095</c:v>
                </c:pt>
                <c:pt idx="74">
                  <c:v>3796</c:v>
                </c:pt>
                <c:pt idx="75">
                  <c:v>3810</c:v>
                </c:pt>
                <c:pt idx="76">
                  <c:v>3821</c:v>
                </c:pt>
                <c:pt idx="77">
                  <c:v>3730</c:v>
                </c:pt>
                <c:pt idx="78">
                  <c:v>3953</c:v>
                </c:pt>
                <c:pt idx="79">
                  <c:v>3742</c:v>
                </c:pt>
                <c:pt idx="80">
                  <c:v>3942</c:v>
                </c:pt>
                <c:pt idx="81">
                  <c:v>3816</c:v>
                </c:pt>
                <c:pt idx="82">
                  <c:v>3766</c:v>
                </c:pt>
                <c:pt idx="83">
                  <c:v>3904</c:v>
                </c:pt>
                <c:pt idx="84">
                  <c:v>4144</c:v>
                </c:pt>
                <c:pt idx="85">
                  <c:v>4019</c:v>
                </c:pt>
                <c:pt idx="86">
                  <c:v>3793</c:v>
                </c:pt>
                <c:pt idx="87">
                  <c:v>5017</c:v>
                </c:pt>
                <c:pt idx="88">
                  <c:v>4415</c:v>
                </c:pt>
                <c:pt idx="89">
                  <c:v>4158</c:v>
                </c:pt>
                <c:pt idx="90">
                  <c:v>4059</c:v>
                </c:pt>
                <c:pt idx="91">
                  <c:v>3917</c:v>
                </c:pt>
                <c:pt idx="92">
                  <c:v>4057</c:v>
                </c:pt>
                <c:pt idx="93">
                  <c:v>4028</c:v>
                </c:pt>
                <c:pt idx="94">
                  <c:v>4121</c:v>
                </c:pt>
                <c:pt idx="95">
                  <c:v>4485</c:v>
                </c:pt>
                <c:pt idx="96">
                  <c:v>4094</c:v>
                </c:pt>
                <c:pt idx="97">
                  <c:v>4014</c:v>
                </c:pt>
                <c:pt idx="98">
                  <c:v>3857</c:v>
                </c:pt>
                <c:pt idx="99">
                  <c:v>4407</c:v>
                </c:pt>
                <c:pt idx="100">
                  <c:v>4410</c:v>
                </c:pt>
                <c:pt idx="101">
                  <c:v>4736</c:v>
                </c:pt>
                <c:pt idx="102">
                  <c:v>4538</c:v>
                </c:pt>
                <c:pt idx="103">
                  <c:v>4109</c:v>
                </c:pt>
                <c:pt idx="104">
                  <c:v>4378</c:v>
                </c:pt>
                <c:pt idx="105">
                  <c:v>4272</c:v>
                </c:pt>
                <c:pt idx="106">
                  <c:v>4210</c:v>
                </c:pt>
                <c:pt idx="107">
                  <c:v>4328</c:v>
                </c:pt>
                <c:pt idx="108">
                  <c:v>4431</c:v>
                </c:pt>
                <c:pt idx="109">
                  <c:v>4271</c:v>
                </c:pt>
                <c:pt idx="110">
                  <c:v>4303</c:v>
                </c:pt>
                <c:pt idx="111">
                  <c:v>4216</c:v>
                </c:pt>
                <c:pt idx="112">
                  <c:v>4674</c:v>
                </c:pt>
                <c:pt idx="113">
                  <c:v>4768</c:v>
                </c:pt>
                <c:pt idx="114">
                  <c:v>4448</c:v>
                </c:pt>
                <c:pt idx="115">
                  <c:v>4752</c:v>
                </c:pt>
                <c:pt idx="116">
                  <c:v>4498</c:v>
                </c:pt>
                <c:pt idx="117">
                  <c:v>4507</c:v>
                </c:pt>
                <c:pt idx="118">
                  <c:v>4542</c:v>
                </c:pt>
                <c:pt idx="119">
                  <c:v>4736</c:v>
                </c:pt>
                <c:pt idx="120">
                  <c:v>4826</c:v>
                </c:pt>
                <c:pt idx="121">
                  <c:v>5175</c:v>
                </c:pt>
                <c:pt idx="122">
                  <c:v>4505</c:v>
                </c:pt>
                <c:pt idx="123">
                  <c:v>4065</c:v>
                </c:pt>
                <c:pt idx="124">
                  <c:v>4865</c:v>
                </c:pt>
                <c:pt idx="125">
                  <c:v>4526</c:v>
                </c:pt>
                <c:pt idx="126">
                  <c:v>4604</c:v>
                </c:pt>
                <c:pt idx="127">
                  <c:v>4485</c:v>
                </c:pt>
                <c:pt idx="128">
                  <c:v>4294</c:v>
                </c:pt>
                <c:pt idx="129">
                  <c:v>5062</c:v>
                </c:pt>
                <c:pt idx="130">
                  <c:v>4565</c:v>
                </c:pt>
                <c:pt idx="131">
                  <c:v>4937</c:v>
                </c:pt>
                <c:pt idx="132">
                  <c:v>4589</c:v>
                </c:pt>
                <c:pt idx="133">
                  <c:v>5074</c:v>
                </c:pt>
                <c:pt idx="134">
                  <c:v>4717</c:v>
                </c:pt>
                <c:pt idx="135">
                  <c:v>4960</c:v>
                </c:pt>
                <c:pt idx="136">
                  <c:v>4168</c:v>
                </c:pt>
                <c:pt idx="137">
                  <c:v>4690</c:v>
                </c:pt>
                <c:pt idx="138">
                  <c:v>4735</c:v>
                </c:pt>
                <c:pt idx="139">
                  <c:v>4773</c:v>
                </c:pt>
                <c:pt idx="140">
                  <c:v>4373</c:v>
                </c:pt>
                <c:pt idx="141">
                  <c:v>4747</c:v>
                </c:pt>
                <c:pt idx="142">
                  <c:v>5138</c:v>
                </c:pt>
                <c:pt idx="143">
                  <c:v>4174</c:v>
                </c:pt>
                <c:pt idx="144">
                  <c:v>4988</c:v>
                </c:pt>
                <c:pt idx="145">
                  <c:v>4778</c:v>
                </c:pt>
                <c:pt idx="146">
                  <c:v>4250</c:v>
                </c:pt>
                <c:pt idx="147">
                  <c:v>4877</c:v>
                </c:pt>
                <c:pt idx="148">
                  <c:v>4946</c:v>
                </c:pt>
                <c:pt idx="149">
                  <c:v>5087</c:v>
                </c:pt>
                <c:pt idx="150">
                  <c:v>4912</c:v>
                </c:pt>
                <c:pt idx="151">
                  <c:v>4995</c:v>
                </c:pt>
                <c:pt idx="152">
                  <c:v>5031</c:v>
                </c:pt>
                <c:pt idx="153">
                  <c:v>4932</c:v>
                </c:pt>
                <c:pt idx="154">
                  <c:v>5267</c:v>
                </c:pt>
                <c:pt idx="155">
                  <c:v>5205</c:v>
                </c:pt>
                <c:pt idx="156">
                  <c:v>4882</c:v>
                </c:pt>
                <c:pt idx="157">
                  <c:v>5333</c:v>
                </c:pt>
                <c:pt idx="158">
                  <c:v>5459</c:v>
                </c:pt>
                <c:pt idx="159">
                  <c:v>5377</c:v>
                </c:pt>
                <c:pt idx="160">
                  <c:v>4960</c:v>
                </c:pt>
                <c:pt idx="161">
                  <c:v>5217</c:v>
                </c:pt>
                <c:pt idx="162">
                  <c:v>4674</c:v>
                </c:pt>
                <c:pt idx="163">
                  <c:v>5304</c:v>
                </c:pt>
                <c:pt idx="164">
                  <c:v>4934</c:v>
                </c:pt>
                <c:pt idx="165">
                  <c:v>5504</c:v>
                </c:pt>
                <c:pt idx="166">
                  <c:v>5718</c:v>
                </c:pt>
                <c:pt idx="167">
                  <c:v>5126</c:v>
                </c:pt>
                <c:pt idx="168">
                  <c:v>5378</c:v>
                </c:pt>
                <c:pt idx="169">
                  <c:v>5155</c:v>
                </c:pt>
                <c:pt idx="170">
                  <c:v>5001</c:v>
                </c:pt>
                <c:pt idx="171">
                  <c:v>5359</c:v>
                </c:pt>
                <c:pt idx="172">
                  <c:v>5247</c:v>
                </c:pt>
                <c:pt idx="173">
                  <c:v>4896</c:v>
                </c:pt>
                <c:pt idx="174">
                  <c:v>5357</c:v>
                </c:pt>
                <c:pt idx="175">
                  <c:v>5079</c:v>
                </c:pt>
                <c:pt idx="176">
                  <c:v>5213</c:v>
                </c:pt>
                <c:pt idx="177">
                  <c:v>5242</c:v>
                </c:pt>
                <c:pt idx="178">
                  <c:v>5467</c:v>
                </c:pt>
                <c:pt idx="179">
                  <c:v>5182</c:v>
                </c:pt>
                <c:pt idx="180">
                  <c:v>5321</c:v>
                </c:pt>
                <c:pt idx="181">
                  <c:v>5440</c:v>
                </c:pt>
                <c:pt idx="182">
                  <c:v>5501</c:v>
                </c:pt>
                <c:pt idx="183">
                  <c:v>5408</c:v>
                </c:pt>
                <c:pt idx="184">
                  <c:v>5397</c:v>
                </c:pt>
                <c:pt idx="185">
                  <c:v>5528</c:v>
                </c:pt>
                <c:pt idx="186">
                  <c:v>5436</c:v>
                </c:pt>
                <c:pt idx="187">
                  <c:v>5362</c:v>
                </c:pt>
                <c:pt idx="188">
                  <c:v>5065</c:v>
                </c:pt>
                <c:pt idx="189">
                  <c:v>5552</c:v>
                </c:pt>
                <c:pt idx="190">
                  <c:v>5861</c:v>
                </c:pt>
                <c:pt idx="191">
                  <c:v>5064</c:v>
                </c:pt>
                <c:pt idx="192">
                  <c:v>5428</c:v>
                </c:pt>
                <c:pt idx="193">
                  <c:v>5395</c:v>
                </c:pt>
                <c:pt idx="194">
                  <c:v>5344</c:v>
                </c:pt>
                <c:pt idx="195">
                  <c:v>5710</c:v>
                </c:pt>
                <c:pt idx="196">
                  <c:v>5426</c:v>
                </c:pt>
                <c:pt idx="197">
                  <c:v>5534</c:v>
                </c:pt>
                <c:pt idx="198">
                  <c:v>5371</c:v>
                </c:pt>
                <c:pt idx="199">
                  <c:v>5784</c:v>
                </c:pt>
                <c:pt idx="200">
                  <c:v>5591</c:v>
                </c:pt>
                <c:pt idx="201">
                  <c:v>5862</c:v>
                </c:pt>
                <c:pt idx="202">
                  <c:v>5885</c:v>
                </c:pt>
                <c:pt idx="203">
                  <c:v>5284</c:v>
                </c:pt>
                <c:pt idx="204">
                  <c:v>5659</c:v>
                </c:pt>
                <c:pt idx="205">
                  <c:v>5943</c:v>
                </c:pt>
                <c:pt idx="206">
                  <c:v>5969</c:v>
                </c:pt>
                <c:pt idx="207">
                  <c:v>5383</c:v>
                </c:pt>
                <c:pt idx="208">
                  <c:v>5941</c:v>
                </c:pt>
                <c:pt idx="209">
                  <c:v>5317</c:v>
                </c:pt>
                <c:pt idx="210">
                  <c:v>5348</c:v>
                </c:pt>
                <c:pt idx="211">
                  <c:v>5994</c:v>
                </c:pt>
                <c:pt idx="212">
                  <c:v>6031</c:v>
                </c:pt>
                <c:pt idx="213">
                  <c:v>6033</c:v>
                </c:pt>
                <c:pt idx="214">
                  <c:v>5382</c:v>
                </c:pt>
                <c:pt idx="215">
                  <c:v>5307</c:v>
                </c:pt>
                <c:pt idx="216">
                  <c:v>5948</c:v>
                </c:pt>
                <c:pt idx="217">
                  <c:v>5410</c:v>
                </c:pt>
                <c:pt idx="218">
                  <c:v>5633</c:v>
                </c:pt>
                <c:pt idx="219">
                  <c:v>5987</c:v>
                </c:pt>
                <c:pt idx="220">
                  <c:v>6075</c:v>
                </c:pt>
                <c:pt idx="221">
                  <c:v>5643</c:v>
                </c:pt>
                <c:pt idx="222">
                  <c:v>6086</c:v>
                </c:pt>
                <c:pt idx="223">
                  <c:v>5507</c:v>
                </c:pt>
                <c:pt idx="224">
                  <c:v>5839</c:v>
                </c:pt>
                <c:pt idx="225">
                  <c:v>5872</c:v>
                </c:pt>
                <c:pt idx="226">
                  <c:v>5752</c:v>
                </c:pt>
                <c:pt idx="227">
                  <c:v>5633</c:v>
                </c:pt>
                <c:pt idx="228">
                  <c:v>5747</c:v>
                </c:pt>
                <c:pt idx="229">
                  <c:v>5813</c:v>
                </c:pt>
                <c:pt idx="230">
                  <c:v>6046</c:v>
                </c:pt>
                <c:pt idx="231">
                  <c:v>6033</c:v>
                </c:pt>
                <c:pt idx="232">
                  <c:v>6089</c:v>
                </c:pt>
                <c:pt idx="233">
                  <c:v>6258</c:v>
                </c:pt>
                <c:pt idx="234">
                  <c:v>6122</c:v>
                </c:pt>
                <c:pt idx="235">
                  <c:v>5962</c:v>
                </c:pt>
                <c:pt idx="236">
                  <c:v>5831</c:v>
                </c:pt>
                <c:pt idx="237">
                  <c:v>5912</c:v>
                </c:pt>
                <c:pt idx="238">
                  <c:v>5793</c:v>
                </c:pt>
                <c:pt idx="239">
                  <c:v>5725</c:v>
                </c:pt>
                <c:pt idx="240">
                  <c:v>6220</c:v>
                </c:pt>
                <c:pt idx="241">
                  <c:v>5970</c:v>
                </c:pt>
                <c:pt idx="242">
                  <c:v>6482</c:v>
                </c:pt>
                <c:pt idx="243">
                  <c:v>5706</c:v>
                </c:pt>
                <c:pt idx="244">
                  <c:v>6252</c:v>
                </c:pt>
                <c:pt idx="245">
                  <c:v>5993</c:v>
                </c:pt>
                <c:pt idx="246">
                  <c:v>6171</c:v>
                </c:pt>
                <c:pt idx="247">
                  <c:v>5949</c:v>
                </c:pt>
                <c:pt idx="248">
                  <c:v>6742</c:v>
                </c:pt>
                <c:pt idx="249">
                  <c:v>5634</c:v>
                </c:pt>
                <c:pt idx="250">
                  <c:v>5969</c:v>
                </c:pt>
                <c:pt idx="251">
                  <c:v>5744</c:v>
                </c:pt>
                <c:pt idx="252">
                  <c:v>6463</c:v>
                </c:pt>
                <c:pt idx="253">
                  <c:v>5547</c:v>
                </c:pt>
                <c:pt idx="254">
                  <c:v>6122</c:v>
                </c:pt>
                <c:pt idx="255">
                  <c:v>6279</c:v>
                </c:pt>
                <c:pt idx="256">
                  <c:v>5991</c:v>
                </c:pt>
                <c:pt idx="257">
                  <c:v>6159</c:v>
                </c:pt>
                <c:pt idx="258">
                  <c:v>6346</c:v>
                </c:pt>
                <c:pt idx="259">
                  <c:v>6445</c:v>
                </c:pt>
                <c:pt idx="260">
                  <c:v>6542</c:v>
                </c:pt>
                <c:pt idx="261">
                  <c:v>6182</c:v>
                </c:pt>
                <c:pt idx="262">
                  <c:v>6436</c:v>
                </c:pt>
                <c:pt idx="263">
                  <c:v>5811</c:v>
                </c:pt>
                <c:pt idx="264">
                  <c:v>5947</c:v>
                </c:pt>
                <c:pt idx="265">
                  <c:v>6586</c:v>
                </c:pt>
                <c:pt idx="266">
                  <c:v>6152</c:v>
                </c:pt>
                <c:pt idx="267">
                  <c:v>6212</c:v>
                </c:pt>
                <c:pt idx="268">
                  <c:v>6423</c:v>
                </c:pt>
                <c:pt idx="269">
                  <c:v>6236</c:v>
                </c:pt>
                <c:pt idx="270">
                  <c:v>6232</c:v>
                </c:pt>
                <c:pt idx="271">
                  <c:v>6497</c:v>
                </c:pt>
                <c:pt idx="272">
                  <c:v>6615</c:v>
                </c:pt>
                <c:pt idx="273">
                  <c:v>6402</c:v>
                </c:pt>
                <c:pt idx="274">
                  <c:v>6341</c:v>
                </c:pt>
                <c:pt idx="275">
                  <c:v>6185</c:v>
                </c:pt>
                <c:pt idx="276">
                  <c:v>6549</c:v>
                </c:pt>
                <c:pt idx="277">
                  <c:v>6439</c:v>
                </c:pt>
                <c:pt idx="278">
                  <c:v>6606</c:v>
                </c:pt>
                <c:pt idx="279">
                  <c:v>6486</c:v>
                </c:pt>
                <c:pt idx="280">
                  <c:v>6285</c:v>
                </c:pt>
                <c:pt idx="281">
                  <c:v>6657</c:v>
                </c:pt>
                <c:pt idx="282">
                  <c:v>6554</c:v>
                </c:pt>
                <c:pt idx="283">
                  <c:v>6258</c:v>
                </c:pt>
                <c:pt idx="284">
                  <c:v>6329</c:v>
                </c:pt>
                <c:pt idx="285">
                  <c:v>6438</c:v>
                </c:pt>
                <c:pt idx="286">
                  <c:v>6078</c:v>
                </c:pt>
                <c:pt idx="287">
                  <c:v>6566</c:v>
                </c:pt>
                <c:pt idx="288">
                  <c:v>6661</c:v>
                </c:pt>
                <c:pt idx="289">
                  <c:v>6512</c:v>
                </c:pt>
                <c:pt idx="290">
                  <c:v>6313</c:v>
                </c:pt>
                <c:pt idx="291">
                  <c:v>6335</c:v>
                </c:pt>
                <c:pt idx="292">
                  <c:v>6540</c:v>
                </c:pt>
                <c:pt idx="293">
                  <c:v>6541</c:v>
                </c:pt>
                <c:pt idx="294">
                  <c:v>6828</c:v>
                </c:pt>
                <c:pt idx="295">
                  <c:v>6410</c:v>
                </c:pt>
                <c:pt idx="296">
                  <c:v>6626</c:v>
                </c:pt>
                <c:pt idx="297">
                  <c:v>6363</c:v>
                </c:pt>
                <c:pt idx="298">
                  <c:v>6758</c:v>
                </c:pt>
                <c:pt idx="299">
                  <c:v>6854</c:v>
                </c:pt>
                <c:pt idx="300">
                  <c:v>6520</c:v>
                </c:pt>
                <c:pt idx="301">
                  <c:v>6793</c:v>
                </c:pt>
                <c:pt idx="302">
                  <c:v>6788</c:v>
                </c:pt>
                <c:pt idx="303">
                  <c:v>6971</c:v>
                </c:pt>
                <c:pt idx="304">
                  <c:v>6422</c:v>
                </c:pt>
                <c:pt idx="305">
                  <c:v>6182</c:v>
                </c:pt>
                <c:pt idx="306">
                  <c:v>6828</c:v>
                </c:pt>
                <c:pt idx="307">
                  <c:v>6299</c:v>
                </c:pt>
                <c:pt idx="308">
                  <c:v>6496</c:v>
                </c:pt>
                <c:pt idx="309">
                  <c:v>6599</c:v>
                </c:pt>
                <c:pt idx="310">
                  <c:v>7030</c:v>
                </c:pt>
                <c:pt idx="311">
                  <c:v>6431</c:v>
                </c:pt>
                <c:pt idx="312">
                  <c:v>6959</c:v>
                </c:pt>
                <c:pt idx="313">
                  <c:v>6835</c:v>
                </c:pt>
                <c:pt idx="314">
                  <c:v>6966</c:v>
                </c:pt>
                <c:pt idx="315">
                  <c:v>7146</c:v>
                </c:pt>
                <c:pt idx="316">
                  <c:v>6990</c:v>
                </c:pt>
                <c:pt idx="317">
                  <c:v>6919</c:v>
                </c:pt>
                <c:pt idx="318">
                  <c:v>6797</c:v>
                </c:pt>
                <c:pt idx="319">
                  <c:v>6485</c:v>
                </c:pt>
                <c:pt idx="320">
                  <c:v>7043</c:v>
                </c:pt>
                <c:pt idx="321">
                  <c:v>6848</c:v>
                </c:pt>
                <c:pt idx="322">
                  <c:v>7029</c:v>
                </c:pt>
                <c:pt idx="323">
                  <c:v>6519</c:v>
                </c:pt>
                <c:pt idx="324">
                  <c:v>6800</c:v>
                </c:pt>
                <c:pt idx="325">
                  <c:v>7064</c:v>
                </c:pt>
                <c:pt idx="326">
                  <c:v>6967</c:v>
                </c:pt>
                <c:pt idx="327">
                  <c:v>7469</c:v>
                </c:pt>
                <c:pt idx="328">
                  <c:v>6978</c:v>
                </c:pt>
                <c:pt idx="329">
                  <c:v>7316</c:v>
                </c:pt>
                <c:pt idx="330">
                  <c:v>7151</c:v>
                </c:pt>
                <c:pt idx="331">
                  <c:v>7332</c:v>
                </c:pt>
                <c:pt idx="332">
                  <c:v>7409</c:v>
                </c:pt>
                <c:pt idx="333">
                  <c:v>7112</c:v>
                </c:pt>
                <c:pt idx="334">
                  <c:v>6758</c:v>
                </c:pt>
                <c:pt idx="335">
                  <c:v>7739</c:v>
                </c:pt>
                <c:pt idx="336">
                  <c:v>7511</c:v>
                </c:pt>
                <c:pt idx="337">
                  <c:v>7480</c:v>
                </c:pt>
                <c:pt idx="338">
                  <c:v>7394</c:v>
                </c:pt>
                <c:pt idx="339">
                  <c:v>7594</c:v>
                </c:pt>
                <c:pt idx="340">
                  <c:v>7931</c:v>
                </c:pt>
                <c:pt idx="341">
                  <c:v>8181</c:v>
                </c:pt>
                <c:pt idx="342">
                  <c:v>7558</c:v>
                </c:pt>
                <c:pt idx="343">
                  <c:v>7820</c:v>
                </c:pt>
                <c:pt idx="344">
                  <c:v>7560</c:v>
                </c:pt>
                <c:pt idx="345">
                  <c:v>7504</c:v>
                </c:pt>
                <c:pt idx="346">
                  <c:v>7741</c:v>
                </c:pt>
                <c:pt idx="347">
                  <c:v>7976</c:v>
                </c:pt>
                <c:pt idx="348">
                  <c:v>7718</c:v>
                </c:pt>
                <c:pt idx="349">
                  <c:v>8094</c:v>
                </c:pt>
                <c:pt idx="350">
                  <c:v>7570</c:v>
                </c:pt>
                <c:pt idx="351">
                  <c:v>7820</c:v>
                </c:pt>
                <c:pt idx="352">
                  <c:v>8075</c:v>
                </c:pt>
                <c:pt idx="353">
                  <c:v>8097</c:v>
                </c:pt>
                <c:pt idx="354">
                  <c:v>8098</c:v>
                </c:pt>
                <c:pt idx="355">
                  <c:v>8002</c:v>
                </c:pt>
                <c:pt idx="356">
                  <c:v>8283</c:v>
                </c:pt>
                <c:pt idx="357">
                  <c:v>8095</c:v>
                </c:pt>
                <c:pt idx="358">
                  <c:v>8250</c:v>
                </c:pt>
                <c:pt idx="359">
                  <c:v>8412</c:v>
                </c:pt>
                <c:pt idx="360">
                  <c:v>8513</c:v>
                </c:pt>
                <c:pt idx="361">
                  <c:v>8708</c:v>
                </c:pt>
                <c:pt idx="362">
                  <c:v>8929</c:v>
                </c:pt>
                <c:pt idx="363">
                  <c:v>8191</c:v>
                </c:pt>
                <c:pt idx="364">
                  <c:v>8502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93-40D4-A305-9B45F4BDD2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519664"/>
        <c:axId val="64520624"/>
      </c:scatterChart>
      <c:valAx>
        <c:axId val="64519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Temperature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20624"/>
        <c:crosses val="autoZero"/>
        <c:crossBetween val="midCat"/>
      </c:valAx>
      <c:valAx>
        <c:axId val="6452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Ice Cream Profits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19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Moving</a:t>
            </a:r>
            <a:r>
              <a:rPr lang="en-ID" baseline="0"/>
              <a:t> Average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Ice Cream Profits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'Moving Average'!$A$2:$A$366</c:f>
              <c:numCache>
                <c:formatCode>General</c:formatCode>
                <c:ptCount val="365"/>
                <c:pt idx="0">
                  <c:v>39</c:v>
                </c:pt>
                <c:pt idx="1">
                  <c:v>40</c:v>
                </c:pt>
                <c:pt idx="2">
                  <c:v>41</c:v>
                </c:pt>
                <c:pt idx="3">
                  <c:v>42</c:v>
                </c:pt>
                <c:pt idx="4">
                  <c:v>43</c:v>
                </c:pt>
                <c:pt idx="5">
                  <c:v>43</c:v>
                </c:pt>
                <c:pt idx="6">
                  <c:v>44</c:v>
                </c:pt>
                <c:pt idx="7">
                  <c:v>44</c:v>
                </c:pt>
                <c:pt idx="8">
                  <c:v>45</c:v>
                </c:pt>
                <c:pt idx="9">
                  <c:v>45</c:v>
                </c:pt>
                <c:pt idx="10">
                  <c:v>45</c:v>
                </c:pt>
                <c:pt idx="11">
                  <c:v>46</c:v>
                </c:pt>
                <c:pt idx="12">
                  <c:v>46</c:v>
                </c:pt>
                <c:pt idx="13">
                  <c:v>47</c:v>
                </c:pt>
                <c:pt idx="14">
                  <c:v>48</c:v>
                </c:pt>
                <c:pt idx="15">
                  <c:v>48</c:v>
                </c:pt>
                <c:pt idx="16">
                  <c:v>48</c:v>
                </c:pt>
                <c:pt idx="17">
                  <c:v>48</c:v>
                </c:pt>
                <c:pt idx="18">
                  <c:v>48</c:v>
                </c:pt>
                <c:pt idx="19">
                  <c:v>48</c:v>
                </c:pt>
                <c:pt idx="20">
                  <c:v>49</c:v>
                </c:pt>
                <c:pt idx="21">
                  <c:v>49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51</c:v>
                </c:pt>
                <c:pt idx="28">
                  <c:v>51</c:v>
                </c:pt>
                <c:pt idx="29">
                  <c:v>52</c:v>
                </c:pt>
                <c:pt idx="30">
                  <c:v>52</c:v>
                </c:pt>
                <c:pt idx="31">
                  <c:v>52</c:v>
                </c:pt>
                <c:pt idx="32">
                  <c:v>52</c:v>
                </c:pt>
                <c:pt idx="33">
                  <c:v>52</c:v>
                </c:pt>
                <c:pt idx="34">
                  <c:v>53</c:v>
                </c:pt>
                <c:pt idx="35">
                  <c:v>53</c:v>
                </c:pt>
                <c:pt idx="36">
                  <c:v>53</c:v>
                </c:pt>
                <c:pt idx="37">
                  <c:v>53</c:v>
                </c:pt>
                <c:pt idx="38">
                  <c:v>54</c:v>
                </c:pt>
                <c:pt idx="39">
                  <c:v>54</c:v>
                </c:pt>
                <c:pt idx="40">
                  <c:v>54</c:v>
                </c:pt>
                <c:pt idx="41">
                  <c:v>54</c:v>
                </c:pt>
                <c:pt idx="42">
                  <c:v>54</c:v>
                </c:pt>
                <c:pt idx="43">
                  <c:v>54</c:v>
                </c:pt>
                <c:pt idx="44">
                  <c:v>54</c:v>
                </c:pt>
                <c:pt idx="45">
                  <c:v>54</c:v>
                </c:pt>
                <c:pt idx="46">
                  <c:v>54</c:v>
                </c:pt>
                <c:pt idx="47">
                  <c:v>55</c:v>
                </c:pt>
                <c:pt idx="48">
                  <c:v>55</c:v>
                </c:pt>
                <c:pt idx="49">
                  <c:v>55</c:v>
                </c:pt>
                <c:pt idx="50">
                  <c:v>55</c:v>
                </c:pt>
                <c:pt idx="51">
                  <c:v>56</c:v>
                </c:pt>
                <c:pt idx="52">
                  <c:v>56</c:v>
                </c:pt>
                <c:pt idx="53">
                  <c:v>57</c:v>
                </c:pt>
                <c:pt idx="54">
                  <c:v>57</c:v>
                </c:pt>
                <c:pt idx="55">
                  <c:v>58</c:v>
                </c:pt>
                <c:pt idx="56">
                  <c:v>58</c:v>
                </c:pt>
                <c:pt idx="57">
                  <c:v>58</c:v>
                </c:pt>
                <c:pt idx="58">
                  <c:v>58</c:v>
                </c:pt>
                <c:pt idx="59">
                  <c:v>58</c:v>
                </c:pt>
                <c:pt idx="60">
                  <c:v>58</c:v>
                </c:pt>
                <c:pt idx="61">
                  <c:v>59</c:v>
                </c:pt>
                <c:pt idx="62">
                  <c:v>59</c:v>
                </c:pt>
                <c:pt idx="63">
                  <c:v>59</c:v>
                </c:pt>
                <c:pt idx="64">
                  <c:v>59</c:v>
                </c:pt>
                <c:pt idx="65">
                  <c:v>59</c:v>
                </c:pt>
                <c:pt idx="66">
                  <c:v>59</c:v>
                </c:pt>
                <c:pt idx="67">
                  <c:v>59</c:v>
                </c:pt>
                <c:pt idx="68">
                  <c:v>59</c:v>
                </c:pt>
                <c:pt idx="69">
                  <c:v>60</c:v>
                </c:pt>
                <c:pt idx="70">
                  <c:v>60</c:v>
                </c:pt>
                <c:pt idx="71">
                  <c:v>60</c:v>
                </c:pt>
                <c:pt idx="72">
                  <c:v>60</c:v>
                </c:pt>
                <c:pt idx="73">
                  <c:v>60</c:v>
                </c:pt>
                <c:pt idx="74">
                  <c:v>61</c:v>
                </c:pt>
                <c:pt idx="75">
                  <c:v>61</c:v>
                </c:pt>
                <c:pt idx="76">
                  <c:v>61</c:v>
                </c:pt>
                <c:pt idx="77">
                  <c:v>61</c:v>
                </c:pt>
                <c:pt idx="78">
                  <c:v>61</c:v>
                </c:pt>
                <c:pt idx="79">
                  <c:v>61</c:v>
                </c:pt>
                <c:pt idx="80">
                  <c:v>61</c:v>
                </c:pt>
                <c:pt idx="81">
                  <c:v>61</c:v>
                </c:pt>
                <c:pt idx="82">
                  <c:v>61</c:v>
                </c:pt>
                <c:pt idx="83">
                  <c:v>62</c:v>
                </c:pt>
                <c:pt idx="84">
                  <c:v>62</c:v>
                </c:pt>
                <c:pt idx="85">
                  <c:v>62</c:v>
                </c:pt>
                <c:pt idx="86">
                  <c:v>62</c:v>
                </c:pt>
                <c:pt idx="87">
                  <c:v>63</c:v>
                </c:pt>
                <c:pt idx="88">
                  <c:v>63</c:v>
                </c:pt>
                <c:pt idx="89">
                  <c:v>63</c:v>
                </c:pt>
                <c:pt idx="90">
                  <c:v>63</c:v>
                </c:pt>
                <c:pt idx="91">
                  <c:v>63</c:v>
                </c:pt>
                <c:pt idx="92">
                  <c:v>64</c:v>
                </c:pt>
                <c:pt idx="93">
                  <c:v>64</c:v>
                </c:pt>
                <c:pt idx="94">
                  <c:v>64</c:v>
                </c:pt>
                <c:pt idx="95">
                  <c:v>64</c:v>
                </c:pt>
                <c:pt idx="96">
                  <c:v>64</c:v>
                </c:pt>
                <c:pt idx="97">
                  <c:v>64</c:v>
                </c:pt>
                <c:pt idx="98">
                  <c:v>64</c:v>
                </c:pt>
                <c:pt idx="99">
                  <c:v>64</c:v>
                </c:pt>
                <c:pt idx="100">
                  <c:v>64</c:v>
                </c:pt>
                <c:pt idx="101">
                  <c:v>65</c:v>
                </c:pt>
                <c:pt idx="102">
                  <c:v>65</c:v>
                </c:pt>
                <c:pt idx="103">
                  <c:v>65</c:v>
                </c:pt>
                <c:pt idx="104">
                  <c:v>65</c:v>
                </c:pt>
                <c:pt idx="105">
                  <c:v>65</c:v>
                </c:pt>
                <c:pt idx="106">
                  <c:v>65</c:v>
                </c:pt>
                <c:pt idx="107">
                  <c:v>65</c:v>
                </c:pt>
                <c:pt idx="108">
                  <c:v>65</c:v>
                </c:pt>
                <c:pt idx="109">
                  <c:v>65</c:v>
                </c:pt>
                <c:pt idx="110">
                  <c:v>66</c:v>
                </c:pt>
                <c:pt idx="111">
                  <c:v>66</c:v>
                </c:pt>
                <c:pt idx="112">
                  <c:v>66</c:v>
                </c:pt>
                <c:pt idx="113">
                  <c:v>66</c:v>
                </c:pt>
                <c:pt idx="114">
                  <c:v>66</c:v>
                </c:pt>
                <c:pt idx="115">
                  <c:v>66</c:v>
                </c:pt>
                <c:pt idx="116">
                  <c:v>66</c:v>
                </c:pt>
                <c:pt idx="117">
                  <c:v>66</c:v>
                </c:pt>
                <c:pt idx="118">
                  <c:v>66</c:v>
                </c:pt>
                <c:pt idx="119">
                  <c:v>66</c:v>
                </c:pt>
                <c:pt idx="120">
                  <c:v>66</c:v>
                </c:pt>
                <c:pt idx="121">
                  <c:v>66</c:v>
                </c:pt>
                <c:pt idx="122">
                  <c:v>66</c:v>
                </c:pt>
                <c:pt idx="123">
                  <c:v>66</c:v>
                </c:pt>
                <c:pt idx="124">
                  <c:v>67</c:v>
                </c:pt>
                <c:pt idx="125">
                  <c:v>67</c:v>
                </c:pt>
                <c:pt idx="126">
                  <c:v>67</c:v>
                </c:pt>
                <c:pt idx="127">
                  <c:v>67</c:v>
                </c:pt>
                <c:pt idx="128">
                  <c:v>67</c:v>
                </c:pt>
                <c:pt idx="129">
                  <c:v>67</c:v>
                </c:pt>
                <c:pt idx="130">
                  <c:v>68</c:v>
                </c:pt>
                <c:pt idx="131">
                  <c:v>68</c:v>
                </c:pt>
                <c:pt idx="132">
                  <c:v>68</c:v>
                </c:pt>
                <c:pt idx="133">
                  <c:v>68</c:v>
                </c:pt>
                <c:pt idx="134">
                  <c:v>68</c:v>
                </c:pt>
                <c:pt idx="135">
                  <c:v>68</c:v>
                </c:pt>
                <c:pt idx="136">
                  <c:v>68</c:v>
                </c:pt>
                <c:pt idx="137">
                  <c:v>68</c:v>
                </c:pt>
                <c:pt idx="138">
                  <c:v>68</c:v>
                </c:pt>
                <c:pt idx="139">
                  <c:v>68</c:v>
                </c:pt>
                <c:pt idx="140">
                  <c:v>68</c:v>
                </c:pt>
                <c:pt idx="141">
                  <c:v>68</c:v>
                </c:pt>
                <c:pt idx="142">
                  <c:v>69</c:v>
                </c:pt>
                <c:pt idx="143">
                  <c:v>69</c:v>
                </c:pt>
                <c:pt idx="144">
                  <c:v>69</c:v>
                </c:pt>
                <c:pt idx="145">
                  <c:v>69</c:v>
                </c:pt>
                <c:pt idx="146">
                  <c:v>69</c:v>
                </c:pt>
                <c:pt idx="147">
                  <c:v>69</c:v>
                </c:pt>
                <c:pt idx="148">
                  <c:v>70</c:v>
                </c:pt>
                <c:pt idx="149">
                  <c:v>70</c:v>
                </c:pt>
                <c:pt idx="150">
                  <c:v>70</c:v>
                </c:pt>
                <c:pt idx="151">
                  <c:v>70</c:v>
                </c:pt>
                <c:pt idx="152">
                  <c:v>70</c:v>
                </c:pt>
                <c:pt idx="153">
                  <c:v>70</c:v>
                </c:pt>
                <c:pt idx="154">
                  <c:v>70</c:v>
                </c:pt>
                <c:pt idx="155">
                  <c:v>70</c:v>
                </c:pt>
                <c:pt idx="156">
                  <c:v>70</c:v>
                </c:pt>
                <c:pt idx="157">
                  <c:v>71</c:v>
                </c:pt>
                <c:pt idx="158">
                  <c:v>71</c:v>
                </c:pt>
                <c:pt idx="159">
                  <c:v>71</c:v>
                </c:pt>
                <c:pt idx="160">
                  <c:v>71</c:v>
                </c:pt>
                <c:pt idx="161">
                  <c:v>71</c:v>
                </c:pt>
                <c:pt idx="162">
                  <c:v>71</c:v>
                </c:pt>
                <c:pt idx="163">
                  <c:v>71</c:v>
                </c:pt>
                <c:pt idx="164">
                  <c:v>71</c:v>
                </c:pt>
                <c:pt idx="165">
                  <c:v>71</c:v>
                </c:pt>
                <c:pt idx="166">
                  <c:v>72</c:v>
                </c:pt>
                <c:pt idx="167">
                  <c:v>72</c:v>
                </c:pt>
                <c:pt idx="168">
                  <c:v>72</c:v>
                </c:pt>
                <c:pt idx="169">
                  <c:v>72</c:v>
                </c:pt>
                <c:pt idx="170">
                  <c:v>72</c:v>
                </c:pt>
                <c:pt idx="171">
                  <c:v>72</c:v>
                </c:pt>
                <c:pt idx="172">
                  <c:v>72</c:v>
                </c:pt>
                <c:pt idx="173">
                  <c:v>72</c:v>
                </c:pt>
                <c:pt idx="174">
                  <c:v>72</c:v>
                </c:pt>
                <c:pt idx="175">
                  <c:v>72</c:v>
                </c:pt>
                <c:pt idx="176">
                  <c:v>73</c:v>
                </c:pt>
                <c:pt idx="177">
                  <c:v>73</c:v>
                </c:pt>
                <c:pt idx="178">
                  <c:v>73</c:v>
                </c:pt>
                <c:pt idx="179">
                  <c:v>73</c:v>
                </c:pt>
                <c:pt idx="180">
                  <c:v>73</c:v>
                </c:pt>
                <c:pt idx="181">
                  <c:v>73</c:v>
                </c:pt>
                <c:pt idx="182">
                  <c:v>73</c:v>
                </c:pt>
                <c:pt idx="183">
                  <c:v>73</c:v>
                </c:pt>
                <c:pt idx="184">
                  <c:v>73</c:v>
                </c:pt>
                <c:pt idx="185">
                  <c:v>74</c:v>
                </c:pt>
                <c:pt idx="186">
                  <c:v>74</c:v>
                </c:pt>
                <c:pt idx="187">
                  <c:v>74</c:v>
                </c:pt>
                <c:pt idx="188">
                  <c:v>74</c:v>
                </c:pt>
                <c:pt idx="189">
                  <c:v>74</c:v>
                </c:pt>
                <c:pt idx="190">
                  <c:v>74</c:v>
                </c:pt>
                <c:pt idx="191">
                  <c:v>74</c:v>
                </c:pt>
                <c:pt idx="192">
                  <c:v>74</c:v>
                </c:pt>
                <c:pt idx="193">
                  <c:v>74</c:v>
                </c:pt>
                <c:pt idx="194">
                  <c:v>74</c:v>
                </c:pt>
                <c:pt idx="195">
                  <c:v>74</c:v>
                </c:pt>
                <c:pt idx="196">
                  <c:v>74</c:v>
                </c:pt>
                <c:pt idx="197">
                  <c:v>75</c:v>
                </c:pt>
                <c:pt idx="198">
                  <c:v>75</c:v>
                </c:pt>
                <c:pt idx="199">
                  <c:v>75</c:v>
                </c:pt>
                <c:pt idx="200">
                  <c:v>75</c:v>
                </c:pt>
                <c:pt idx="201">
                  <c:v>75</c:v>
                </c:pt>
                <c:pt idx="202">
                  <c:v>75</c:v>
                </c:pt>
                <c:pt idx="203">
                  <c:v>76</c:v>
                </c:pt>
                <c:pt idx="204">
                  <c:v>76</c:v>
                </c:pt>
                <c:pt idx="205">
                  <c:v>76</c:v>
                </c:pt>
                <c:pt idx="206">
                  <c:v>76</c:v>
                </c:pt>
                <c:pt idx="207">
                  <c:v>76</c:v>
                </c:pt>
                <c:pt idx="208">
                  <c:v>76</c:v>
                </c:pt>
                <c:pt idx="209">
                  <c:v>76</c:v>
                </c:pt>
                <c:pt idx="210">
                  <c:v>76</c:v>
                </c:pt>
                <c:pt idx="211">
                  <c:v>76</c:v>
                </c:pt>
                <c:pt idx="212">
                  <c:v>76</c:v>
                </c:pt>
                <c:pt idx="213">
                  <c:v>76</c:v>
                </c:pt>
                <c:pt idx="214">
                  <c:v>77</c:v>
                </c:pt>
                <c:pt idx="215">
                  <c:v>77</c:v>
                </c:pt>
                <c:pt idx="216">
                  <c:v>77</c:v>
                </c:pt>
                <c:pt idx="217">
                  <c:v>77</c:v>
                </c:pt>
                <c:pt idx="218">
                  <c:v>77</c:v>
                </c:pt>
                <c:pt idx="219">
                  <c:v>77</c:v>
                </c:pt>
                <c:pt idx="220">
                  <c:v>77</c:v>
                </c:pt>
                <c:pt idx="221">
                  <c:v>77</c:v>
                </c:pt>
                <c:pt idx="222">
                  <c:v>77</c:v>
                </c:pt>
                <c:pt idx="223">
                  <c:v>77</c:v>
                </c:pt>
                <c:pt idx="224">
                  <c:v>77</c:v>
                </c:pt>
                <c:pt idx="225">
                  <c:v>77</c:v>
                </c:pt>
                <c:pt idx="226">
                  <c:v>77</c:v>
                </c:pt>
                <c:pt idx="227">
                  <c:v>77</c:v>
                </c:pt>
                <c:pt idx="228">
                  <c:v>77</c:v>
                </c:pt>
                <c:pt idx="229">
                  <c:v>78</c:v>
                </c:pt>
                <c:pt idx="230">
                  <c:v>78</c:v>
                </c:pt>
                <c:pt idx="231">
                  <c:v>78</c:v>
                </c:pt>
                <c:pt idx="232">
                  <c:v>78</c:v>
                </c:pt>
                <c:pt idx="233">
                  <c:v>78</c:v>
                </c:pt>
                <c:pt idx="234">
                  <c:v>78</c:v>
                </c:pt>
                <c:pt idx="235">
                  <c:v>78</c:v>
                </c:pt>
                <c:pt idx="236">
                  <c:v>78</c:v>
                </c:pt>
                <c:pt idx="237">
                  <c:v>78</c:v>
                </c:pt>
                <c:pt idx="238">
                  <c:v>78</c:v>
                </c:pt>
                <c:pt idx="239">
                  <c:v>78</c:v>
                </c:pt>
                <c:pt idx="240">
                  <c:v>78</c:v>
                </c:pt>
                <c:pt idx="241">
                  <c:v>79</c:v>
                </c:pt>
                <c:pt idx="242">
                  <c:v>79</c:v>
                </c:pt>
                <c:pt idx="243">
                  <c:v>79</c:v>
                </c:pt>
                <c:pt idx="244">
                  <c:v>79</c:v>
                </c:pt>
                <c:pt idx="245">
                  <c:v>79</c:v>
                </c:pt>
                <c:pt idx="246">
                  <c:v>79</c:v>
                </c:pt>
                <c:pt idx="247">
                  <c:v>79</c:v>
                </c:pt>
                <c:pt idx="248">
                  <c:v>79</c:v>
                </c:pt>
                <c:pt idx="249">
                  <c:v>79</c:v>
                </c:pt>
                <c:pt idx="250">
                  <c:v>79</c:v>
                </c:pt>
                <c:pt idx="251">
                  <c:v>79</c:v>
                </c:pt>
                <c:pt idx="252">
                  <c:v>79</c:v>
                </c:pt>
                <c:pt idx="253">
                  <c:v>80</c:v>
                </c:pt>
                <c:pt idx="254">
                  <c:v>80</c:v>
                </c:pt>
                <c:pt idx="255">
                  <c:v>80</c:v>
                </c:pt>
                <c:pt idx="256">
                  <c:v>80</c:v>
                </c:pt>
                <c:pt idx="257">
                  <c:v>80</c:v>
                </c:pt>
                <c:pt idx="258">
                  <c:v>80</c:v>
                </c:pt>
                <c:pt idx="259">
                  <c:v>80</c:v>
                </c:pt>
                <c:pt idx="260">
                  <c:v>80</c:v>
                </c:pt>
                <c:pt idx="261">
                  <c:v>80</c:v>
                </c:pt>
                <c:pt idx="262">
                  <c:v>81</c:v>
                </c:pt>
                <c:pt idx="263">
                  <c:v>81</c:v>
                </c:pt>
                <c:pt idx="264">
                  <c:v>81</c:v>
                </c:pt>
                <c:pt idx="265">
                  <c:v>81</c:v>
                </c:pt>
                <c:pt idx="266">
                  <c:v>81</c:v>
                </c:pt>
                <c:pt idx="267">
                  <c:v>81</c:v>
                </c:pt>
                <c:pt idx="268">
                  <c:v>81</c:v>
                </c:pt>
                <c:pt idx="269">
                  <c:v>81</c:v>
                </c:pt>
                <c:pt idx="270">
                  <c:v>81</c:v>
                </c:pt>
                <c:pt idx="271">
                  <c:v>82</c:v>
                </c:pt>
                <c:pt idx="272">
                  <c:v>82</c:v>
                </c:pt>
                <c:pt idx="273">
                  <c:v>82</c:v>
                </c:pt>
                <c:pt idx="274">
                  <c:v>82</c:v>
                </c:pt>
                <c:pt idx="275">
                  <c:v>82</c:v>
                </c:pt>
                <c:pt idx="276">
                  <c:v>82</c:v>
                </c:pt>
                <c:pt idx="277">
                  <c:v>82</c:v>
                </c:pt>
                <c:pt idx="278">
                  <c:v>82</c:v>
                </c:pt>
                <c:pt idx="279">
                  <c:v>82</c:v>
                </c:pt>
                <c:pt idx="280">
                  <c:v>82</c:v>
                </c:pt>
                <c:pt idx="281">
                  <c:v>82</c:v>
                </c:pt>
                <c:pt idx="282">
                  <c:v>83</c:v>
                </c:pt>
                <c:pt idx="283">
                  <c:v>83</c:v>
                </c:pt>
                <c:pt idx="284">
                  <c:v>83</c:v>
                </c:pt>
                <c:pt idx="285">
                  <c:v>83</c:v>
                </c:pt>
                <c:pt idx="286">
                  <c:v>83</c:v>
                </c:pt>
                <c:pt idx="287">
                  <c:v>83</c:v>
                </c:pt>
                <c:pt idx="288">
                  <c:v>84</c:v>
                </c:pt>
                <c:pt idx="289">
                  <c:v>84</c:v>
                </c:pt>
                <c:pt idx="290">
                  <c:v>84</c:v>
                </c:pt>
                <c:pt idx="291">
                  <c:v>84</c:v>
                </c:pt>
                <c:pt idx="292">
                  <c:v>84</c:v>
                </c:pt>
                <c:pt idx="293">
                  <c:v>84</c:v>
                </c:pt>
                <c:pt idx="294">
                  <c:v>84</c:v>
                </c:pt>
                <c:pt idx="295">
                  <c:v>84</c:v>
                </c:pt>
                <c:pt idx="296">
                  <c:v>84</c:v>
                </c:pt>
                <c:pt idx="297">
                  <c:v>84</c:v>
                </c:pt>
                <c:pt idx="298">
                  <c:v>84</c:v>
                </c:pt>
                <c:pt idx="299">
                  <c:v>84</c:v>
                </c:pt>
                <c:pt idx="300">
                  <c:v>84</c:v>
                </c:pt>
                <c:pt idx="301">
                  <c:v>85</c:v>
                </c:pt>
                <c:pt idx="302">
                  <c:v>85</c:v>
                </c:pt>
                <c:pt idx="303">
                  <c:v>85</c:v>
                </c:pt>
                <c:pt idx="304">
                  <c:v>85</c:v>
                </c:pt>
                <c:pt idx="305">
                  <c:v>85</c:v>
                </c:pt>
                <c:pt idx="306">
                  <c:v>85</c:v>
                </c:pt>
                <c:pt idx="307">
                  <c:v>85</c:v>
                </c:pt>
                <c:pt idx="308">
                  <c:v>85</c:v>
                </c:pt>
                <c:pt idx="309">
                  <c:v>85</c:v>
                </c:pt>
                <c:pt idx="310">
                  <c:v>85</c:v>
                </c:pt>
                <c:pt idx="311">
                  <c:v>85</c:v>
                </c:pt>
                <c:pt idx="312">
                  <c:v>86</c:v>
                </c:pt>
                <c:pt idx="313">
                  <c:v>86</c:v>
                </c:pt>
                <c:pt idx="314">
                  <c:v>86</c:v>
                </c:pt>
                <c:pt idx="315">
                  <c:v>86</c:v>
                </c:pt>
                <c:pt idx="316">
                  <c:v>86</c:v>
                </c:pt>
                <c:pt idx="317">
                  <c:v>86</c:v>
                </c:pt>
                <c:pt idx="318">
                  <c:v>86</c:v>
                </c:pt>
                <c:pt idx="319">
                  <c:v>86</c:v>
                </c:pt>
                <c:pt idx="320">
                  <c:v>87</c:v>
                </c:pt>
                <c:pt idx="321">
                  <c:v>87</c:v>
                </c:pt>
                <c:pt idx="322">
                  <c:v>87</c:v>
                </c:pt>
                <c:pt idx="323">
                  <c:v>87</c:v>
                </c:pt>
                <c:pt idx="324">
                  <c:v>87</c:v>
                </c:pt>
                <c:pt idx="325">
                  <c:v>87</c:v>
                </c:pt>
                <c:pt idx="326">
                  <c:v>88</c:v>
                </c:pt>
                <c:pt idx="327">
                  <c:v>88</c:v>
                </c:pt>
                <c:pt idx="328">
                  <c:v>88</c:v>
                </c:pt>
                <c:pt idx="329">
                  <c:v>89</c:v>
                </c:pt>
                <c:pt idx="330">
                  <c:v>89</c:v>
                </c:pt>
                <c:pt idx="331">
                  <c:v>89</c:v>
                </c:pt>
                <c:pt idx="332">
                  <c:v>89</c:v>
                </c:pt>
                <c:pt idx="333">
                  <c:v>90</c:v>
                </c:pt>
                <c:pt idx="334">
                  <c:v>90</c:v>
                </c:pt>
                <c:pt idx="335">
                  <c:v>90</c:v>
                </c:pt>
                <c:pt idx="336">
                  <c:v>90</c:v>
                </c:pt>
                <c:pt idx="337">
                  <c:v>90</c:v>
                </c:pt>
                <c:pt idx="338">
                  <c:v>90</c:v>
                </c:pt>
                <c:pt idx="339">
                  <c:v>90</c:v>
                </c:pt>
                <c:pt idx="340">
                  <c:v>91</c:v>
                </c:pt>
                <c:pt idx="341">
                  <c:v>91</c:v>
                </c:pt>
                <c:pt idx="342">
                  <c:v>91</c:v>
                </c:pt>
                <c:pt idx="343">
                  <c:v>92</c:v>
                </c:pt>
                <c:pt idx="344">
                  <c:v>92</c:v>
                </c:pt>
                <c:pt idx="345">
                  <c:v>92</c:v>
                </c:pt>
                <c:pt idx="346">
                  <c:v>92</c:v>
                </c:pt>
                <c:pt idx="347">
                  <c:v>93</c:v>
                </c:pt>
                <c:pt idx="348">
                  <c:v>93</c:v>
                </c:pt>
                <c:pt idx="349">
                  <c:v>94</c:v>
                </c:pt>
                <c:pt idx="350">
                  <c:v>94</c:v>
                </c:pt>
                <c:pt idx="351">
                  <c:v>95</c:v>
                </c:pt>
                <c:pt idx="352">
                  <c:v>95</c:v>
                </c:pt>
                <c:pt idx="353">
                  <c:v>95</c:v>
                </c:pt>
                <c:pt idx="354">
                  <c:v>95</c:v>
                </c:pt>
                <c:pt idx="355">
                  <c:v>96</c:v>
                </c:pt>
                <c:pt idx="356">
                  <c:v>96</c:v>
                </c:pt>
                <c:pt idx="357">
                  <c:v>96</c:v>
                </c:pt>
                <c:pt idx="358">
                  <c:v>97</c:v>
                </c:pt>
                <c:pt idx="359">
                  <c:v>98</c:v>
                </c:pt>
                <c:pt idx="360">
                  <c:v>99</c:v>
                </c:pt>
                <c:pt idx="361">
                  <c:v>99</c:v>
                </c:pt>
                <c:pt idx="362">
                  <c:v>99</c:v>
                </c:pt>
                <c:pt idx="363">
                  <c:v>101</c:v>
                </c:pt>
                <c:pt idx="364">
                  <c:v>101</c:v>
                </c:pt>
              </c:numCache>
            </c:numRef>
          </c:cat>
          <c:val>
            <c:numRef>
              <c:f>'Moving Average'!$B$2:$B$366</c:f>
              <c:numCache>
                <c:formatCode>General</c:formatCode>
                <c:ptCount val="365"/>
                <c:pt idx="0">
                  <c:v>1317</c:v>
                </c:pt>
                <c:pt idx="1">
                  <c:v>1188</c:v>
                </c:pt>
                <c:pt idx="2">
                  <c:v>1882</c:v>
                </c:pt>
                <c:pt idx="3">
                  <c:v>1865</c:v>
                </c:pt>
                <c:pt idx="4">
                  <c:v>1702</c:v>
                </c:pt>
                <c:pt idx="5">
                  <c:v>1588</c:v>
                </c:pt>
                <c:pt idx="6">
                  <c:v>1907</c:v>
                </c:pt>
                <c:pt idx="7">
                  <c:v>1957</c:v>
                </c:pt>
                <c:pt idx="8">
                  <c:v>2162</c:v>
                </c:pt>
                <c:pt idx="9">
                  <c:v>2234</c:v>
                </c:pt>
                <c:pt idx="10">
                  <c:v>1923</c:v>
                </c:pt>
                <c:pt idx="11">
                  <c:v>2125</c:v>
                </c:pt>
                <c:pt idx="12">
                  <c:v>1981</c:v>
                </c:pt>
                <c:pt idx="13">
                  <c:v>2212</c:v>
                </c:pt>
                <c:pt idx="14">
                  <c:v>2422</c:v>
                </c:pt>
                <c:pt idx="15">
                  <c:v>2468</c:v>
                </c:pt>
                <c:pt idx="16">
                  <c:v>2378</c:v>
                </c:pt>
                <c:pt idx="17">
                  <c:v>2641</c:v>
                </c:pt>
                <c:pt idx="18">
                  <c:v>2501</c:v>
                </c:pt>
                <c:pt idx="19">
                  <c:v>2229</c:v>
                </c:pt>
                <c:pt idx="20">
                  <c:v>2781</c:v>
                </c:pt>
                <c:pt idx="21">
                  <c:v>2354</c:v>
                </c:pt>
                <c:pt idx="22">
                  <c:v>2289</c:v>
                </c:pt>
                <c:pt idx="23">
                  <c:v>2568</c:v>
                </c:pt>
                <c:pt idx="24">
                  <c:v>2729</c:v>
                </c:pt>
                <c:pt idx="25">
                  <c:v>2764</c:v>
                </c:pt>
                <c:pt idx="26">
                  <c:v>2731</c:v>
                </c:pt>
                <c:pt idx="27">
                  <c:v>2193</c:v>
                </c:pt>
                <c:pt idx="28">
                  <c:v>3218</c:v>
                </c:pt>
                <c:pt idx="29">
                  <c:v>3067</c:v>
                </c:pt>
                <c:pt idx="30">
                  <c:v>2805</c:v>
                </c:pt>
                <c:pt idx="31">
                  <c:v>2882</c:v>
                </c:pt>
                <c:pt idx="32">
                  <c:v>2787</c:v>
                </c:pt>
                <c:pt idx="33">
                  <c:v>2939</c:v>
                </c:pt>
                <c:pt idx="34">
                  <c:v>3260</c:v>
                </c:pt>
                <c:pt idx="35">
                  <c:v>3162</c:v>
                </c:pt>
                <c:pt idx="36">
                  <c:v>2571</c:v>
                </c:pt>
                <c:pt idx="37">
                  <c:v>2848</c:v>
                </c:pt>
                <c:pt idx="38">
                  <c:v>3009</c:v>
                </c:pt>
                <c:pt idx="39">
                  <c:v>3358</c:v>
                </c:pt>
                <c:pt idx="40">
                  <c:v>2975</c:v>
                </c:pt>
                <c:pt idx="41">
                  <c:v>3194</c:v>
                </c:pt>
                <c:pt idx="42">
                  <c:v>3371</c:v>
                </c:pt>
                <c:pt idx="43">
                  <c:v>2837</c:v>
                </c:pt>
                <c:pt idx="44">
                  <c:v>2741</c:v>
                </c:pt>
                <c:pt idx="45">
                  <c:v>2799</c:v>
                </c:pt>
                <c:pt idx="46">
                  <c:v>3037</c:v>
                </c:pt>
                <c:pt idx="47">
                  <c:v>2768</c:v>
                </c:pt>
                <c:pt idx="48">
                  <c:v>2953</c:v>
                </c:pt>
                <c:pt idx="49">
                  <c:v>3391</c:v>
                </c:pt>
                <c:pt idx="50">
                  <c:v>3419</c:v>
                </c:pt>
                <c:pt idx="51">
                  <c:v>3322</c:v>
                </c:pt>
                <c:pt idx="52">
                  <c:v>3447</c:v>
                </c:pt>
                <c:pt idx="53">
                  <c:v>3089</c:v>
                </c:pt>
                <c:pt idx="54">
                  <c:v>3580</c:v>
                </c:pt>
                <c:pt idx="55">
                  <c:v>3344</c:v>
                </c:pt>
                <c:pt idx="56">
                  <c:v>3679</c:v>
                </c:pt>
                <c:pt idx="57">
                  <c:v>3156</c:v>
                </c:pt>
                <c:pt idx="58">
                  <c:v>3513</c:v>
                </c:pt>
                <c:pt idx="59">
                  <c:v>3611</c:v>
                </c:pt>
                <c:pt idx="60">
                  <c:v>3239</c:v>
                </c:pt>
                <c:pt idx="61">
                  <c:v>3818</c:v>
                </c:pt>
                <c:pt idx="62">
                  <c:v>2969</c:v>
                </c:pt>
                <c:pt idx="63">
                  <c:v>3847</c:v>
                </c:pt>
                <c:pt idx="64">
                  <c:v>3774</c:v>
                </c:pt>
                <c:pt idx="65">
                  <c:v>3671</c:v>
                </c:pt>
                <c:pt idx="66">
                  <c:v>3229</c:v>
                </c:pt>
                <c:pt idx="67">
                  <c:v>3750</c:v>
                </c:pt>
                <c:pt idx="68">
                  <c:v>3533</c:v>
                </c:pt>
                <c:pt idx="69">
                  <c:v>3506</c:v>
                </c:pt>
                <c:pt idx="70">
                  <c:v>3625</c:v>
                </c:pt>
                <c:pt idx="71">
                  <c:v>4025</c:v>
                </c:pt>
                <c:pt idx="72">
                  <c:v>3969</c:v>
                </c:pt>
                <c:pt idx="73">
                  <c:v>4095</c:v>
                </c:pt>
                <c:pt idx="74">
                  <c:v>3796</c:v>
                </c:pt>
                <c:pt idx="75">
                  <c:v>3810</c:v>
                </c:pt>
                <c:pt idx="76">
                  <c:v>3821</c:v>
                </c:pt>
                <c:pt idx="77">
                  <c:v>3730</c:v>
                </c:pt>
                <c:pt idx="78">
                  <c:v>3953</c:v>
                </c:pt>
                <c:pt idx="79">
                  <c:v>3742</c:v>
                </c:pt>
                <c:pt idx="80">
                  <c:v>3942</c:v>
                </c:pt>
                <c:pt idx="81">
                  <c:v>3816</c:v>
                </c:pt>
                <c:pt idx="82">
                  <c:v>3766</c:v>
                </c:pt>
                <c:pt idx="83">
                  <c:v>3904</c:v>
                </c:pt>
                <c:pt idx="84">
                  <c:v>4144</c:v>
                </c:pt>
                <c:pt idx="85">
                  <c:v>4019</c:v>
                </c:pt>
                <c:pt idx="86">
                  <c:v>3793</c:v>
                </c:pt>
                <c:pt idx="87">
                  <c:v>5017</c:v>
                </c:pt>
                <c:pt idx="88">
                  <c:v>4415</c:v>
                </c:pt>
                <c:pt idx="89">
                  <c:v>4158</c:v>
                </c:pt>
                <c:pt idx="90">
                  <c:v>4059</c:v>
                </c:pt>
                <c:pt idx="91">
                  <c:v>3917</c:v>
                </c:pt>
                <c:pt idx="92">
                  <c:v>4057</c:v>
                </c:pt>
                <c:pt idx="93">
                  <c:v>4028</c:v>
                </c:pt>
                <c:pt idx="94">
                  <c:v>4121</c:v>
                </c:pt>
                <c:pt idx="95">
                  <c:v>4485</c:v>
                </c:pt>
                <c:pt idx="96">
                  <c:v>4094</c:v>
                </c:pt>
                <c:pt idx="97">
                  <c:v>4014</c:v>
                </c:pt>
                <c:pt idx="98">
                  <c:v>3857</c:v>
                </c:pt>
                <c:pt idx="99">
                  <c:v>4407</c:v>
                </c:pt>
                <c:pt idx="100">
                  <c:v>4410</c:v>
                </c:pt>
                <c:pt idx="101">
                  <c:v>4736</c:v>
                </c:pt>
                <c:pt idx="102">
                  <c:v>4538</c:v>
                </c:pt>
                <c:pt idx="103">
                  <c:v>4109</c:v>
                </c:pt>
                <c:pt idx="104">
                  <c:v>4378</c:v>
                </c:pt>
                <c:pt idx="105">
                  <c:v>4272</c:v>
                </c:pt>
                <c:pt idx="106">
                  <c:v>4210</c:v>
                </c:pt>
                <c:pt idx="107">
                  <c:v>4328</c:v>
                </c:pt>
                <c:pt idx="108">
                  <c:v>4431</c:v>
                </c:pt>
                <c:pt idx="109">
                  <c:v>4271</c:v>
                </c:pt>
                <c:pt idx="110">
                  <c:v>4303</c:v>
                </c:pt>
                <c:pt idx="111">
                  <c:v>4216</c:v>
                </c:pt>
                <c:pt idx="112">
                  <c:v>4674</c:v>
                </c:pt>
                <c:pt idx="113">
                  <c:v>4768</c:v>
                </c:pt>
                <c:pt idx="114">
                  <c:v>4448</c:v>
                </c:pt>
                <c:pt idx="115">
                  <c:v>4752</c:v>
                </c:pt>
                <c:pt idx="116">
                  <c:v>4498</c:v>
                </c:pt>
                <c:pt idx="117">
                  <c:v>4507</c:v>
                </c:pt>
                <c:pt idx="118">
                  <c:v>4542</c:v>
                </c:pt>
                <c:pt idx="119">
                  <c:v>4736</c:v>
                </c:pt>
                <c:pt idx="120">
                  <c:v>4826</c:v>
                </c:pt>
                <c:pt idx="121">
                  <c:v>5175</c:v>
                </c:pt>
                <c:pt idx="122">
                  <c:v>4505</c:v>
                </c:pt>
                <c:pt idx="123">
                  <c:v>4065</c:v>
                </c:pt>
                <c:pt idx="124">
                  <c:v>4865</c:v>
                </c:pt>
                <c:pt idx="125">
                  <c:v>4526</c:v>
                </c:pt>
                <c:pt idx="126">
                  <c:v>4604</c:v>
                </c:pt>
                <c:pt idx="127">
                  <c:v>4485</c:v>
                </c:pt>
                <c:pt idx="128">
                  <c:v>4294</c:v>
                </c:pt>
                <c:pt idx="129">
                  <c:v>5062</c:v>
                </c:pt>
                <c:pt idx="130">
                  <c:v>4565</c:v>
                </c:pt>
                <c:pt idx="131">
                  <c:v>4937</c:v>
                </c:pt>
                <c:pt idx="132">
                  <c:v>4589</c:v>
                </c:pt>
                <c:pt idx="133">
                  <c:v>5074</c:v>
                </c:pt>
                <c:pt idx="134">
                  <c:v>4717</c:v>
                </c:pt>
                <c:pt idx="135">
                  <c:v>4960</c:v>
                </c:pt>
                <c:pt idx="136">
                  <c:v>4168</c:v>
                </c:pt>
                <c:pt idx="137">
                  <c:v>4690</c:v>
                </c:pt>
                <c:pt idx="138">
                  <c:v>4735</c:v>
                </c:pt>
                <c:pt idx="139">
                  <c:v>4773</c:v>
                </c:pt>
                <c:pt idx="140">
                  <c:v>4373</c:v>
                </c:pt>
                <c:pt idx="141">
                  <c:v>4747</c:v>
                </c:pt>
                <c:pt idx="142">
                  <c:v>5138</c:v>
                </c:pt>
                <c:pt idx="143">
                  <c:v>4174</c:v>
                </c:pt>
                <c:pt idx="144">
                  <c:v>4988</c:v>
                </c:pt>
                <c:pt idx="145">
                  <c:v>4778</c:v>
                </c:pt>
                <c:pt idx="146">
                  <c:v>4250</c:v>
                </c:pt>
                <c:pt idx="147">
                  <c:v>4877</c:v>
                </c:pt>
                <c:pt idx="148">
                  <c:v>4946</c:v>
                </c:pt>
                <c:pt idx="149">
                  <c:v>5087</c:v>
                </c:pt>
                <c:pt idx="150">
                  <c:v>4912</c:v>
                </c:pt>
                <c:pt idx="151">
                  <c:v>4995</c:v>
                </c:pt>
                <c:pt idx="152">
                  <c:v>5031</c:v>
                </c:pt>
                <c:pt idx="153">
                  <c:v>4932</c:v>
                </c:pt>
                <c:pt idx="154">
                  <c:v>5267</c:v>
                </c:pt>
                <c:pt idx="155">
                  <c:v>5205</c:v>
                </c:pt>
                <c:pt idx="156">
                  <c:v>4882</c:v>
                </c:pt>
                <c:pt idx="157">
                  <c:v>5333</c:v>
                </c:pt>
                <c:pt idx="158">
                  <c:v>5459</c:v>
                </c:pt>
                <c:pt idx="159">
                  <c:v>5377</c:v>
                </c:pt>
                <c:pt idx="160">
                  <c:v>4960</c:v>
                </c:pt>
                <c:pt idx="161">
                  <c:v>5217</c:v>
                </c:pt>
                <c:pt idx="162">
                  <c:v>4674</c:v>
                </c:pt>
                <c:pt idx="163">
                  <c:v>5304</c:v>
                </c:pt>
                <c:pt idx="164">
                  <c:v>4934</c:v>
                </c:pt>
                <c:pt idx="165">
                  <c:v>5504</c:v>
                </c:pt>
                <c:pt idx="166">
                  <c:v>5718</c:v>
                </c:pt>
                <c:pt idx="167">
                  <c:v>5126</c:v>
                </c:pt>
                <c:pt idx="168">
                  <c:v>5378</c:v>
                </c:pt>
                <c:pt idx="169">
                  <c:v>5155</c:v>
                </c:pt>
                <c:pt idx="170">
                  <c:v>5001</c:v>
                </c:pt>
                <c:pt idx="171">
                  <c:v>5359</c:v>
                </c:pt>
                <c:pt idx="172">
                  <c:v>5247</c:v>
                </c:pt>
                <c:pt idx="173">
                  <c:v>4896</c:v>
                </c:pt>
                <c:pt idx="174">
                  <c:v>5357</c:v>
                </c:pt>
                <c:pt idx="175">
                  <c:v>5079</c:v>
                </c:pt>
                <c:pt idx="176">
                  <c:v>5213</c:v>
                </c:pt>
                <c:pt idx="177">
                  <c:v>5242</c:v>
                </c:pt>
                <c:pt idx="178">
                  <c:v>5467</c:v>
                </c:pt>
                <c:pt idx="179">
                  <c:v>5182</c:v>
                </c:pt>
                <c:pt idx="180">
                  <c:v>5321</c:v>
                </c:pt>
                <c:pt idx="181">
                  <c:v>5440</c:v>
                </c:pt>
                <c:pt idx="182">
                  <c:v>5501</c:v>
                </c:pt>
                <c:pt idx="183">
                  <c:v>5408</c:v>
                </c:pt>
                <c:pt idx="184">
                  <c:v>5397</c:v>
                </c:pt>
                <c:pt idx="185">
                  <c:v>5528</c:v>
                </c:pt>
                <c:pt idx="186">
                  <c:v>5436</c:v>
                </c:pt>
                <c:pt idx="187">
                  <c:v>5362</c:v>
                </c:pt>
                <c:pt idx="188">
                  <c:v>5065</c:v>
                </c:pt>
                <c:pt idx="189">
                  <c:v>5552</c:v>
                </c:pt>
                <c:pt idx="190">
                  <c:v>5861</c:v>
                </c:pt>
                <c:pt idx="191">
                  <c:v>5064</c:v>
                </c:pt>
                <c:pt idx="192">
                  <c:v>5428</c:v>
                </c:pt>
                <c:pt idx="193">
                  <c:v>5395</c:v>
                </c:pt>
                <c:pt idx="194">
                  <c:v>5344</c:v>
                </c:pt>
                <c:pt idx="195">
                  <c:v>5710</c:v>
                </c:pt>
                <c:pt idx="196">
                  <c:v>5426</c:v>
                </c:pt>
                <c:pt idx="197">
                  <c:v>5534</c:v>
                </c:pt>
                <c:pt idx="198">
                  <c:v>5371</c:v>
                </c:pt>
                <c:pt idx="199">
                  <c:v>5784</c:v>
                </c:pt>
                <c:pt idx="200">
                  <c:v>5591</c:v>
                </c:pt>
                <c:pt idx="201">
                  <c:v>5862</c:v>
                </c:pt>
                <c:pt idx="202">
                  <c:v>5885</c:v>
                </c:pt>
                <c:pt idx="203">
                  <c:v>5284</c:v>
                </c:pt>
                <c:pt idx="204">
                  <c:v>5659</c:v>
                </c:pt>
                <c:pt idx="205">
                  <c:v>5943</c:v>
                </c:pt>
                <c:pt idx="206">
                  <c:v>5969</c:v>
                </c:pt>
                <c:pt idx="207">
                  <c:v>5383</c:v>
                </c:pt>
                <c:pt idx="208">
                  <c:v>5941</c:v>
                </c:pt>
                <c:pt idx="209">
                  <c:v>5317</c:v>
                </c:pt>
                <c:pt idx="210">
                  <c:v>5348</c:v>
                </c:pt>
                <c:pt idx="211">
                  <c:v>5994</c:v>
                </c:pt>
                <c:pt idx="212">
                  <c:v>6031</c:v>
                </c:pt>
                <c:pt idx="213">
                  <c:v>6033</c:v>
                </c:pt>
                <c:pt idx="214">
                  <c:v>5382</c:v>
                </c:pt>
                <c:pt idx="215">
                  <c:v>5307</c:v>
                </c:pt>
                <c:pt idx="216">
                  <c:v>5948</c:v>
                </c:pt>
                <c:pt idx="217">
                  <c:v>5410</c:v>
                </c:pt>
                <c:pt idx="218">
                  <c:v>5633</c:v>
                </c:pt>
                <c:pt idx="219">
                  <c:v>5987</c:v>
                </c:pt>
                <c:pt idx="220">
                  <c:v>6075</c:v>
                </c:pt>
                <c:pt idx="221">
                  <c:v>5643</c:v>
                </c:pt>
                <c:pt idx="222">
                  <c:v>6086</c:v>
                </c:pt>
                <c:pt idx="223">
                  <c:v>5507</c:v>
                </c:pt>
                <c:pt idx="224">
                  <c:v>5839</c:v>
                </c:pt>
                <c:pt idx="225">
                  <c:v>5872</c:v>
                </c:pt>
                <c:pt idx="226">
                  <c:v>5752</c:v>
                </c:pt>
                <c:pt idx="227">
                  <c:v>5633</c:v>
                </c:pt>
                <c:pt idx="228">
                  <c:v>5747</c:v>
                </c:pt>
                <c:pt idx="229">
                  <c:v>5813</c:v>
                </c:pt>
                <c:pt idx="230">
                  <c:v>6046</c:v>
                </c:pt>
                <c:pt idx="231">
                  <c:v>6033</c:v>
                </c:pt>
                <c:pt idx="232">
                  <c:v>6089</c:v>
                </c:pt>
                <c:pt idx="233">
                  <c:v>6258</c:v>
                </c:pt>
                <c:pt idx="234">
                  <c:v>6122</c:v>
                </c:pt>
                <c:pt idx="235">
                  <c:v>5962</c:v>
                </c:pt>
                <c:pt idx="236">
                  <c:v>5831</c:v>
                </c:pt>
                <c:pt idx="237">
                  <c:v>5912</c:v>
                </c:pt>
                <c:pt idx="238">
                  <c:v>5793</c:v>
                </c:pt>
                <c:pt idx="239">
                  <c:v>5725</c:v>
                </c:pt>
                <c:pt idx="240">
                  <c:v>6220</c:v>
                </c:pt>
                <c:pt idx="241">
                  <c:v>5970</c:v>
                </c:pt>
                <c:pt idx="242">
                  <c:v>6482</c:v>
                </c:pt>
                <c:pt idx="243">
                  <c:v>5706</c:v>
                </c:pt>
                <c:pt idx="244">
                  <c:v>6252</c:v>
                </c:pt>
                <c:pt idx="245">
                  <c:v>5993</c:v>
                </c:pt>
                <c:pt idx="246">
                  <c:v>6171</c:v>
                </c:pt>
                <c:pt idx="247">
                  <c:v>5949</c:v>
                </c:pt>
                <c:pt idx="248">
                  <c:v>6742</c:v>
                </c:pt>
                <c:pt idx="249">
                  <c:v>5634</c:v>
                </c:pt>
                <c:pt idx="250">
                  <c:v>5969</c:v>
                </c:pt>
                <c:pt idx="251">
                  <c:v>5744</c:v>
                </c:pt>
                <c:pt idx="252">
                  <c:v>6463</c:v>
                </c:pt>
                <c:pt idx="253">
                  <c:v>5547</c:v>
                </c:pt>
                <c:pt idx="254">
                  <c:v>6122</c:v>
                </c:pt>
                <c:pt idx="255">
                  <c:v>6279</c:v>
                </c:pt>
                <c:pt idx="256">
                  <c:v>5991</c:v>
                </c:pt>
                <c:pt idx="257">
                  <c:v>6159</c:v>
                </c:pt>
                <c:pt idx="258">
                  <c:v>6346</c:v>
                </c:pt>
                <c:pt idx="259">
                  <c:v>6445</c:v>
                </c:pt>
                <c:pt idx="260">
                  <c:v>6542</c:v>
                </c:pt>
                <c:pt idx="261">
                  <c:v>6182</c:v>
                </c:pt>
                <c:pt idx="262">
                  <c:v>6436</c:v>
                </c:pt>
                <c:pt idx="263">
                  <c:v>5811</c:v>
                </c:pt>
                <c:pt idx="264">
                  <c:v>5947</c:v>
                </c:pt>
                <c:pt idx="265">
                  <c:v>6586</c:v>
                </c:pt>
                <c:pt idx="266">
                  <c:v>6152</c:v>
                </c:pt>
                <c:pt idx="267">
                  <c:v>6212</c:v>
                </c:pt>
                <c:pt idx="268">
                  <c:v>6423</c:v>
                </c:pt>
                <c:pt idx="269">
                  <c:v>6236</c:v>
                </c:pt>
                <c:pt idx="270">
                  <c:v>6232</c:v>
                </c:pt>
                <c:pt idx="271">
                  <c:v>6497</c:v>
                </c:pt>
                <c:pt idx="272">
                  <c:v>6615</c:v>
                </c:pt>
                <c:pt idx="273">
                  <c:v>6402</c:v>
                </c:pt>
                <c:pt idx="274">
                  <c:v>6341</c:v>
                </c:pt>
                <c:pt idx="275">
                  <c:v>6185</c:v>
                </c:pt>
                <c:pt idx="276">
                  <c:v>6549</c:v>
                </c:pt>
                <c:pt idx="277">
                  <c:v>6439</c:v>
                </c:pt>
                <c:pt idx="278">
                  <c:v>6606</c:v>
                </c:pt>
                <c:pt idx="279">
                  <c:v>6486</c:v>
                </c:pt>
                <c:pt idx="280">
                  <c:v>6285</c:v>
                </c:pt>
                <c:pt idx="281">
                  <c:v>6657</c:v>
                </c:pt>
                <c:pt idx="282">
                  <c:v>6554</c:v>
                </c:pt>
                <c:pt idx="283">
                  <c:v>6258</c:v>
                </c:pt>
                <c:pt idx="284">
                  <c:v>6329</c:v>
                </c:pt>
                <c:pt idx="285">
                  <c:v>6438</c:v>
                </c:pt>
                <c:pt idx="286">
                  <c:v>6078</c:v>
                </c:pt>
                <c:pt idx="287">
                  <c:v>6566</c:v>
                </c:pt>
                <c:pt idx="288">
                  <c:v>6661</c:v>
                </c:pt>
                <c:pt idx="289">
                  <c:v>6512</c:v>
                </c:pt>
                <c:pt idx="290">
                  <c:v>6313</c:v>
                </c:pt>
                <c:pt idx="291">
                  <c:v>6335</c:v>
                </c:pt>
                <c:pt idx="292">
                  <c:v>6540</c:v>
                </c:pt>
                <c:pt idx="293">
                  <c:v>6541</c:v>
                </c:pt>
                <c:pt idx="294">
                  <c:v>6828</c:v>
                </c:pt>
                <c:pt idx="295">
                  <c:v>6410</c:v>
                </c:pt>
                <c:pt idx="296">
                  <c:v>6626</c:v>
                </c:pt>
                <c:pt idx="297">
                  <c:v>6363</c:v>
                </c:pt>
                <c:pt idx="298">
                  <c:v>6758</c:v>
                </c:pt>
                <c:pt idx="299">
                  <c:v>6854</c:v>
                </c:pt>
                <c:pt idx="300">
                  <c:v>6520</c:v>
                </c:pt>
                <c:pt idx="301">
                  <c:v>6793</c:v>
                </c:pt>
                <c:pt idx="302">
                  <c:v>6788</c:v>
                </c:pt>
                <c:pt idx="303">
                  <c:v>6971</c:v>
                </c:pt>
                <c:pt idx="304">
                  <c:v>6422</c:v>
                </c:pt>
                <c:pt idx="305">
                  <c:v>6182</c:v>
                </c:pt>
                <c:pt idx="306">
                  <c:v>6828</c:v>
                </c:pt>
                <c:pt idx="307">
                  <c:v>6299</c:v>
                </c:pt>
                <c:pt idx="308">
                  <c:v>6496</c:v>
                </c:pt>
                <c:pt idx="309">
                  <c:v>6599</c:v>
                </c:pt>
                <c:pt idx="310">
                  <c:v>7030</c:v>
                </c:pt>
                <c:pt idx="311">
                  <c:v>6431</c:v>
                </c:pt>
                <c:pt idx="312">
                  <c:v>6959</c:v>
                </c:pt>
                <c:pt idx="313">
                  <c:v>6835</c:v>
                </c:pt>
                <c:pt idx="314">
                  <c:v>6966</c:v>
                </c:pt>
                <c:pt idx="315">
                  <c:v>7146</c:v>
                </c:pt>
                <c:pt idx="316">
                  <c:v>6990</c:v>
                </c:pt>
                <c:pt idx="317">
                  <c:v>6919</c:v>
                </c:pt>
                <c:pt idx="318">
                  <c:v>6797</c:v>
                </c:pt>
                <c:pt idx="319">
                  <c:v>6485</c:v>
                </c:pt>
                <c:pt idx="320">
                  <c:v>7043</c:v>
                </c:pt>
                <c:pt idx="321">
                  <c:v>6848</c:v>
                </c:pt>
                <c:pt idx="322">
                  <c:v>7029</c:v>
                </c:pt>
                <c:pt idx="323">
                  <c:v>6519</c:v>
                </c:pt>
                <c:pt idx="324">
                  <c:v>6800</c:v>
                </c:pt>
                <c:pt idx="325">
                  <c:v>7064</c:v>
                </c:pt>
                <c:pt idx="326">
                  <c:v>6967</c:v>
                </c:pt>
                <c:pt idx="327">
                  <c:v>7469</c:v>
                </c:pt>
                <c:pt idx="328">
                  <c:v>6978</c:v>
                </c:pt>
                <c:pt idx="329">
                  <c:v>7316</c:v>
                </c:pt>
                <c:pt idx="330">
                  <c:v>7151</c:v>
                </c:pt>
                <c:pt idx="331">
                  <c:v>7332</c:v>
                </c:pt>
                <c:pt idx="332">
                  <c:v>7409</c:v>
                </c:pt>
                <c:pt idx="333">
                  <c:v>7112</c:v>
                </c:pt>
                <c:pt idx="334">
                  <c:v>6758</c:v>
                </c:pt>
                <c:pt idx="335">
                  <c:v>7739</c:v>
                </c:pt>
                <c:pt idx="336">
                  <c:v>7511</c:v>
                </c:pt>
                <c:pt idx="337">
                  <c:v>7480</c:v>
                </c:pt>
                <c:pt idx="338">
                  <c:v>7394</c:v>
                </c:pt>
                <c:pt idx="339">
                  <c:v>7594</c:v>
                </c:pt>
                <c:pt idx="340">
                  <c:v>7931</c:v>
                </c:pt>
                <c:pt idx="341">
                  <c:v>8181</c:v>
                </c:pt>
                <c:pt idx="342">
                  <c:v>7558</c:v>
                </c:pt>
                <c:pt idx="343">
                  <c:v>7820</c:v>
                </c:pt>
                <c:pt idx="344">
                  <c:v>7560</c:v>
                </c:pt>
                <c:pt idx="345">
                  <c:v>7504</c:v>
                </c:pt>
                <c:pt idx="346">
                  <c:v>7741</c:v>
                </c:pt>
                <c:pt idx="347">
                  <c:v>7976</c:v>
                </c:pt>
                <c:pt idx="348">
                  <c:v>7718</c:v>
                </c:pt>
                <c:pt idx="349">
                  <c:v>8094</c:v>
                </c:pt>
                <c:pt idx="350">
                  <c:v>7570</c:v>
                </c:pt>
                <c:pt idx="351">
                  <c:v>7820</c:v>
                </c:pt>
                <c:pt idx="352">
                  <c:v>8075</c:v>
                </c:pt>
                <c:pt idx="353">
                  <c:v>8097</c:v>
                </c:pt>
                <c:pt idx="354">
                  <c:v>8098</c:v>
                </c:pt>
                <c:pt idx="355">
                  <c:v>8002</c:v>
                </c:pt>
                <c:pt idx="356">
                  <c:v>8283</c:v>
                </c:pt>
                <c:pt idx="357">
                  <c:v>8095</c:v>
                </c:pt>
                <c:pt idx="358">
                  <c:v>8250</c:v>
                </c:pt>
                <c:pt idx="359">
                  <c:v>8412</c:v>
                </c:pt>
                <c:pt idx="360">
                  <c:v>8513</c:v>
                </c:pt>
                <c:pt idx="361">
                  <c:v>8708</c:v>
                </c:pt>
                <c:pt idx="362">
                  <c:v>8929</c:v>
                </c:pt>
                <c:pt idx="363">
                  <c:v>8191</c:v>
                </c:pt>
                <c:pt idx="364">
                  <c:v>8502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03-4866-B336-EFFACC1B7F4C}"/>
            </c:ext>
          </c:extLst>
        </c:ser>
        <c:ser>
          <c:idx val="1"/>
          <c:order val="1"/>
          <c:tx>
            <c:v>MA-3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'Moving Average'!$A$2:$A$366</c:f>
              <c:numCache>
                <c:formatCode>General</c:formatCode>
                <c:ptCount val="365"/>
                <c:pt idx="0">
                  <c:v>39</c:v>
                </c:pt>
                <c:pt idx="1">
                  <c:v>40</c:v>
                </c:pt>
                <c:pt idx="2">
                  <c:v>41</c:v>
                </c:pt>
                <c:pt idx="3">
                  <c:v>42</c:v>
                </c:pt>
                <c:pt idx="4">
                  <c:v>43</c:v>
                </c:pt>
                <c:pt idx="5">
                  <c:v>43</c:v>
                </c:pt>
                <c:pt idx="6">
                  <c:v>44</c:v>
                </c:pt>
                <c:pt idx="7">
                  <c:v>44</c:v>
                </c:pt>
                <c:pt idx="8">
                  <c:v>45</c:v>
                </c:pt>
                <c:pt idx="9">
                  <c:v>45</c:v>
                </c:pt>
                <c:pt idx="10">
                  <c:v>45</c:v>
                </c:pt>
                <c:pt idx="11">
                  <c:v>46</c:v>
                </c:pt>
                <c:pt idx="12">
                  <c:v>46</c:v>
                </c:pt>
                <c:pt idx="13">
                  <c:v>47</c:v>
                </c:pt>
                <c:pt idx="14">
                  <c:v>48</c:v>
                </c:pt>
                <c:pt idx="15">
                  <c:v>48</c:v>
                </c:pt>
                <c:pt idx="16">
                  <c:v>48</c:v>
                </c:pt>
                <c:pt idx="17">
                  <c:v>48</c:v>
                </c:pt>
                <c:pt idx="18">
                  <c:v>48</c:v>
                </c:pt>
                <c:pt idx="19">
                  <c:v>48</c:v>
                </c:pt>
                <c:pt idx="20">
                  <c:v>49</c:v>
                </c:pt>
                <c:pt idx="21">
                  <c:v>49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51</c:v>
                </c:pt>
                <c:pt idx="28">
                  <c:v>51</c:v>
                </c:pt>
                <c:pt idx="29">
                  <c:v>52</c:v>
                </c:pt>
                <c:pt idx="30">
                  <c:v>52</c:v>
                </c:pt>
                <c:pt idx="31">
                  <c:v>52</c:v>
                </c:pt>
                <c:pt idx="32">
                  <c:v>52</c:v>
                </c:pt>
                <c:pt idx="33">
                  <c:v>52</c:v>
                </c:pt>
                <c:pt idx="34">
                  <c:v>53</c:v>
                </c:pt>
                <c:pt idx="35">
                  <c:v>53</c:v>
                </c:pt>
                <c:pt idx="36">
                  <c:v>53</c:v>
                </c:pt>
                <c:pt idx="37">
                  <c:v>53</c:v>
                </c:pt>
                <c:pt idx="38">
                  <c:v>54</c:v>
                </c:pt>
                <c:pt idx="39">
                  <c:v>54</c:v>
                </c:pt>
                <c:pt idx="40">
                  <c:v>54</c:v>
                </c:pt>
                <c:pt idx="41">
                  <c:v>54</c:v>
                </c:pt>
                <c:pt idx="42">
                  <c:v>54</c:v>
                </c:pt>
                <c:pt idx="43">
                  <c:v>54</c:v>
                </c:pt>
                <c:pt idx="44">
                  <c:v>54</c:v>
                </c:pt>
                <c:pt idx="45">
                  <c:v>54</c:v>
                </c:pt>
                <c:pt idx="46">
                  <c:v>54</c:v>
                </c:pt>
                <c:pt idx="47">
                  <c:v>55</c:v>
                </c:pt>
                <c:pt idx="48">
                  <c:v>55</c:v>
                </c:pt>
                <c:pt idx="49">
                  <c:v>55</c:v>
                </c:pt>
                <c:pt idx="50">
                  <c:v>55</c:v>
                </c:pt>
                <c:pt idx="51">
                  <c:v>56</c:v>
                </c:pt>
                <c:pt idx="52">
                  <c:v>56</c:v>
                </c:pt>
                <c:pt idx="53">
                  <c:v>57</c:v>
                </c:pt>
                <c:pt idx="54">
                  <c:v>57</c:v>
                </c:pt>
                <c:pt idx="55">
                  <c:v>58</c:v>
                </c:pt>
                <c:pt idx="56">
                  <c:v>58</c:v>
                </c:pt>
                <c:pt idx="57">
                  <c:v>58</c:v>
                </c:pt>
                <c:pt idx="58">
                  <c:v>58</c:v>
                </c:pt>
                <c:pt idx="59">
                  <c:v>58</c:v>
                </c:pt>
                <c:pt idx="60">
                  <c:v>58</c:v>
                </c:pt>
                <c:pt idx="61">
                  <c:v>59</c:v>
                </c:pt>
                <c:pt idx="62">
                  <c:v>59</c:v>
                </c:pt>
                <c:pt idx="63">
                  <c:v>59</c:v>
                </c:pt>
                <c:pt idx="64">
                  <c:v>59</c:v>
                </c:pt>
                <c:pt idx="65">
                  <c:v>59</c:v>
                </c:pt>
                <c:pt idx="66">
                  <c:v>59</c:v>
                </c:pt>
                <c:pt idx="67">
                  <c:v>59</c:v>
                </c:pt>
                <c:pt idx="68">
                  <c:v>59</c:v>
                </c:pt>
                <c:pt idx="69">
                  <c:v>60</c:v>
                </c:pt>
                <c:pt idx="70">
                  <c:v>60</c:v>
                </c:pt>
                <c:pt idx="71">
                  <c:v>60</c:v>
                </c:pt>
                <c:pt idx="72">
                  <c:v>60</c:v>
                </c:pt>
                <c:pt idx="73">
                  <c:v>60</c:v>
                </c:pt>
                <c:pt idx="74">
                  <c:v>61</c:v>
                </c:pt>
                <c:pt idx="75">
                  <c:v>61</c:v>
                </c:pt>
                <c:pt idx="76">
                  <c:v>61</c:v>
                </c:pt>
                <c:pt idx="77">
                  <c:v>61</c:v>
                </c:pt>
                <c:pt idx="78">
                  <c:v>61</c:v>
                </c:pt>
                <c:pt idx="79">
                  <c:v>61</c:v>
                </c:pt>
                <c:pt idx="80">
                  <c:v>61</c:v>
                </c:pt>
                <c:pt idx="81">
                  <c:v>61</c:v>
                </c:pt>
                <c:pt idx="82">
                  <c:v>61</c:v>
                </c:pt>
                <c:pt idx="83">
                  <c:v>62</c:v>
                </c:pt>
                <c:pt idx="84">
                  <c:v>62</c:v>
                </c:pt>
                <c:pt idx="85">
                  <c:v>62</c:v>
                </c:pt>
                <c:pt idx="86">
                  <c:v>62</c:v>
                </c:pt>
                <c:pt idx="87">
                  <c:v>63</c:v>
                </c:pt>
                <c:pt idx="88">
                  <c:v>63</c:v>
                </c:pt>
                <c:pt idx="89">
                  <c:v>63</c:v>
                </c:pt>
                <c:pt idx="90">
                  <c:v>63</c:v>
                </c:pt>
                <c:pt idx="91">
                  <c:v>63</c:v>
                </c:pt>
                <c:pt idx="92">
                  <c:v>64</c:v>
                </c:pt>
                <c:pt idx="93">
                  <c:v>64</c:v>
                </c:pt>
                <c:pt idx="94">
                  <c:v>64</c:v>
                </c:pt>
                <c:pt idx="95">
                  <c:v>64</c:v>
                </c:pt>
                <c:pt idx="96">
                  <c:v>64</c:v>
                </c:pt>
                <c:pt idx="97">
                  <c:v>64</c:v>
                </c:pt>
                <c:pt idx="98">
                  <c:v>64</c:v>
                </c:pt>
                <c:pt idx="99">
                  <c:v>64</c:v>
                </c:pt>
                <c:pt idx="100">
                  <c:v>64</c:v>
                </c:pt>
                <c:pt idx="101">
                  <c:v>65</c:v>
                </c:pt>
                <c:pt idx="102">
                  <c:v>65</c:v>
                </c:pt>
                <c:pt idx="103">
                  <c:v>65</c:v>
                </c:pt>
                <c:pt idx="104">
                  <c:v>65</c:v>
                </c:pt>
                <c:pt idx="105">
                  <c:v>65</c:v>
                </c:pt>
                <c:pt idx="106">
                  <c:v>65</c:v>
                </c:pt>
                <c:pt idx="107">
                  <c:v>65</c:v>
                </c:pt>
                <c:pt idx="108">
                  <c:v>65</c:v>
                </c:pt>
                <c:pt idx="109">
                  <c:v>65</c:v>
                </c:pt>
                <c:pt idx="110">
                  <c:v>66</c:v>
                </c:pt>
                <c:pt idx="111">
                  <c:v>66</c:v>
                </c:pt>
                <c:pt idx="112">
                  <c:v>66</c:v>
                </c:pt>
                <c:pt idx="113">
                  <c:v>66</c:v>
                </c:pt>
                <c:pt idx="114">
                  <c:v>66</c:v>
                </c:pt>
                <c:pt idx="115">
                  <c:v>66</c:v>
                </c:pt>
                <c:pt idx="116">
                  <c:v>66</c:v>
                </c:pt>
                <c:pt idx="117">
                  <c:v>66</c:v>
                </c:pt>
                <c:pt idx="118">
                  <c:v>66</c:v>
                </c:pt>
                <c:pt idx="119">
                  <c:v>66</c:v>
                </c:pt>
                <c:pt idx="120">
                  <c:v>66</c:v>
                </c:pt>
                <c:pt idx="121">
                  <c:v>66</c:v>
                </c:pt>
                <c:pt idx="122">
                  <c:v>66</c:v>
                </c:pt>
                <c:pt idx="123">
                  <c:v>66</c:v>
                </c:pt>
                <c:pt idx="124">
                  <c:v>67</c:v>
                </c:pt>
                <c:pt idx="125">
                  <c:v>67</c:v>
                </c:pt>
                <c:pt idx="126">
                  <c:v>67</c:v>
                </c:pt>
                <c:pt idx="127">
                  <c:v>67</c:v>
                </c:pt>
                <c:pt idx="128">
                  <c:v>67</c:v>
                </c:pt>
                <c:pt idx="129">
                  <c:v>67</c:v>
                </c:pt>
                <c:pt idx="130">
                  <c:v>68</c:v>
                </c:pt>
                <c:pt idx="131">
                  <c:v>68</c:v>
                </c:pt>
                <c:pt idx="132">
                  <c:v>68</c:v>
                </c:pt>
                <c:pt idx="133">
                  <c:v>68</c:v>
                </c:pt>
                <c:pt idx="134">
                  <c:v>68</c:v>
                </c:pt>
                <c:pt idx="135">
                  <c:v>68</c:v>
                </c:pt>
                <c:pt idx="136">
                  <c:v>68</c:v>
                </c:pt>
                <c:pt idx="137">
                  <c:v>68</c:v>
                </c:pt>
                <c:pt idx="138">
                  <c:v>68</c:v>
                </c:pt>
                <c:pt idx="139">
                  <c:v>68</c:v>
                </c:pt>
                <c:pt idx="140">
                  <c:v>68</c:v>
                </c:pt>
                <c:pt idx="141">
                  <c:v>68</c:v>
                </c:pt>
                <c:pt idx="142">
                  <c:v>69</c:v>
                </c:pt>
                <c:pt idx="143">
                  <c:v>69</c:v>
                </c:pt>
                <c:pt idx="144">
                  <c:v>69</c:v>
                </c:pt>
                <c:pt idx="145">
                  <c:v>69</c:v>
                </c:pt>
                <c:pt idx="146">
                  <c:v>69</c:v>
                </c:pt>
                <c:pt idx="147">
                  <c:v>69</c:v>
                </c:pt>
                <c:pt idx="148">
                  <c:v>70</c:v>
                </c:pt>
                <c:pt idx="149">
                  <c:v>70</c:v>
                </c:pt>
                <c:pt idx="150">
                  <c:v>70</c:v>
                </c:pt>
                <c:pt idx="151">
                  <c:v>70</c:v>
                </c:pt>
                <c:pt idx="152">
                  <c:v>70</c:v>
                </c:pt>
                <c:pt idx="153">
                  <c:v>70</c:v>
                </c:pt>
                <c:pt idx="154">
                  <c:v>70</c:v>
                </c:pt>
                <c:pt idx="155">
                  <c:v>70</c:v>
                </c:pt>
                <c:pt idx="156">
                  <c:v>70</c:v>
                </c:pt>
                <c:pt idx="157">
                  <c:v>71</c:v>
                </c:pt>
                <c:pt idx="158">
                  <c:v>71</c:v>
                </c:pt>
                <c:pt idx="159">
                  <c:v>71</c:v>
                </c:pt>
                <c:pt idx="160">
                  <c:v>71</c:v>
                </c:pt>
                <c:pt idx="161">
                  <c:v>71</c:v>
                </c:pt>
                <c:pt idx="162">
                  <c:v>71</c:v>
                </c:pt>
                <c:pt idx="163">
                  <c:v>71</c:v>
                </c:pt>
                <c:pt idx="164">
                  <c:v>71</c:v>
                </c:pt>
                <c:pt idx="165">
                  <c:v>71</c:v>
                </c:pt>
                <c:pt idx="166">
                  <c:v>72</c:v>
                </c:pt>
                <c:pt idx="167">
                  <c:v>72</c:v>
                </c:pt>
                <c:pt idx="168">
                  <c:v>72</c:v>
                </c:pt>
                <c:pt idx="169">
                  <c:v>72</c:v>
                </c:pt>
                <c:pt idx="170">
                  <c:v>72</c:v>
                </c:pt>
                <c:pt idx="171">
                  <c:v>72</c:v>
                </c:pt>
                <c:pt idx="172">
                  <c:v>72</c:v>
                </c:pt>
                <c:pt idx="173">
                  <c:v>72</c:v>
                </c:pt>
                <c:pt idx="174">
                  <c:v>72</c:v>
                </c:pt>
                <c:pt idx="175">
                  <c:v>72</c:v>
                </c:pt>
                <c:pt idx="176">
                  <c:v>73</c:v>
                </c:pt>
                <c:pt idx="177">
                  <c:v>73</c:v>
                </c:pt>
                <c:pt idx="178">
                  <c:v>73</c:v>
                </c:pt>
                <c:pt idx="179">
                  <c:v>73</c:v>
                </c:pt>
                <c:pt idx="180">
                  <c:v>73</c:v>
                </c:pt>
                <c:pt idx="181">
                  <c:v>73</c:v>
                </c:pt>
                <c:pt idx="182">
                  <c:v>73</c:v>
                </c:pt>
                <c:pt idx="183">
                  <c:v>73</c:v>
                </c:pt>
                <c:pt idx="184">
                  <c:v>73</c:v>
                </c:pt>
                <c:pt idx="185">
                  <c:v>74</c:v>
                </c:pt>
                <c:pt idx="186">
                  <c:v>74</c:v>
                </c:pt>
                <c:pt idx="187">
                  <c:v>74</c:v>
                </c:pt>
                <c:pt idx="188">
                  <c:v>74</c:v>
                </c:pt>
                <c:pt idx="189">
                  <c:v>74</c:v>
                </c:pt>
                <c:pt idx="190">
                  <c:v>74</c:v>
                </c:pt>
                <c:pt idx="191">
                  <c:v>74</c:v>
                </c:pt>
                <c:pt idx="192">
                  <c:v>74</c:v>
                </c:pt>
                <c:pt idx="193">
                  <c:v>74</c:v>
                </c:pt>
                <c:pt idx="194">
                  <c:v>74</c:v>
                </c:pt>
                <c:pt idx="195">
                  <c:v>74</c:v>
                </c:pt>
                <c:pt idx="196">
                  <c:v>74</c:v>
                </c:pt>
                <c:pt idx="197">
                  <c:v>75</c:v>
                </c:pt>
                <c:pt idx="198">
                  <c:v>75</c:v>
                </c:pt>
                <c:pt idx="199">
                  <c:v>75</c:v>
                </c:pt>
                <c:pt idx="200">
                  <c:v>75</c:v>
                </c:pt>
                <c:pt idx="201">
                  <c:v>75</c:v>
                </c:pt>
                <c:pt idx="202">
                  <c:v>75</c:v>
                </c:pt>
                <c:pt idx="203">
                  <c:v>76</c:v>
                </c:pt>
                <c:pt idx="204">
                  <c:v>76</c:v>
                </c:pt>
                <c:pt idx="205">
                  <c:v>76</c:v>
                </c:pt>
                <c:pt idx="206">
                  <c:v>76</c:v>
                </c:pt>
                <c:pt idx="207">
                  <c:v>76</c:v>
                </c:pt>
                <c:pt idx="208">
                  <c:v>76</c:v>
                </c:pt>
                <c:pt idx="209">
                  <c:v>76</c:v>
                </c:pt>
                <c:pt idx="210">
                  <c:v>76</c:v>
                </c:pt>
                <c:pt idx="211">
                  <c:v>76</c:v>
                </c:pt>
                <c:pt idx="212">
                  <c:v>76</c:v>
                </c:pt>
                <c:pt idx="213">
                  <c:v>76</c:v>
                </c:pt>
                <c:pt idx="214">
                  <c:v>77</c:v>
                </c:pt>
                <c:pt idx="215">
                  <c:v>77</c:v>
                </c:pt>
                <c:pt idx="216">
                  <c:v>77</c:v>
                </c:pt>
                <c:pt idx="217">
                  <c:v>77</c:v>
                </c:pt>
                <c:pt idx="218">
                  <c:v>77</c:v>
                </c:pt>
                <c:pt idx="219">
                  <c:v>77</c:v>
                </c:pt>
                <c:pt idx="220">
                  <c:v>77</c:v>
                </c:pt>
                <c:pt idx="221">
                  <c:v>77</c:v>
                </c:pt>
                <c:pt idx="222">
                  <c:v>77</c:v>
                </c:pt>
                <c:pt idx="223">
                  <c:v>77</c:v>
                </c:pt>
                <c:pt idx="224">
                  <c:v>77</c:v>
                </c:pt>
                <c:pt idx="225">
                  <c:v>77</c:v>
                </c:pt>
                <c:pt idx="226">
                  <c:v>77</c:v>
                </c:pt>
                <c:pt idx="227">
                  <c:v>77</c:v>
                </c:pt>
                <c:pt idx="228">
                  <c:v>77</c:v>
                </c:pt>
                <c:pt idx="229">
                  <c:v>78</c:v>
                </c:pt>
                <c:pt idx="230">
                  <c:v>78</c:v>
                </c:pt>
                <c:pt idx="231">
                  <c:v>78</c:v>
                </c:pt>
                <c:pt idx="232">
                  <c:v>78</c:v>
                </c:pt>
                <c:pt idx="233">
                  <c:v>78</c:v>
                </c:pt>
                <c:pt idx="234">
                  <c:v>78</c:v>
                </c:pt>
                <c:pt idx="235">
                  <c:v>78</c:v>
                </c:pt>
                <c:pt idx="236">
                  <c:v>78</c:v>
                </c:pt>
                <c:pt idx="237">
                  <c:v>78</c:v>
                </c:pt>
                <c:pt idx="238">
                  <c:v>78</c:v>
                </c:pt>
                <c:pt idx="239">
                  <c:v>78</c:v>
                </c:pt>
                <c:pt idx="240">
                  <c:v>78</c:v>
                </c:pt>
                <c:pt idx="241">
                  <c:v>79</c:v>
                </c:pt>
                <c:pt idx="242">
                  <c:v>79</c:v>
                </c:pt>
                <c:pt idx="243">
                  <c:v>79</c:v>
                </c:pt>
                <c:pt idx="244">
                  <c:v>79</c:v>
                </c:pt>
                <c:pt idx="245">
                  <c:v>79</c:v>
                </c:pt>
                <c:pt idx="246">
                  <c:v>79</c:v>
                </c:pt>
                <c:pt idx="247">
                  <c:v>79</c:v>
                </c:pt>
                <c:pt idx="248">
                  <c:v>79</c:v>
                </c:pt>
                <c:pt idx="249">
                  <c:v>79</c:v>
                </c:pt>
                <c:pt idx="250">
                  <c:v>79</c:v>
                </c:pt>
                <c:pt idx="251">
                  <c:v>79</c:v>
                </c:pt>
                <c:pt idx="252">
                  <c:v>79</c:v>
                </c:pt>
                <c:pt idx="253">
                  <c:v>80</c:v>
                </c:pt>
                <c:pt idx="254">
                  <c:v>80</c:v>
                </c:pt>
                <c:pt idx="255">
                  <c:v>80</c:v>
                </c:pt>
                <c:pt idx="256">
                  <c:v>80</c:v>
                </c:pt>
                <c:pt idx="257">
                  <c:v>80</c:v>
                </c:pt>
                <c:pt idx="258">
                  <c:v>80</c:v>
                </c:pt>
                <c:pt idx="259">
                  <c:v>80</c:v>
                </c:pt>
                <c:pt idx="260">
                  <c:v>80</c:v>
                </c:pt>
                <c:pt idx="261">
                  <c:v>80</c:v>
                </c:pt>
                <c:pt idx="262">
                  <c:v>81</c:v>
                </c:pt>
                <c:pt idx="263">
                  <c:v>81</c:v>
                </c:pt>
                <c:pt idx="264">
                  <c:v>81</c:v>
                </c:pt>
                <c:pt idx="265">
                  <c:v>81</c:v>
                </c:pt>
                <c:pt idx="266">
                  <c:v>81</c:v>
                </c:pt>
                <c:pt idx="267">
                  <c:v>81</c:v>
                </c:pt>
                <c:pt idx="268">
                  <c:v>81</c:v>
                </c:pt>
                <c:pt idx="269">
                  <c:v>81</c:v>
                </c:pt>
                <c:pt idx="270">
                  <c:v>81</c:v>
                </c:pt>
                <c:pt idx="271">
                  <c:v>82</c:v>
                </c:pt>
                <c:pt idx="272">
                  <c:v>82</c:v>
                </c:pt>
                <c:pt idx="273">
                  <c:v>82</c:v>
                </c:pt>
                <c:pt idx="274">
                  <c:v>82</c:v>
                </c:pt>
                <c:pt idx="275">
                  <c:v>82</c:v>
                </c:pt>
                <c:pt idx="276">
                  <c:v>82</c:v>
                </c:pt>
                <c:pt idx="277">
                  <c:v>82</c:v>
                </c:pt>
                <c:pt idx="278">
                  <c:v>82</c:v>
                </c:pt>
                <c:pt idx="279">
                  <c:v>82</c:v>
                </c:pt>
                <c:pt idx="280">
                  <c:v>82</c:v>
                </c:pt>
                <c:pt idx="281">
                  <c:v>82</c:v>
                </c:pt>
                <c:pt idx="282">
                  <c:v>83</c:v>
                </c:pt>
                <c:pt idx="283">
                  <c:v>83</c:v>
                </c:pt>
                <c:pt idx="284">
                  <c:v>83</c:v>
                </c:pt>
                <c:pt idx="285">
                  <c:v>83</c:v>
                </c:pt>
                <c:pt idx="286">
                  <c:v>83</c:v>
                </c:pt>
                <c:pt idx="287">
                  <c:v>83</c:v>
                </c:pt>
                <c:pt idx="288">
                  <c:v>84</c:v>
                </c:pt>
                <c:pt idx="289">
                  <c:v>84</c:v>
                </c:pt>
                <c:pt idx="290">
                  <c:v>84</c:v>
                </c:pt>
                <c:pt idx="291">
                  <c:v>84</c:v>
                </c:pt>
                <c:pt idx="292">
                  <c:v>84</c:v>
                </c:pt>
                <c:pt idx="293">
                  <c:v>84</c:v>
                </c:pt>
                <c:pt idx="294">
                  <c:v>84</c:v>
                </c:pt>
                <c:pt idx="295">
                  <c:v>84</c:v>
                </c:pt>
                <c:pt idx="296">
                  <c:v>84</c:v>
                </c:pt>
                <c:pt idx="297">
                  <c:v>84</c:v>
                </c:pt>
                <c:pt idx="298">
                  <c:v>84</c:v>
                </c:pt>
                <c:pt idx="299">
                  <c:v>84</c:v>
                </c:pt>
                <c:pt idx="300">
                  <c:v>84</c:v>
                </c:pt>
                <c:pt idx="301">
                  <c:v>85</c:v>
                </c:pt>
                <c:pt idx="302">
                  <c:v>85</c:v>
                </c:pt>
                <c:pt idx="303">
                  <c:v>85</c:v>
                </c:pt>
                <c:pt idx="304">
                  <c:v>85</c:v>
                </c:pt>
                <c:pt idx="305">
                  <c:v>85</c:v>
                </c:pt>
                <c:pt idx="306">
                  <c:v>85</c:v>
                </c:pt>
                <c:pt idx="307">
                  <c:v>85</c:v>
                </c:pt>
                <c:pt idx="308">
                  <c:v>85</c:v>
                </c:pt>
                <c:pt idx="309">
                  <c:v>85</c:v>
                </c:pt>
                <c:pt idx="310">
                  <c:v>85</c:v>
                </c:pt>
                <c:pt idx="311">
                  <c:v>85</c:v>
                </c:pt>
                <c:pt idx="312">
                  <c:v>86</c:v>
                </c:pt>
                <c:pt idx="313">
                  <c:v>86</c:v>
                </c:pt>
                <c:pt idx="314">
                  <c:v>86</c:v>
                </c:pt>
                <c:pt idx="315">
                  <c:v>86</c:v>
                </c:pt>
                <c:pt idx="316">
                  <c:v>86</c:v>
                </c:pt>
                <c:pt idx="317">
                  <c:v>86</c:v>
                </c:pt>
                <c:pt idx="318">
                  <c:v>86</c:v>
                </c:pt>
                <c:pt idx="319">
                  <c:v>86</c:v>
                </c:pt>
                <c:pt idx="320">
                  <c:v>87</c:v>
                </c:pt>
                <c:pt idx="321">
                  <c:v>87</c:v>
                </c:pt>
                <c:pt idx="322">
                  <c:v>87</c:v>
                </c:pt>
                <c:pt idx="323">
                  <c:v>87</c:v>
                </c:pt>
                <c:pt idx="324">
                  <c:v>87</c:v>
                </c:pt>
                <c:pt idx="325">
                  <c:v>87</c:v>
                </c:pt>
                <c:pt idx="326">
                  <c:v>88</c:v>
                </c:pt>
                <c:pt idx="327">
                  <c:v>88</c:v>
                </c:pt>
                <c:pt idx="328">
                  <c:v>88</c:v>
                </c:pt>
                <c:pt idx="329">
                  <c:v>89</c:v>
                </c:pt>
                <c:pt idx="330">
                  <c:v>89</c:v>
                </c:pt>
                <c:pt idx="331">
                  <c:v>89</c:v>
                </c:pt>
                <c:pt idx="332">
                  <c:v>89</c:v>
                </c:pt>
                <c:pt idx="333">
                  <c:v>90</c:v>
                </c:pt>
                <c:pt idx="334">
                  <c:v>90</c:v>
                </c:pt>
                <c:pt idx="335">
                  <c:v>90</c:v>
                </c:pt>
                <c:pt idx="336">
                  <c:v>90</c:v>
                </c:pt>
                <c:pt idx="337">
                  <c:v>90</c:v>
                </c:pt>
                <c:pt idx="338">
                  <c:v>90</c:v>
                </c:pt>
                <c:pt idx="339">
                  <c:v>90</c:v>
                </c:pt>
                <c:pt idx="340">
                  <c:v>91</c:v>
                </c:pt>
                <c:pt idx="341">
                  <c:v>91</c:v>
                </c:pt>
                <c:pt idx="342">
                  <c:v>91</c:v>
                </c:pt>
                <c:pt idx="343">
                  <c:v>92</c:v>
                </c:pt>
                <c:pt idx="344">
                  <c:v>92</c:v>
                </c:pt>
                <c:pt idx="345">
                  <c:v>92</c:v>
                </c:pt>
                <c:pt idx="346">
                  <c:v>92</c:v>
                </c:pt>
                <c:pt idx="347">
                  <c:v>93</c:v>
                </c:pt>
                <c:pt idx="348">
                  <c:v>93</c:v>
                </c:pt>
                <c:pt idx="349">
                  <c:v>94</c:v>
                </c:pt>
                <c:pt idx="350">
                  <c:v>94</c:v>
                </c:pt>
                <c:pt idx="351">
                  <c:v>95</c:v>
                </c:pt>
                <c:pt idx="352">
                  <c:v>95</c:v>
                </c:pt>
                <c:pt idx="353">
                  <c:v>95</c:v>
                </c:pt>
                <c:pt idx="354">
                  <c:v>95</c:v>
                </c:pt>
                <c:pt idx="355">
                  <c:v>96</c:v>
                </c:pt>
                <c:pt idx="356">
                  <c:v>96</c:v>
                </c:pt>
                <c:pt idx="357">
                  <c:v>96</c:v>
                </c:pt>
                <c:pt idx="358">
                  <c:v>97</c:v>
                </c:pt>
                <c:pt idx="359">
                  <c:v>98</c:v>
                </c:pt>
                <c:pt idx="360">
                  <c:v>99</c:v>
                </c:pt>
                <c:pt idx="361">
                  <c:v>99</c:v>
                </c:pt>
                <c:pt idx="362">
                  <c:v>99</c:v>
                </c:pt>
                <c:pt idx="363">
                  <c:v>101</c:v>
                </c:pt>
                <c:pt idx="364">
                  <c:v>101</c:v>
                </c:pt>
              </c:numCache>
            </c:numRef>
          </c:cat>
          <c:val>
            <c:numRef>
              <c:f>'Moving Average'!$E$5:$E$369</c:f>
              <c:numCache>
                <c:formatCode>General</c:formatCode>
                <c:ptCount val="365"/>
                <c:pt idx="0">
                  <c:v>1462.3333333333333</c:v>
                </c:pt>
                <c:pt idx="1">
                  <c:v>1645</c:v>
                </c:pt>
                <c:pt idx="2">
                  <c:v>1816.3333333333333</c:v>
                </c:pt>
                <c:pt idx="3">
                  <c:v>1718.3333333333333</c:v>
                </c:pt>
                <c:pt idx="4">
                  <c:v>1732.3333333333333</c:v>
                </c:pt>
                <c:pt idx="5">
                  <c:v>1817.3333333333333</c:v>
                </c:pt>
                <c:pt idx="6">
                  <c:v>2008.6666666666667</c:v>
                </c:pt>
                <c:pt idx="7">
                  <c:v>2117.6666666666665</c:v>
                </c:pt>
                <c:pt idx="8">
                  <c:v>2106.3333333333335</c:v>
                </c:pt>
                <c:pt idx="9">
                  <c:v>2094</c:v>
                </c:pt>
                <c:pt idx="10">
                  <c:v>2009.6666666666667</c:v>
                </c:pt>
                <c:pt idx="11">
                  <c:v>2106</c:v>
                </c:pt>
                <c:pt idx="12">
                  <c:v>2205</c:v>
                </c:pt>
                <c:pt idx="13">
                  <c:v>2367.3333333333335</c:v>
                </c:pt>
                <c:pt idx="14">
                  <c:v>2422.6666666666665</c:v>
                </c:pt>
                <c:pt idx="15">
                  <c:v>2495.6666666666665</c:v>
                </c:pt>
                <c:pt idx="16">
                  <c:v>2506.6666666666665</c:v>
                </c:pt>
                <c:pt idx="17">
                  <c:v>2457</c:v>
                </c:pt>
                <c:pt idx="18">
                  <c:v>2503.6666666666665</c:v>
                </c:pt>
                <c:pt idx="19">
                  <c:v>2454.6666666666665</c:v>
                </c:pt>
                <c:pt idx="20">
                  <c:v>2474.6666666666665</c:v>
                </c:pt>
                <c:pt idx="21">
                  <c:v>2403.6666666666665</c:v>
                </c:pt>
                <c:pt idx="22">
                  <c:v>2528.6666666666665</c:v>
                </c:pt>
                <c:pt idx="23">
                  <c:v>2687</c:v>
                </c:pt>
                <c:pt idx="24">
                  <c:v>2741.3333333333335</c:v>
                </c:pt>
                <c:pt idx="25">
                  <c:v>2562.6666666666665</c:v>
                </c:pt>
                <c:pt idx="26">
                  <c:v>2714</c:v>
                </c:pt>
                <c:pt idx="27">
                  <c:v>2826</c:v>
                </c:pt>
                <c:pt idx="28">
                  <c:v>3030</c:v>
                </c:pt>
                <c:pt idx="29">
                  <c:v>2918</c:v>
                </c:pt>
                <c:pt idx="30">
                  <c:v>2824.6666666666665</c:v>
                </c:pt>
                <c:pt idx="31">
                  <c:v>2869.3333333333335</c:v>
                </c:pt>
                <c:pt idx="32">
                  <c:v>2995.3333333333335</c:v>
                </c:pt>
                <c:pt idx="33">
                  <c:v>3120.3333333333335</c:v>
                </c:pt>
                <c:pt idx="34">
                  <c:v>2997.6666666666665</c:v>
                </c:pt>
                <c:pt idx="35">
                  <c:v>2860.3333333333335</c:v>
                </c:pt>
                <c:pt idx="36">
                  <c:v>2809.3333333333335</c:v>
                </c:pt>
                <c:pt idx="37">
                  <c:v>3071.6666666666665</c:v>
                </c:pt>
                <c:pt idx="38">
                  <c:v>3114</c:v>
                </c:pt>
                <c:pt idx="39">
                  <c:v>3175.6666666666665</c:v>
                </c:pt>
                <c:pt idx="40">
                  <c:v>3180</c:v>
                </c:pt>
                <c:pt idx="41">
                  <c:v>3134</c:v>
                </c:pt>
                <c:pt idx="42">
                  <c:v>2983</c:v>
                </c:pt>
                <c:pt idx="43">
                  <c:v>2792.3333333333335</c:v>
                </c:pt>
                <c:pt idx="44">
                  <c:v>2859</c:v>
                </c:pt>
                <c:pt idx="45">
                  <c:v>2868</c:v>
                </c:pt>
                <c:pt idx="46">
                  <c:v>2919.3333333333335</c:v>
                </c:pt>
                <c:pt idx="47">
                  <c:v>3037.3333333333335</c:v>
                </c:pt>
                <c:pt idx="48">
                  <c:v>3254.3333333333335</c:v>
                </c:pt>
                <c:pt idx="49">
                  <c:v>3377.3333333333335</c:v>
                </c:pt>
                <c:pt idx="50">
                  <c:v>3396</c:v>
                </c:pt>
                <c:pt idx="51">
                  <c:v>3286</c:v>
                </c:pt>
                <c:pt idx="52">
                  <c:v>3372</c:v>
                </c:pt>
                <c:pt idx="53">
                  <c:v>3337.6666666666665</c:v>
                </c:pt>
                <c:pt idx="54">
                  <c:v>3534.3333333333335</c:v>
                </c:pt>
                <c:pt idx="55">
                  <c:v>3393</c:v>
                </c:pt>
                <c:pt idx="56">
                  <c:v>3449.3333333333335</c:v>
                </c:pt>
                <c:pt idx="57">
                  <c:v>3426.6666666666665</c:v>
                </c:pt>
                <c:pt idx="58">
                  <c:v>3454.3333333333335</c:v>
                </c:pt>
                <c:pt idx="59">
                  <c:v>3556</c:v>
                </c:pt>
                <c:pt idx="60">
                  <c:v>3342</c:v>
                </c:pt>
                <c:pt idx="61">
                  <c:v>3544.6666666666665</c:v>
                </c:pt>
                <c:pt idx="62">
                  <c:v>3530</c:v>
                </c:pt>
                <c:pt idx="63">
                  <c:v>3764</c:v>
                </c:pt>
                <c:pt idx="64">
                  <c:v>3558</c:v>
                </c:pt>
                <c:pt idx="65">
                  <c:v>3550</c:v>
                </c:pt>
                <c:pt idx="66">
                  <c:v>3504</c:v>
                </c:pt>
                <c:pt idx="67">
                  <c:v>3596.3333333333335</c:v>
                </c:pt>
                <c:pt idx="68">
                  <c:v>3554.6666666666665</c:v>
                </c:pt>
                <c:pt idx="69">
                  <c:v>3718.6666666666665</c:v>
                </c:pt>
                <c:pt idx="70">
                  <c:v>3873</c:v>
                </c:pt>
                <c:pt idx="71">
                  <c:v>4029.6666666666665</c:v>
                </c:pt>
                <c:pt idx="72">
                  <c:v>3953.3333333333335</c:v>
                </c:pt>
                <c:pt idx="73">
                  <c:v>3900.3333333333335</c:v>
                </c:pt>
                <c:pt idx="74">
                  <c:v>3809</c:v>
                </c:pt>
                <c:pt idx="75">
                  <c:v>3787</c:v>
                </c:pt>
                <c:pt idx="76">
                  <c:v>3834.6666666666665</c:v>
                </c:pt>
                <c:pt idx="77">
                  <c:v>3808.3333333333335</c:v>
                </c:pt>
                <c:pt idx="78">
                  <c:v>3879</c:v>
                </c:pt>
                <c:pt idx="79">
                  <c:v>3833.3333333333335</c:v>
                </c:pt>
                <c:pt idx="80">
                  <c:v>3841.3333333333335</c:v>
                </c:pt>
                <c:pt idx="81">
                  <c:v>3828.6666666666665</c:v>
                </c:pt>
                <c:pt idx="82">
                  <c:v>3938</c:v>
                </c:pt>
                <c:pt idx="83">
                  <c:v>4022.3333333333335</c:v>
                </c:pt>
                <c:pt idx="84">
                  <c:v>3985.3333333333335</c:v>
                </c:pt>
                <c:pt idx="85">
                  <c:v>4276.333333333333</c:v>
                </c:pt>
                <c:pt idx="86">
                  <c:v>4408.333333333333</c:v>
                </c:pt>
                <c:pt idx="87">
                  <c:v>4530</c:v>
                </c:pt>
                <c:pt idx="88">
                  <c:v>4210.666666666667</c:v>
                </c:pt>
                <c:pt idx="89">
                  <c:v>4044.6666666666665</c:v>
                </c:pt>
                <c:pt idx="90">
                  <c:v>4011</c:v>
                </c:pt>
                <c:pt idx="91">
                  <c:v>4000.6666666666665</c:v>
                </c:pt>
                <c:pt idx="92">
                  <c:v>4068.6666666666665</c:v>
                </c:pt>
                <c:pt idx="93">
                  <c:v>4211.333333333333</c:v>
                </c:pt>
                <c:pt idx="94">
                  <c:v>4233.333333333333</c:v>
                </c:pt>
                <c:pt idx="95">
                  <c:v>4197.666666666667</c:v>
                </c:pt>
                <c:pt idx="96">
                  <c:v>3988.3333333333335</c:v>
                </c:pt>
                <c:pt idx="97">
                  <c:v>4092.6666666666665</c:v>
                </c:pt>
                <c:pt idx="98">
                  <c:v>4224.666666666667</c:v>
                </c:pt>
                <c:pt idx="99">
                  <c:v>4517.666666666667</c:v>
                </c:pt>
                <c:pt idx="100">
                  <c:v>4561.333333333333</c:v>
                </c:pt>
                <c:pt idx="101">
                  <c:v>4461</c:v>
                </c:pt>
                <c:pt idx="102">
                  <c:v>4341.666666666667</c:v>
                </c:pt>
                <c:pt idx="103">
                  <c:v>4253</c:v>
                </c:pt>
                <c:pt idx="104">
                  <c:v>4286.666666666667</c:v>
                </c:pt>
                <c:pt idx="105">
                  <c:v>4270</c:v>
                </c:pt>
                <c:pt idx="106">
                  <c:v>4323</c:v>
                </c:pt>
                <c:pt idx="107">
                  <c:v>4343.333333333333</c:v>
                </c:pt>
                <c:pt idx="108">
                  <c:v>4335</c:v>
                </c:pt>
                <c:pt idx="109">
                  <c:v>4263.333333333333</c:v>
                </c:pt>
                <c:pt idx="110">
                  <c:v>4397.666666666667</c:v>
                </c:pt>
                <c:pt idx="111">
                  <c:v>4552.666666666667</c:v>
                </c:pt>
                <c:pt idx="112">
                  <c:v>4630</c:v>
                </c:pt>
                <c:pt idx="113">
                  <c:v>4656</c:v>
                </c:pt>
                <c:pt idx="114">
                  <c:v>4566</c:v>
                </c:pt>
                <c:pt idx="115">
                  <c:v>4585.666666666667</c:v>
                </c:pt>
                <c:pt idx="116">
                  <c:v>4515.666666666667</c:v>
                </c:pt>
                <c:pt idx="117">
                  <c:v>4595</c:v>
                </c:pt>
                <c:pt idx="118">
                  <c:v>4701.333333333333</c:v>
                </c:pt>
                <c:pt idx="119">
                  <c:v>4912.333333333333</c:v>
                </c:pt>
                <c:pt idx="120">
                  <c:v>4835.333333333333</c:v>
                </c:pt>
                <c:pt idx="121">
                  <c:v>4581.666666666667</c:v>
                </c:pt>
                <c:pt idx="122">
                  <c:v>4478.333333333333</c:v>
                </c:pt>
                <c:pt idx="123">
                  <c:v>4485.333333333333</c:v>
                </c:pt>
                <c:pt idx="124">
                  <c:v>4665</c:v>
                </c:pt>
                <c:pt idx="125">
                  <c:v>4538.333333333333</c:v>
                </c:pt>
                <c:pt idx="126">
                  <c:v>4461</c:v>
                </c:pt>
                <c:pt idx="127">
                  <c:v>4613.666666666667</c:v>
                </c:pt>
                <c:pt idx="128">
                  <c:v>4640.333333333333</c:v>
                </c:pt>
                <c:pt idx="129">
                  <c:v>4854.666666666667</c:v>
                </c:pt>
                <c:pt idx="130">
                  <c:v>4697</c:v>
                </c:pt>
                <c:pt idx="131">
                  <c:v>4866.666666666667</c:v>
                </c:pt>
                <c:pt idx="132">
                  <c:v>4793.333333333333</c:v>
                </c:pt>
                <c:pt idx="133">
                  <c:v>4917</c:v>
                </c:pt>
                <c:pt idx="134">
                  <c:v>4615</c:v>
                </c:pt>
                <c:pt idx="135">
                  <c:v>4606</c:v>
                </c:pt>
                <c:pt idx="136">
                  <c:v>4531</c:v>
                </c:pt>
                <c:pt idx="137">
                  <c:v>4732.666666666667</c:v>
                </c:pt>
                <c:pt idx="138">
                  <c:v>4627</c:v>
                </c:pt>
                <c:pt idx="139">
                  <c:v>4631</c:v>
                </c:pt>
                <c:pt idx="140">
                  <c:v>4752.666666666667</c:v>
                </c:pt>
                <c:pt idx="141">
                  <c:v>4686.333333333333</c:v>
                </c:pt>
                <c:pt idx="142">
                  <c:v>4766.666666666667</c:v>
                </c:pt>
                <c:pt idx="143">
                  <c:v>4646.666666666667</c:v>
                </c:pt>
                <c:pt idx="144">
                  <c:v>4672</c:v>
                </c:pt>
                <c:pt idx="145">
                  <c:v>4635</c:v>
                </c:pt>
                <c:pt idx="146">
                  <c:v>4691</c:v>
                </c:pt>
                <c:pt idx="147">
                  <c:v>4970</c:v>
                </c:pt>
                <c:pt idx="148">
                  <c:v>4981.666666666667</c:v>
                </c:pt>
                <c:pt idx="149">
                  <c:v>4998</c:v>
                </c:pt>
                <c:pt idx="150">
                  <c:v>4979.333333333333</c:v>
                </c:pt>
                <c:pt idx="151">
                  <c:v>4986</c:v>
                </c:pt>
                <c:pt idx="152">
                  <c:v>5076.666666666667</c:v>
                </c:pt>
                <c:pt idx="153">
                  <c:v>5134.666666666667</c:v>
                </c:pt>
                <c:pt idx="154">
                  <c:v>5118</c:v>
                </c:pt>
                <c:pt idx="155">
                  <c:v>5140</c:v>
                </c:pt>
                <c:pt idx="156">
                  <c:v>5224.666666666667</c:v>
                </c:pt>
                <c:pt idx="157">
                  <c:v>5389.666666666667</c:v>
                </c:pt>
                <c:pt idx="158">
                  <c:v>5265.333333333333</c:v>
                </c:pt>
                <c:pt idx="159">
                  <c:v>5184.666666666667</c:v>
                </c:pt>
                <c:pt idx="160">
                  <c:v>4950.333333333333</c:v>
                </c:pt>
                <c:pt idx="161">
                  <c:v>5065</c:v>
                </c:pt>
                <c:pt idx="162">
                  <c:v>4970.666666666667</c:v>
                </c:pt>
                <c:pt idx="163">
                  <c:v>5247.333333333333</c:v>
                </c:pt>
                <c:pt idx="164">
                  <c:v>5385.333333333333</c:v>
                </c:pt>
                <c:pt idx="165">
                  <c:v>5449.333333333333</c:v>
                </c:pt>
                <c:pt idx="166">
                  <c:v>5407.333333333333</c:v>
                </c:pt>
                <c:pt idx="167">
                  <c:v>5219.666666666667</c:v>
                </c:pt>
                <c:pt idx="168">
                  <c:v>5178</c:v>
                </c:pt>
                <c:pt idx="169">
                  <c:v>5171.666666666667</c:v>
                </c:pt>
                <c:pt idx="170">
                  <c:v>5202.333333333333</c:v>
                </c:pt>
                <c:pt idx="171">
                  <c:v>5167.333333333333</c:v>
                </c:pt>
                <c:pt idx="172">
                  <c:v>5166.666666666667</c:v>
                </c:pt>
                <c:pt idx="173">
                  <c:v>5110.666666666667</c:v>
                </c:pt>
                <c:pt idx="174">
                  <c:v>5216.333333333333</c:v>
                </c:pt>
                <c:pt idx="175">
                  <c:v>5178</c:v>
                </c:pt>
                <c:pt idx="176">
                  <c:v>5307.333333333333</c:v>
                </c:pt>
                <c:pt idx="177">
                  <c:v>5297</c:v>
                </c:pt>
                <c:pt idx="178">
                  <c:v>5323.333333333333</c:v>
                </c:pt>
                <c:pt idx="179">
                  <c:v>5314.333333333333</c:v>
                </c:pt>
                <c:pt idx="180">
                  <c:v>5420.666666666667</c:v>
                </c:pt>
                <c:pt idx="181">
                  <c:v>5449.666666666667</c:v>
                </c:pt>
                <c:pt idx="182">
                  <c:v>5435.333333333333</c:v>
                </c:pt>
                <c:pt idx="183">
                  <c:v>5444.333333333333</c:v>
                </c:pt>
                <c:pt idx="184">
                  <c:v>5453.666666666667</c:v>
                </c:pt>
                <c:pt idx="185">
                  <c:v>5442</c:v>
                </c:pt>
                <c:pt idx="186">
                  <c:v>5287.666666666667</c:v>
                </c:pt>
                <c:pt idx="187">
                  <c:v>5326.333333333333</c:v>
                </c:pt>
                <c:pt idx="188">
                  <c:v>5492.666666666667</c:v>
                </c:pt>
                <c:pt idx="189">
                  <c:v>5492.333333333333</c:v>
                </c:pt>
                <c:pt idx="190">
                  <c:v>5451</c:v>
                </c:pt>
                <c:pt idx="191">
                  <c:v>5295.666666666667</c:v>
                </c:pt>
                <c:pt idx="192">
                  <c:v>5389</c:v>
                </c:pt>
                <c:pt idx="193">
                  <c:v>5483</c:v>
                </c:pt>
                <c:pt idx="194">
                  <c:v>5493.333333333333</c:v>
                </c:pt>
                <c:pt idx="195">
                  <c:v>5556.666666666667</c:v>
                </c:pt>
                <c:pt idx="196">
                  <c:v>5443.666666666667</c:v>
                </c:pt>
                <c:pt idx="197">
                  <c:v>5563</c:v>
                </c:pt>
                <c:pt idx="198">
                  <c:v>5582</c:v>
                </c:pt>
                <c:pt idx="199">
                  <c:v>5745.666666666667</c:v>
                </c:pt>
                <c:pt idx="200">
                  <c:v>5779.333333333333</c:v>
                </c:pt>
                <c:pt idx="201">
                  <c:v>5677</c:v>
                </c:pt>
                <c:pt idx="202">
                  <c:v>5609.333333333333</c:v>
                </c:pt>
                <c:pt idx="203">
                  <c:v>5628.666666666667</c:v>
                </c:pt>
                <c:pt idx="204">
                  <c:v>5857</c:v>
                </c:pt>
                <c:pt idx="205">
                  <c:v>5765</c:v>
                </c:pt>
                <c:pt idx="206">
                  <c:v>5764.333333333333</c:v>
                </c:pt>
                <c:pt idx="207">
                  <c:v>5547</c:v>
                </c:pt>
                <c:pt idx="208">
                  <c:v>5535.333333333333</c:v>
                </c:pt>
                <c:pt idx="209">
                  <c:v>5553</c:v>
                </c:pt>
                <c:pt idx="210">
                  <c:v>5791</c:v>
                </c:pt>
                <c:pt idx="211">
                  <c:v>6019.333333333333</c:v>
                </c:pt>
                <c:pt idx="212">
                  <c:v>5815.333333333333</c:v>
                </c:pt>
                <c:pt idx="213">
                  <c:v>5574</c:v>
                </c:pt>
                <c:pt idx="214">
                  <c:v>5545.666666666667</c:v>
                </c:pt>
                <c:pt idx="215">
                  <c:v>5555</c:v>
                </c:pt>
                <c:pt idx="216">
                  <c:v>5663.666666666667</c:v>
                </c:pt>
                <c:pt idx="217">
                  <c:v>5676.666666666667</c:v>
                </c:pt>
                <c:pt idx="218">
                  <c:v>5898.333333333333</c:v>
                </c:pt>
                <c:pt idx="219">
                  <c:v>5901.666666666667</c:v>
                </c:pt>
                <c:pt idx="220">
                  <c:v>5934.666666666667</c:v>
                </c:pt>
                <c:pt idx="221">
                  <c:v>5745.333333333333</c:v>
                </c:pt>
                <c:pt idx="222">
                  <c:v>5810.666666666667</c:v>
                </c:pt>
                <c:pt idx="223">
                  <c:v>5739.333333333333</c:v>
                </c:pt>
                <c:pt idx="224">
                  <c:v>5821</c:v>
                </c:pt>
                <c:pt idx="225">
                  <c:v>5752.333333333333</c:v>
                </c:pt>
                <c:pt idx="226">
                  <c:v>5710.666666666667</c:v>
                </c:pt>
                <c:pt idx="227">
                  <c:v>5731</c:v>
                </c:pt>
                <c:pt idx="228">
                  <c:v>5868.666666666667</c:v>
                </c:pt>
                <c:pt idx="229">
                  <c:v>5964</c:v>
                </c:pt>
                <c:pt idx="230">
                  <c:v>6056</c:v>
                </c:pt>
                <c:pt idx="231">
                  <c:v>6126.666666666667</c:v>
                </c:pt>
                <c:pt idx="232">
                  <c:v>6156.333333333333</c:v>
                </c:pt>
                <c:pt idx="233">
                  <c:v>6114</c:v>
                </c:pt>
                <c:pt idx="234">
                  <c:v>5971.666666666667</c:v>
                </c:pt>
                <c:pt idx="235">
                  <c:v>5901.666666666667</c:v>
                </c:pt>
                <c:pt idx="236">
                  <c:v>5845.333333333333</c:v>
                </c:pt>
                <c:pt idx="237">
                  <c:v>5810</c:v>
                </c:pt>
                <c:pt idx="238">
                  <c:v>5912.666666666667</c:v>
                </c:pt>
                <c:pt idx="239">
                  <c:v>5971.666666666667</c:v>
                </c:pt>
                <c:pt idx="240">
                  <c:v>6224</c:v>
                </c:pt>
                <c:pt idx="241">
                  <c:v>6052.666666666667</c:v>
                </c:pt>
                <c:pt idx="242">
                  <c:v>6146.666666666667</c:v>
                </c:pt>
                <c:pt idx="243">
                  <c:v>5983.666666666667</c:v>
                </c:pt>
                <c:pt idx="244">
                  <c:v>6138.666666666667</c:v>
                </c:pt>
                <c:pt idx="245">
                  <c:v>6037.666666666667</c:v>
                </c:pt>
                <c:pt idx="246">
                  <c:v>6287.333333333333</c:v>
                </c:pt>
                <c:pt idx="247">
                  <c:v>6108.333333333333</c:v>
                </c:pt>
                <c:pt idx="248">
                  <c:v>6115</c:v>
                </c:pt>
                <c:pt idx="249">
                  <c:v>5782.333333333333</c:v>
                </c:pt>
                <c:pt idx="250">
                  <c:v>6058.666666666667</c:v>
                </c:pt>
                <c:pt idx="251">
                  <c:v>5918</c:v>
                </c:pt>
                <c:pt idx="252">
                  <c:v>6044</c:v>
                </c:pt>
                <c:pt idx="253">
                  <c:v>5982.666666666667</c:v>
                </c:pt>
                <c:pt idx="254">
                  <c:v>6130.666666666667</c:v>
                </c:pt>
                <c:pt idx="255">
                  <c:v>6143</c:v>
                </c:pt>
                <c:pt idx="256">
                  <c:v>6165.333333333333</c:v>
                </c:pt>
                <c:pt idx="257">
                  <c:v>6316.666666666667</c:v>
                </c:pt>
                <c:pt idx="258">
                  <c:v>6444.333333333333</c:v>
                </c:pt>
                <c:pt idx="259">
                  <c:v>6389.666666666667</c:v>
                </c:pt>
                <c:pt idx="260">
                  <c:v>6386.666666666667</c:v>
                </c:pt>
                <c:pt idx="261">
                  <c:v>6143</c:v>
                </c:pt>
                <c:pt idx="262">
                  <c:v>6064.666666666667</c:v>
                </c:pt>
                <c:pt idx="263">
                  <c:v>6114.666666666667</c:v>
                </c:pt>
                <c:pt idx="264">
                  <c:v>6228.333333333333</c:v>
                </c:pt>
                <c:pt idx="265">
                  <c:v>6316.666666666667</c:v>
                </c:pt>
                <c:pt idx="266">
                  <c:v>6262.333333333333</c:v>
                </c:pt>
                <c:pt idx="267">
                  <c:v>6290.333333333333</c:v>
                </c:pt>
                <c:pt idx="268">
                  <c:v>6297</c:v>
                </c:pt>
                <c:pt idx="269">
                  <c:v>6321.666666666667</c:v>
                </c:pt>
                <c:pt idx="270">
                  <c:v>6448</c:v>
                </c:pt>
                <c:pt idx="271">
                  <c:v>6504.666666666667</c:v>
                </c:pt>
                <c:pt idx="272">
                  <c:v>6452.666666666667</c:v>
                </c:pt>
                <c:pt idx="273">
                  <c:v>6309.333333333333</c:v>
                </c:pt>
                <c:pt idx="274">
                  <c:v>6358.333333333333</c:v>
                </c:pt>
                <c:pt idx="275">
                  <c:v>6391</c:v>
                </c:pt>
                <c:pt idx="276">
                  <c:v>6531.333333333333</c:v>
                </c:pt>
                <c:pt idx="277">
                  <c:v>6510.333333333333</c:v>
                </c:pt>
                <c:pt idx="278">
                  <c:v>6459</c:v>
                </c:pt>
                <c:pt idx="279">
                  <c:v>6476</c:v>
                </c:pt>
                <c:pt idx="280">
                  <c:v>6498.666666666667</c:v>
                </c:pt>
                <c:pt idx="281">
                  <c:v>6489.666666666667</c:v>
                </c:pt>
                <c:pt idx="282">
                  <c:v>6380.333333333333</c:v>
                </c:pt>
                <c:pt idx="283">
                  <c:v>6341.666666666667</c:v>
                </c:pt>
                <c:pt idx="284">
                  <c:v>6281.666666666667</c:v>
                </c:pt>
                <c:pt idx="285">
                  <c:v>6360.666666666667</c:v>
                </c:pt>
                <c:pt idx="286">
                  <c:v>6435</c:v>
                </c:pt>
                <c:pt idx="287">
                  <c:v>6579.666666666667</c:v>
                </c:pt>
                <c:pt idx="288">
                  <c:v>6495.333333333333</c:v>
                </c:pt>
                <c:pt idx="289">
                  <c:v>6386.666666666667</c:v>
                </c:pt>
                <c:pt idx="290">
                  <c:v>6396</c:v>
                </c:pt>
                <c:pt idx="291">
                  <c:v>6472</c:v>
                </c:pt>
                <c:pt idx="292">
                  <c:v>6636.333333333333</c:v>
                </c:pt>
                <c:pt idx="293">
                  <c:v>6593</c:v>
                </c:pt>
                <c:pt idx="294">
                  <c:v>6621.333333333333</c:v>
                </c:pt>
                <c:pt idx="295">
                  <c:v>6466.333333333333</c:v>
                </c:pt>
                <c:pt idx="296">
                  <c:v>6582.333333333333</c:v>
                </c:pt>
                <c:pt idx="297">
                  <c:v>6658.333333333333</c:v>
                </c:pt>
                <c:pt idx="298">
                  <c:v>6710.666666666667</c:v>
                </c:pt>
                <c:pt idx="299">
                  <c:v>6722.333333333333</c:v>
                </c:pt>
                <c:pt idx="300">
                  <c:v>6700.333333333333</c:v>
                </c:pt>
                <c:pt idx="301">
                  <c:v>6850.666666666667</c:v>
                </c:pt>
                <c:pt idx="302">
                  <c:v>6727</c:v>
                </c:pt>
                <c:pt idx="303">
                  <c:v>6525</c:v>
                </c:pt>
                <c:pt idx="304">
                  <c:v>6477.333333333333</c:v>
                </c:pt>
                <c:pt idx="305">
                  <c:v>6436.333333333333</c:v>
                </c:pt>
                <c:pt idx="306">
                  <c:v>6541</c:v>
                </c:pt>
                <c:pt idx="307">
                  <c:v>6464.666666666667</c:v>
                </c:pt>
                <c:pt idx="308">
                  <c:v>6708.333333333333</c:v>
                </c:pt>
                <c:pt idx="309">
                  <c:v>6686.666666666667</c:v>
                </c:pt>
                <c:pt idx="310">
                  <c:v>6806.666666666667</c:v>
                </c:pt>
                <c:pt idx="311">
                  <c:v>6741.666666666667</c:v>
                </c:pt>
                <c:pt idx="312">
                  <c:v>6920</c:v>
                </c:pt>
                <c:pt idx="313">
                  <c:v>6982.333333333333</c:v>
                </c:pt>
                <c:pt idx="314">
                  <c:v>7034</c:v>
                </c:pt>
                <c:pt idx="315">
                  <c:v>7018.333333333333</c:v>
                </c:pt>
                <c:pt idx="316">
                  <c:v>6902</c:v>
                </c:pt>
                <c:pt idx="317">
                  <c:v>6733.666666666667</c:v>
                </c:pt>
                <c:pt idx="318">
                  <c:v>6775</c:v>
                </c:pt>
                <c:pt idx="319">
                  <c:v>6792</c:v>
                </c:pt>
                <c:pt idx="320">
                  <c:v>6973.333333333333</c:v>
                </c:pt>
                <c:pt idx="321">
                  <c:v>6798.666666666667</c:v>
                </c:pt>
                <c:pt idx="322">
                  <c:v>6782.666666666667</c:v>
                </c:pt>
                <c:pt idx="323">
                  <c:v>6794.333333333333</c:v>
                </c:pt>
                <c:pt idx="324">
                  <c:v>6943.666666666667</c:v>
                </c:pt>
                <c:pt idx="325">
                  <c:v>7166.666666666667</c:v>
                </c:pt>
                <c:pt idx="326">
                  <c:v>7138</c:v>
                </c:pt>
                <c:pt idx="327">
                  <c:v>7254.333333333333</c:v>
                </c:pt>
                <c:pt idx="328">
                  <c:v>7148.333333333333</c:v>
                </c:pt>
                <c:pt idx="329">
                  <c:v>7266.333333333333</c:v>
                </c:pt>
                <c:pt idx="330">
                  <c:v>7297.333333333333</c:v>
                </c:pt>
                <c:pt idx="331">
                  <c:v>7284.333333333333</c:v>
                </c:pt>
                <c:pt idx="332">
                  <c:v>7093</c:v>
                </c:pt>
                <c:pt idx="333">
                  <c:v>7203</c:v>
                </c:pt>
                <c:pt idx="334">
                  <c:v>7336</c:v>
                </c:pt>
                <c:pt idx="335">
                  <c:v>7576.666666666667</c:v>
                </c:pt>
                <c:pt idx="336">
                  <c:v>7461.666666666667</c:v>
                </c:pt>
                <c:pt idx="337">
                  <c:v>7489.333333333333</c:v>
                </c:pt>
                <c:pt idx="338">
                  <c:v>7639.666666666667</c:v>
                </c:pt>
                <c:pt idx="339">
                  <c:v>7902</c:v>
                </c:pt>
                <c:pt idx="340">
                  <c:v>7890</c:v>
                </c:pt>
                <c:pt idx="341">
                  <c:v>7853</c:v>
                </c:pt>
                <c:pt idx="342">
                  <c:v>7646</c:v>
                </c:pt>
                <c:pt idx="343">
                  <c:v>7628</c:v>
                </c:pt>
                <c:pt idx="344">
                  <c:v>7601.666666666667</c:v>
                </c:pt>
                <c:pt idx="345">
                  <c:v>7740.333333333333</c:v>
                </c:pt>
                <c:pt idx="346">
                  <c:v>7811.666666666667</c:v>
                </c:pt>
                <c:pt idx="347">
                  <c:v>7929.333333333333</c:v>
                </c:pt>
                <c:pt idx="348">
                  <c:v>7794</c:v>
                </c:pt>
                <c:pt idx="349">
                  <c:v>7828</c:v>
                </c:pt>
                <c:pt idx="350">
                  <c:v>7821.666666666667</c:v>
                </c:pt>
                <c:pt idx="351">
                  <c:v>7997.333333333333</c:v>
                </c:pt>
                <c:pt idx="352">
                  <c:v>8090</c:v>
                </c:pt>
                <c:pt idx="353">
                  <c:v>8065.666666666667</c:v>
                </c:pt>
                <c:pt idx="354">
                  <c:v>8127.666666666667</c:v>
                </c:pt>
                <c:pt idx="355">
                  <c:v>8126.666666666667</c:v>
                </c:pt>
                <c:pt idx="356">
                  <c:v>8209.3333333333339</c:v>
                </c:pt>
                <c:pt idx="357">
                  <c:v>8252.3333333333339</c:v>
                </c:pt>
                <c:pt idx="358">
                  <c:v>8391.6666666666661</c:v>
                </c:pt>
                <c:pt idx="359">
                  <c:v>8544.3333333333339</c:v>
                </c:pt>
                <c:pt idx="360">
                  <c:v>8716.6666666666661</c:v>
                </c:pt>
                <c:pt idx="361">
                  <c:v>8609.3333333333339</c:v>
                </c:pt>
                <c:pt idx="362">
                  <c:v>8540.6666666666661</c:v>
                </c:pt>
                <c:pt idx="363">
                  <c:v>8346.5</c:v>
                </c:pt>
                <c:pt idx="364">
                  <c:v>8502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03-4866-B336-EFFACC1B7F4C}"/>
            </c:ext>
          </c:extLst>
        </c:ser>
        <c:ser>
          <c:idx val="2"/>
          <c:order val="2"/>
          <c:tx>
            <c:v>MA-6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'Moving Average'!$A$2:$A$366</c:f>
              <c:numCache>
                <c:formatCode>General</c:formatCode>
                <c:ptCount val="365"/>
                <c:pt idx="0">
                  <c:v>39</c:v>
                </c:pt>
                <c:pt idx="1">
                  <c:v>40</c:v>
                </c:pt>
                <c:pt idx="2">
                  <c:v>41</c:v>
                </c:pt>
                <c:pt idx="3">
                  <c:v>42</c:v>
                </c:pt>
                <c:pt idx="4">
                  <c:v>43</c:v>
                </c:pt>
                <c:pt idx="5">
                  <c:v>43</c:v>
                </c:pt>
                <c:pt idx="6">
                  <c:v>44</c:v>
                </c:pt>
                <c:pt idx="7">
                  <c:v>44</c:v>
                </c:pt>
                <c:pt idx="8">
                  <c:v>45</c:v>
                </c:pt>
                <c:pt idx="9">
                  <c:v>45</c:v>
                </c:pt>
                <c:pt idx="10">
                  <c:v>45</c:v>
                </c:pt>
                <c:pt idx="11">
                  <c:v>46</c:v>
                </c:pt>
                <c:pt idx="12">
                  <c:v>46</c:v>
                </c:pt>
                <c:pt idx="13">
                  <c:v>47</c:v>
                </c:pt>
                <c:pt idx="14">
                  <c:v>48</c:v>
                </c:pt>
                <c:pt idx="15">
                  <c:v>48</c:v>
                </c:pt>
                <c:pt idx="16">
                  <c:v>48</c:v>
                </c:pt>
                <c:pt idx="17">
                  <c:v>48</c:v>
                </c:pt>
                <c:pt idx="18">
                  <c:v>48</c:v>
                </c:pt>
                <c:pt idx="19">
                  <c:v>48</c:v>
                </c:pt>
                <c:pt idx="20">
                  <c:v>49</c:v>
                </c:pt>
                <c:pt idx="21">
                  <c:v>49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51</c:v>
                </c:pt>
                <c:pt idx="28">
                  <c:v>51</c:v>
                </c:pt>
                <c:pt idx="29">
                  <c:v>52</c:v>
                </c:pt>
                <c:pt idx="30">
                  <c:v>52</c:v>
                </c:pt>
                <c:pt idx="31">
                  <c:v>52</c:v>
                </c:pt>
                <c:pt idx="32">
                  <c:v>52</c:v>
                </c:pt>
                <c:pt idx="33">
                  <c:v>52</c:v>
                </c:pt>
                <c:pt idx="34">
                  <c:v>53</c:v>
                </c:pt>
                <c:pt idx="35">
                  <c:v>53</c:v>
                </c:pt>
                <c:pt idx="36">
                  <c:v>53</c:v>
                </c:pt>
                <c:pt idx="37">
                  <c:v>53</c:v>
                </c:pt>
                <c:pt idx="38">
                  <c:v>54</c:v>
                </c:pt>
                <c:pt idx="39">
                  <c:v>54</c:v>
                </c:pt>
                <c:pt idx="40">
                  <c:v>54</c:v>
                </c:pt>
                <c:pt idx="41">
                  <c:v>54</c:v>
                </c:pt>
                <c:pt idx="42">
                  <c:v>54</c:v>
                </c:pt>
                <c:pt idx="43">
                  <c:v>54</c:v>
                </c:pt>
                <c:pt idx="44">
                  <c:v>54</c:v>
                </c:pt>
                <c:pt idx="45">
                  <c:v>54</c:v>
                </c:pt>
                <c:pt idx="46">
                  <c:v>54</c:v>
                </c:pt>
                <c:pt idx="47">
                  <c:v>55</c:v>
                </c:pt>
                <c:pt idx="48">
                  <c:v>55</c:v>
                </c:pt>
                <c:pt idx="49">
                  <c:v>55</c:v>
                </c:pt>
                <c:pt idx="50">
                  <c:v>55</c:v>
                </c:pt>
                <c:pt idx="51">
                  <c:v>56</c:v>
                </c:pt>
                <c:pt idx="52">
                  <c:v>56</c:v>
                </c:pt>
                <c:pt idx="53">
                  <c:v>57</c:v>
                </c:pt>
                <c:pt idx="54">
                  <c:v>57</c:v>
                </c:pt>
                <c:pt idx="55">
                  <c:v>58</c:v>
                </c:pt>
                <c:pt idx="56">
                  <c:v>58</c:v>
                </c:pt>
                <c:pt idx="57">
                  <c:v>58</c:v>
                </c:pt>
                <c:pt idx="58">
                  <c:v>58</c:v>
                </c:pt>
                <c:pt idx="59">
                  <c:v>58</c:v>
                </c:pt>
                <c:pt idx="60">
                  <c:v>58</c:v>
                </c:pt>
                <c:pt idx="61">
                  <c:v>59</c:v>
                </c:pt>
                <c:pt idx="62">
                  <c:v>59</c:v>
                </c:pt>
                <c:pt idx="63">
                  <c:v>59</c:v>
                </c:pt>
                <c:pt idx="64">
                  <c:v>59</c:v>
                </c:pt>
                <c:pt idx="65">
                  <c:v>59</c:v>
                </c:pt>
                <c:pt idx="66">
                  <c:v>59</c:v>
                </c:pt>
                <c:pt idx="67">
                  <c:v>59</c:v>
                </c:pt>
                <c:pt idx="68">
                  <c:v>59</c:v>
                </c:pt>
                <c:pt idx="69">
                  <c:v>60</c:v>
                </c:pt>
                <c:pt idx="70">
                  <c:v>60</c:v>
                </c:pt>
                <c:pt idx="71">
                  <c:v>60</c:v>
                </c:pt>
                <c:pt idx="72">
                  <c:v>60</c:v>
                </c:pt>
                <c:pt idx="73">
                  <c:v>60</c:v>
                </c:pt>
                <c:pt idx="74">
                  <c:v>61</c:v>
                </c:pt>
                <c:pt idx="75">
                  <c:v>61</c:v>
                </c:pt>
                <c:pt idx="76">
                  <c:v>61</c:v>
                </c:pt>
                <c:pt idx="77">
                  <c:v>61</c:v>
                </c:pt>
                <c:pt idx="78">
                  <c:v>61</c:v>
                </c:pt>
                <c:pt idx="79">
                  <c:v>61</c:v>
                </c:pt>
                <c:pt idx="80">
                  <c:v>61</c:v>
                </c:pt>
                <c:pt idx="81">
                  <c:v>61</c:v>
                </c:pt>
                <c:pt idx="82">
                  <c:v>61</c:v>
                </c:pt>
                <c:pt idx="83">
                  <c:v>62</c:v>
                </c:pt>
                <c:pt idx="84">
                  <c:v>62</c:v>
                </c:pt>
                <c:pt idx="85">
                  <c:v>62</c:v>
                </c:pt>
                <c:pt idx="86">
                  <c:v>62</c:v>
                </c:pt>
                <c:pt idx="87">
                  <c:v>63</c:v>
                </c:pt>
                <c:pt idx="88">
                  <c:v>63</c:v>
                </c:pt>
                <c:pt idx="89">
                  <c:v>63</c:v>
                </c:pt>
                <c:pt idx="90">
                  <c:v>63</c:v>
                </c:pt>
                <c:pt idx="91">
                  <c:v>63</c:v>
                </c:pt>
                <c:pt idx="92">
                  <c:v>64</c:v>
                </c:pt>
                <c:pt idx="93">
                  <c:v>64</c:v>
                </c:pt>
                <c:pt idx="94">
                  <c:v>64</c:v>
                </c:pt>
                <c:pt idx="95">
                  <c:v>64</c:v>
                </c:pt>
                <c:pt idx="96">
                  <c:v>64</c:v>
                </c:pt>
                <c:pt idx="97">
                  <c:v>64</c:v>
                </c:pt>
                <c:pt idx="98">
                  <c:v>64</c:v>
                </c:pt>
                <c:pt idx="99">
                  <c:v>64</c:v>
                </c:pt>
                <c:pt idx="100">
                  <c:v>64</c:v>
                </c:pt>
                <c:pt idx="101">
                  <c:v>65</c:v>
                </c:pt>
                <c:pt idx="102">
                  <c:v>65</c:v>
                </c:pt>
                <c:pt idx="103">
                  <c:v>65</c:v>
                </c:pt>
                <c:pt idx="104">
                  <c:v>65</c:v>
                </c:pt>
                <c:pt idx="105">
                  <c:v>65</c:v>
                </c:pt>
                <c:pt idx="106">
                  <c:v>65</c:v>
                </c:pt>
                <c:pt idx="107">
                  <c:v>65</c:v>
                </c:pt>
                <c:pt idx="108">
                  <c:v>65</c:v>
                </c:pt>
                <c:pt idx="109">
                  <c:v>65</c:v>
                </c:pt>
                <c:pt idx="110">
                  <c:v>66</c:v>
                </c:pt>
                <c:pt idx="111">
                  <c:v>66</c:v>
                </c:pt>
                <c:pt idx="112">
                  <c:v>66</c:v>
                </c:pt>
                <c:pt idx="113">
                  <c:v>66</c:v>
                </c:pt>
                <c:pt idx="114">
                  <c:v>66</c:v>
                </c:pt>
                <c:pt idx="115">
                  <c:v>66</c:v>
                </c:pt>
                <c:pt idx="116">
                  <c:v>66</c:v>
                </c:pt>
                <c:pt idx="117">
                  <c:v>66</c:v>
                </c:pt>
                <c:pt idx="118">
                  <c:v>66</c:v>
                </c:pt>
                <c:pt idx="119">
                  <c:v>66</c:v>
                </c:pt>
                <c:pt idx="120">
                  <c:v>66</c:v>
                </c:pt>
                <c:pt idx="121">
                  <c:v>66</c:v>
                </c:pt>
                <c:pt idx="122">
                  <c:v>66</c:v>
                </c:pt>
                <c:pt idx="123">
                  <c:v>66</c:v>
                </c:pt>
                <c:pt idx="124">
                  <c:v>67</c:v>
                </c:pt>
                <c:pt idx="125">
                  <c:v>67</c:v>
                </c:pt>
                <c:pt idx="126">
                  <c:v>67</c:v>
                </c:pt>
                <c:pt idx="127">
                  <c:v>67</c:v>
                </c:pt>
                <c:pt idx="128">
                  <c:v>67</c:v>
                </c:pt>
                <c:pt idx="129">
                  <c:v>67</c:v>
                </c:pt>
                <c:pt idx="130">
                  <c:v>68</c:v>
                </c:pt>
                <c:pt idx="131">
                  <c:v>68</c:v>
                </c:pt>
                <c:pt idx="132">
                  <c:v>68</c:v>
                </c:pt>
                <c:pt idx="133">
                  <c:v>68</c:v>
                </c:pt>
                <c:pt idx="134">
                  <c:v>68</c:v>
                </c:pt>
                <c:pt idx="135">
                  <c:v>68</c:v>
                </c:pt>
                <c:pt idx="136">
                  <c:v>68</c:v>
                </c:pt>
                <c:pt idx="137">
                  <c:v>68</c:v>
                </c:pt>
                <c:pt idx="138">
                  <c:v>68</c:v>
                </c:pt>
                <c:pt idx="139">
                  <c:v>68</c:v>
                </c:pt>
                <c:pt idx="140">
                  <c:v>68</c:v>
                </c:pt>
                <c:pt idx="141">
                  <c:v>68</c:v>
                </c:pt>
                <c:pt idx="142">
                  <c:v>69</c:v>
                </c:pt>
                <c:pt idx="143">
                  <c:v>69</c:v>
                </c:pt>
                <c:pt idx="144">
                  <c:v>69</c:v>
                </c:pt>
                <c:pt idx="145">
                  <c:v>69</c:v>
                </c:pt>
                <c:pt idx="146">
                  <c:v>69</c:v>
                </c:pt>
                <c:pt idx="147">
                  <c:v>69</c:v>
                </c:pt>
                <c:pt idx="148">
                  <c:v>70</c:v>
                </c:pt>
                <c:pt idx="149">
                  <c:v>70</c:v>
                </c:pt>
                <c:pt idx="150">
                  <c:v>70</c:v>
                </c:pt>
                <c:pt idx="151">
                  <c:v>70</c:v>
                </c:pt>
                <c:pt idx="152">
                  <c:v>70</c:v>
                </c:pt>
                <c:pt idx="153">
                  <c:v>70</c:v>
                </c:pt>
                <c:pt idx="154">
                  <c:v>70</c:v>
                </c:pt>
                <c:pt idx="155">
                  <c:v>70</c:v>
                </c:pt>
                <c:pt idx="156">
                  <c:v>70</c:v>
                </c:pt>
                <c:pt idx="157">
                  <c:v>71</c:v>
                </c:pt>
                <c:pt idx="158">
                  <c:v>71</c:v>
                </c:pt>
                <c:pt idx="159">
                  <c:v>71</c:v>
                </c:pt>
                <c:pt idx="160">
                  <c:v>71</c:v>
                </c:pt>
                <c:pt idx="161">
                  <c:v>71</c:v>
                </c:pt>
                <c:pt idx="162">
                  <c:v>71</c:v>
                </c:pt>
                <c:pt idx="163">
                  <c:v>71</c:v>
                </c:pt>
                <c:pt idx="164">
                  <c:v>71</c:v>
                </c:pt>
                <c:pt idx="165">
                  <c:v>71</c:v>
                </c:pt>
                <c:pt idx="166">
                  <c:v>72</c:v>
                </c:pt>
                <c:pt idx="167">
                  <c:v>72</c:v>
                </c:pt>
                <c:pt idx="168">
                  <c:v>72</c:v>
                </c:pt>
                <c:pt idx="169">
                  <c:v>72</c:v>
                </c:pt>
                <c:pt idx="170">
                  <c:v>72</c:v>
                </c:pt>
                <c:pt idx="171">
                  <c:v>72</c:v>
                </c:pt>
                <c:pt idx="172">
                  <c:v>72</c:v>
                </c:pt>
                <c:pt idx="173">
                  <c:v>72</c:v>
                </c:pt>
                <c:pt idx="174">
                  <c:v>72</c:v>
                </c:pt>
                <c:pt idx="175">
                  <c:v>72</c:v>
                </c:pt>
                <c:pt idx="176">
                  <c:v>73</c:v>
                </c:pt>
                <c:pt idx="177">
                  <c:v>73</c:v>
                </c:pt>
                <c:pt idx="178">
                  <c:v>73</c:v>
                </c:pt>
                <c:pt idx="179">
                  <c:v>73</c:v>
                </c:pt>
                <c:pt idx="180">
                  <c:v>73</c:v>
                </c:pt>
                <c:pt idx="181">
                  <c:v>73</c:v>
                </c:pt>
                <c:pt idx="182">
                  <c:v>73</c:v>
                </c:pt>
                <c:pt idx="183">
                  <c:v>73</c:v>
                </c:pt>
                <c:pt idx="184">
                  <c:v>73</c:v>
                </c:pt>
                <c:pt idx="185">
                  <c:v>74</c:v>
                </c:pt>
                <c:pt idx="186">
                  <c:v>74</c:v>
                </c:pt>
                <c:pt idx="187">
                  <c:v>74</c:v>
                </c:pt>
                <c:pt idx="188">
                  <c:v>74</c:v>
                </c:pt>
                <c:pt idx="189">
                  <c:v>74</c:v>
                </c:pt>
                <c:pt idx="190">
                  <c:v>74</c:v>
                </c:pt>
                <c:pt idx="191">
                  <c:v>74</c:v>
                </c:pt>
                <c:pt idx="192">
                  <c:v>74</c:v>
                </c:pt>
                <c:pt idx="193">
                  <c:v>74</c:v>
                </c:pt>
                <c:pt idx="194">
                  <c:v>74</c:v>
                </c:pt>
                <c:pt idx="195">
                  <c:v>74</c:v>
                </c:pt>
                <c:pt idx="196">
                  <c:v>74</c:v>
                </c:pt>
                <c:pt idx="197">
                  <c:v>75</c:v>
                </c:pt>
                <c:pt idx="198">
                  <c:v>75</c:v>
                </c:pt>
                <c:pt idx="199">
                  <c:v>75</c:v>
                </c:pt>
                <c:pt idx="200">
                  <c:v>75</c:v>
                </c:pt>
                <c:pt idx="201">
                  <c:v>75</c:v>
                </c:pt>
                <c:pt idx="202">
                  <c:v>75</c:v>
                </c:pt>
                <c:pt idx="203">
                  <c:v>76</c:v>
                </c:pt>
                <c:pt idx="204">
                  <c:v>76</c:v>
                </c:pt>
                <c:pt idx="205">
                  <c:v>76</c:v>
                </c:pt>
                <c:pt idx="206">
                  <c:v>76</c:v>
                </c:pt>
                <c:pt idx="207">
                  <c:v>76</c:v>
                </c:pt>
                <c:pt idx="208">
                  <c:v>76</c:v>
                </c:pt>
                <c:pt idx="209">
                  <c:v>76</c:v>
                </c:pt>
                <c:pt idx="210">
                  <c:v>76</c:v>
                </c:pt>
                <c:pt idx="211">
                  <c:v>76</c:v>
                </c:pt>
                <c:pt idx="212">
                  <c:v>76</c:v>
                </c:pt>
                <c:pt idx="213">
                  <c:v>76</c:v>
                </c:pt>
                <c:pt idx="214">
                  <c:v>77</c:v>
                </c:pt>
                <c:pt idx="215">
                  <c:v>77</c:v>
                </c:pt>
                <c:pt idx="216">
                  <c:v>77</c:v>
                </c:pt>
                <c:pt idx="217">
                  <c:v>77</c:v>
                </c:pt>
                <c:pt idx="218">
                  <c:v>77</c:v>
                </c:pt>
                <c:pt idx="219">
                  <c:v>77</c:v>
                </c:pt>
                <c:pt idx="220">
                  <c:v>77</c:v>
                </c:pt>
                <c:pt idx="221">
                  <c:v>77</c:v>
                </c:pt>
                <c:pt idx="222">
                  <c:v>77</c:v>
                </c:pt>
                <c:pt idx="223">
                  <c:v>77</c:v>
                </c:pt>
                <c:pt idx="224">
                  <c:v>77</c:v>
                </c:pt>
                <c:pt idx="225">
                  <c:v>77</c:v>
                </c:pt>
                <c:pt idx="226">
                  <c:v>77</c:v>
                </c:pt>
                <c:pt idx="227">
                  <c:v>77</c:v>
                </c:pt>
                <c:pt idx="228">
                  <c:v>77</c:v>
                </c:pt>
                <c:pt idx="229">
                  <c:v>78</c:v>
                </c:pt>
                <c:pt idx="230">
                  <c:v>78</c:v>
                </c:pt>
                <c:pt idx="231">
                  <c:v>78</c:v>
                </c:pt>
                <c:pt idx="232">
                  <c:v>78</c:v>
                </c:pt>
                <c:pt idx="233">
                  <c:v>78</c:v>
                </c:pt>
                <c:pt idx="234">
                  <c:v>78</c:v>
                </c:pt>
                <c:pt idx="235">
                  <c:v>78</c:v>
                </c:pt>
                <c:pt idx="236">
                  <c:v>78</c:v>
                </c:pt>
                <c:pt idx="237">
                  <c:v>78</c:v>
                </c:pt>
                <c:pt idx="238">
                  <c:v>78</c:v>
                </c:pt>
                <c:pt idx="239">
                  <c:v>78</c:v>
                </c:pt>
                <c:pt idx="240">
                  <c:v>78</c:v>
                </c:pt>
                <c:pt idx="241">
                  <c:v>79</c:v>
                </c:pt>
                <c:pt idx="242">
                  <c:v>79</c:v>
                </c:pt>
                <c:pt idx="243">
                  <c:v>79</c:v>
                </c:pt>
                <c:pt idx="244">
                  <c:v>79</c:v>
                </c:pt>
                <c:pt idx="245">
                  <c:v>79</c:v>
                </c:pt>
                <c:pt idx="246">
                  <c:v>79</c:v>
                </c:pt>
                <c:pt idx="247">
                  <c:v>79</c:v>
                </c:pt>
                <c:pt idx="248">
                  <c:v>79</c:v>
                </c:pt>
                <c:pt idx="249">
                  <c:v>79</c:v>
                </c:pt>
                <c:pt idx="250">
                  <c:v>79</c:v>
                </c:pt>
                <c:pt idx="251">
                  <c:v>79</c:v>
                </c:pt>
                <c:pt idx="252">
                  <c:v>79</c:v>
                </c:pt>
                <c:pt idx="253">
                  <c:v>80</c:v>
                </c:pt>
                <c:pt idx="254">
                  <c:v>80</c:v>
                </c:pt>
                <c:pt idx="255">
                  <c:v>80</c:v>
                </c:pt>
                <c:pt idx="256">
                  <c:v>80</c:v>
                </c:pt>
                <c:pt idx="257">
                  <c:v>80</c:v>
                </c:pt>
                <c:pt idx="258">
                  <c:v>80</c:v>
                </c:pt>
                <c:pt idx="259">
                  <c:v>80</c:v>
                </c:pt>
                <c:pt idx="260">
                  <c:v>80</c:v>
                </c:pt>
                <c:pt idx="261">
                  <c:v>80</c:v>
                </c:pt>
                <c:pt idx="262">
                  <c:v>81</c:v>
                </c:pt>
                <c:pt idx="263">
                  <c:v>81</c:v>
                </c:pt>
                <c:pt idx="264">
                  <c:v>81</c:v>
                </c:pt>
                <c:pt idx="265">
                  <c:v>81</c:v>
                </c:pt>
                <c:pt idx="266">
                  <c:v>81</c:v>
                </c:pt>
                <c:pt idx="267">
                  <c:v>81</c:v>
                </c:pt>
                <c:pt idx="268">
                  <c:v>81</c:v>
                </c:pt>
                <c:pt idx="269">
                  <c:v>81</c:v>
                </c:pt>
                <c:pt idx="270">
                  <c:v>81</c:v>
                </c:pt>
                <c:pt idx="271">
                  <c:v>82</c:v>
                </c:pt>
                <c:pt idx="272">
                  <c:v>82</c:v>
                </c:pt>
                <c:pt idx="273">
                  <c:v>82</c:v>
                </c:pt>
                <c:pt idx="274">
                  <c:v>82</c:v>
                </c:pt>
                <c:pt idx="275">
                  <c:v>82</c:v>
                </c:pt>
                <c:pt idx="276">
                  <c:v>82</c:v>
                </c:pt>
                <c:pt idx="277">
                  <c:v>82</c:v>
                </c:pt>
                <c:pt idx="278">
                  <c:v>82</c:v>
                </c:pt>
                <c:pt idx="279">
                  <c:v>82</c:v>
                </c:pt>
                <c:pt idx="280">
                  <c:v>82</c:v>
                </c:pt>
                <c:pt idx="281">
                  <c:v>82</c:v>
                </c:pt>
                <c:pt idx="282">
                  <c:v>83</c:v>
                </c:pt>
                <c:pt idx="283">
                  <c:v>83</c:v>
                </c:pt>
                <c:pt idx="284">
                  <c:v>83</c:v>
                </c:pt>
                <c:pt idx="285">
                  <c:v>83</c:v>
                </c:pt>
                <c:pt idx="286">
                  <c:v>83</c:v>
                </c:pt>
                <c:pt idx="287">
                  <c:v>83</c:v>
                </c:pt>
                <c:pt idx="288">
                  <c:v>84</c:v>
                </c:pt>
                <c:pt idx="289">
                  <c:v>84</c:v>
                </c:pt>
                <c:pt idx="290">
                  <c:v>84</c:v>
                </c:pt>
                <c:pt idx="291">
                  <c:v>84</c:v>
                </c:pt>
                <c:pt idx="292">
                  <c:v>84</c:v>
                </c:pt>
                <c:pt idx="293">
                  <c:v>84</c:v>
                </c:pt>
                <c:pt idx="294">
                  <c:v>84</c:v>
                </c:pt>
                <c:pt idx="295">
                  <c:v>84</c:v>
                </c:pt>
                <c:pt idx="296">
                  <c:v>84</c:v>
                </c:pt>
                <c:pt idx="297">
                  <c:v>84</c:v>
                </c:pt>
                <c:pt idx="298">
                  <c:v>84</c:v>
                </c:pt>
                <c:pt idx="299">
                  <c:v>84</c:v>
                </c:pt>
                <c:pt idx="300">
                  <c:v>84</c:v>
                </c:pt>
                <c:pt idx="301">
                  <c:v>85</c:v>
                </c:pt>
                <c:pt idx="302">
                  <c:v>85</c:v>
                </c:pt>
                <c:pt idx="303">
                  <c:v>85</c:v>
                </c:pt>
                <c:pt idx="304">
                  <c:v>85</c:v>
                </c:pt>
                <c:pt idx="305">
                  <c:v>85</c:v>
                </c:pt>
                <c:pt idx="306">
                  <c:v>85</c:v>
                </c:pt>
                <c:pt idx="307">
                  <c:v>85</c:v>
                </c:pt>
                <c:pt idx="308">
                  <c:v>85</c:v>
                </c:pt>
                <c:pt idx="309">
                  <c:v>85</c:v>
                </c:pt>
                <c:pt idx="310">
                  <c:v>85</c:v>
                </c:pt>
                <c:pt idx="311">
                  <c:v>85</c:v>
                </c:pt>
                <c:pt idx="312">
                  <c:v>86</c:v>
                </c:pt>
                <c:pt idx="313">
                  <c:v>86</c:v>
                </c:pt>
                <c:pt idx="314">
                  <c:v>86</c:v>
                </c:pt>
                <c:pt idx="315">
                  <c:v>86</c:v>
                </c:pt>
                <c:pt idx="316">
                  <c:v>86</c:v>
                </c:pt>
                <c:pt idx="317">
                  <c:v>86</c:v>
                </c:pt>
                <c:pt idx="318">
                  <c:v>86</c:v>
                </c:pt>
                <c:pt idx="319">
                  <c:v>86</c:v>
                </c:pt>
                <c:pt idx="320">
                  <c:v>87</c:v>
                </c:pt>
                <c:pt idx="321">
                  <c:v>87</c:v>
                </c:pt>
                <c:pt idx="322">
                  <c:v>87</c:v>
                </c:pt>
                <c:pt idx="323">
                  <c:v>87</c:v>
                </c:pt>
                <c:pt idx="324">
                  <c:v>87</c:v>
                </c:pt>
                <c:pt idx="325">
                  <c:v>87</c:v>
                </c:pt>
                <c:pt idx="326">
                  <c:v>88</c:v>
                </c:pt>
                <c:pt idx="327">
                  <c:v>88</c:v>
                </c:pt>
                <c:pt idx="328">
                  <c:v>88</c:v>
                </c:pt>
                <c:pt idx="329">
                  <c:v>89</c:v>
                </c:pt>
                <c:pt idx="330">
                  <c:v>89</c:v>
                </c:pt>
                <c:pt idx="331">
                  <c:v>89</c:v>
                </c:pt>
                <c:pt idx="332">
                  <c:v>89</c:v>
                </c:pt>
                <c:pt idx="333">
                  <c:v>90</c:v>
                </c:pt>
                <c:pt idx="334">
                  <c:v>90</c:v>
                </c:pt>
                <c:pt idx="335">
                  <c:v>90</c:v>
                </c:pt>
                <c:pt idx="336">
                  <c:v>90</c:v>
                </c:pt>
                <c:pt idx="337">
                  <c:v>90</c:v>
                </c:pt>
                <c:pt idx="338">
                  <c:v>90</c:v>
                </c:pt>
                <c:pt idx="339">
                  <c:v>90</c:v>
                </c:pt>
                <c:pt idx="340">
                  <c:v>91</c:v>
                </c:pt>
                <c:pt idx="341">
                  <c:v>91</c:v>
                </c:pt>
                <c:pt idx="342">
                  <c:v>91</c:v>
                </c:pt>
                <c:pt idx="343">
                  <c:v>92</c:v>
                </c:pt>
                <c:pt idx="344">
                  <c:v>92</c:v>
                </c:pt>
                <c:pt idx="345">
                  <c:v>92</c:v>
                </c:pt>
                <c:pt idx="346">
                  <c:v>92</c:v>
                </c:pt>
                <c:pt idx="347">
                  <c:v>93</c:v>
                </c:pt>
                <c:pt idx="348">
                  <c:v>93</c:v>
                </c:pt>
                <c:pt idx="349">
                  <c:v>94</c:v>
                </c:pt>
                <c:pt idx="350">
                  <c:v>94</c:v>
                </c:pt>
                <c:pt idx="351">
                  <c:v>95</c:v>
                </c:pt>
                <c:pt idx="352">
                  <c:v>95</c:v>
                </c:pt>
                <c:pt idx="353">
                  <c:v>95</c:v>
                </c:pt>
                <c:pt idx="354">
                  <c:v>95</c:v>
                </c:pt>
                <c:pt idx="355">
                  <c:v>96</c:v>
                </c:pt>
                <c:pt idx="356">
                  <c:v>96</c:v>
                </c:pt>
                <c:pt idx="357">
                  <c:v>96</c:v>
                </c:pt>
                <c:pt idx="358">
                  <c:v>97</c:v>
                </c:pt>
                <c:pt idx="359">
                  <c:v>98</c:v>
                </c:pt>
                <c:pt idx="360">
                  <c:v>99</c:v>
                </c:pt>
                <c:pt idx="361">
                  <c:v>99</c:v>
                </c:pt>
                <c:pt idx="362">
                  <c:v>99</c:v>
                </c:pt>
                <c:pt idx="363">
                  <c:v>101</c:v>
                </c:pt>
                <c:pt idx="364">
                  <c:v>101</c:v>
                </c:pt>
              </c:numCache>
            </c:numRef>
          </c:cat>
          <c:val>
            <c:numRef>
              <c:f>'Moving Average'!$F$8:$F$372</c:f>
              <c:numCache>
                <c:formatCode>General</c:formatCode>
                <c:ptCount val="365"/>
                <c:pt idx="0">
                  <c:v>1590.3333333333333</c:v>
                </c:pt>
                <c:pt idx="1">
                  <c:v>1688.6666666666667</c:v>
                </c:pt>
                <c:pt idx="2">
                  <c:v>1816.8333333333333</c:v>
                </c:pt>
                <c:pt idx="3">
                  <c:v>1863.5</c:v>
                </c:pt>
                <c:pt idx="4">
                  <c:v>1925</c:v>
                </c:pt>
                <c:pt idx="5">
                  <c:v>1961.8333333333333</c:v>
                </c:pt>
                <c:pt idx="6">
                  <c:v>2051.3333333333335</c:v>
                </c:pt>
                <c:pt idx="7">
                  <c:v>2063.6666666666665</c:v>
                </c:pt>
                <c:pt idx="8">
                  <c:v>2106.1666666666665</c:v>
                </c:pt>
                <c:pt idx="9">
                  <c:v>2149.5</c:v>
                </c:pt>
                <c:pt idx="10">
                  <c:v>2188.5</c:v>
                </c:pt>
                <c:pt idx="11">
                  <c:v>2264.3333333333335</c:v>
                </c:pt>
                <c:pt idx="12">
                  <c:v>2350.3333333333335</c:v>
                </c:pt>
                <c:pt idx="13">
                  <c:v>2437</c:v>
                </c:pt>
                <c:pt idx="14">
                  <c:v>2439.8333333333335</c:v>
                </c:pt>
                <c:pt idx="15">
                  <c:v>2499.6666666666665</c:v>
                </c:pt>
                <c:pt idx="16">
                  <c:v>2480.6666666666665</c:v>
                </c:pt>
                <c:pt idx="17">
                  <c:v>2465.8333333333335</c:v>
                </c:pt>
                <c:pt idx="18">
                  <c:v>2453.6666666666665</c:v>
                </c:pt>
                <c:pt idx="19">
                  <c:v>2491.6666666666665</c:v>
                </c:pt>
                <c:pt idx="20">
                  <c:v>2580.8333333333335</c:v>
                </c:pt>
                <c:pt idx="21">
                  <c:v>2572.5</c:v>
                </c:pt>
                <c:pt idx="22">
                  <c:v>2545.6666666666665</c:v>
                </c:pt>
                <c:pt idx="23">
                  <c:v>2700.5</c:v>
                </c:pt>
                <c:pt idx="24">
                  <c:v>2783.6666666666665</c:v>
                </c:pt>
                <c:pt idx="25">
                  <c:v>2796.3333333333335</c:v>
                </c:pt>
                <c:pt idx="26">
                  <c:v>2816</c:v>
                </c:pt>
                <c:pt idx="27">
                  <c:v>2825.3333333333335</c:v>
                </c:pt>
                <c:pt idx="28">
                  <c:v>2949.6666666666665</c:v>
                </c:pt>
                <c:pt idx="29">
                  <c:v>2956.6666666666665</c:v>
                </c:pt>
                <c:pt idx="30">
                  <c:v>2972.5</c:v>
                </c:pt>
                <c:pt idx="31">
                  <c:v>2933.5</c:v>
                </c:pt>
                <c:pt idx="32">
                  <c:v>2927.8333333333335</c:v>
                </c:pt>
                <c:pt idx="33">
                  <c:v>2964.8333333333335</c:v>
                </c:pt>
                <c:pt idx="34">
                  <c:v>3034.6666666666665</c:v>
                </c:pt>
                <c:pt idx="35">
                  <c:v>2987.1666666666665</c:v>
                </c:pt>
                <c:pt idx="36">
                  <c:v>2992.5</c:v>
                </c:pt>
                <c:pt idx="37">
                  <c:v>3125.8333333333335</c:v>
                </c:pt>
                <c:pt idx="38">
                  <c:v>3124</c:v>
                </c:pt>
                <c:pt idx="39">
                  <c:v>3079.3333333333335</c:v>
                </c:pt>
                <c:pt idx="40">
                  <c:v>2986.1666666666665</c:v>
                </c:pt>
                <c:pt idx="41">
                  <c:v>2996.5</c:v>
                </c:pt>
                <c:pt idx="42">
                  <c:v>2925.5</c:v>
                </c:pt>
                <c:pt idx="43">
                  <c:v>2855.8333333333335</c:v>
                </c:pt>
                <c:pt idx="44">
                  <c:v>2948.1666666666665</c:v>
                </c:pt>
                <c:pt idx="45">
                  <c:v>3061.1666666666665</c:v>
                </c:pt>
                <c:pt idx="46">
                  <c:v>3148.3333333333335</c:v>
                </c:pt>
                <c:pt idx="47">
                  <c:v>3216.6666666666665</c:v>
                </c:pt>
                <c:pt idx="48">
                  <c:v>3270.1666666666665</c:v>
                </c:pt>
                <c:pt idx="49">
                  <c:v>3374.6666666666665</c:v>
                </c:pt>
                <c:pt idx="50">
                  <c:v>3366.8333333333335</c:v>
                </c:pt>
                <c:pt idx="51">
                  <c:v>3410.1666666666665</c:v>
                </c:pt>
                <c:pt idx="52">
                  <c:v>3382.5</c:v>
                </c:pt>
                <c:pt idx="53">
                  <c:v>3393.5</c:v>
                </c:pt>
                <c:pt idx="54">
                  <c:v>3480.5</c:v>
                </c:pt>
                <c:pt idx="55">
                  <c:v>3423.6666666666665</c:v>
                </c:pt>
                <c:pt idx="56">
                  <c:v>3502.6666666666665</c:v>
                </c:pt>
                <c:pt idx="57">
                  <c:v>3384.3333333333335</c:v>
                </c:pt>
                <c:pt idx="58">
                  <c:v>3499.5</c:v>
                </c:pt>
                <c:pt idx="59">
                  <c:v>3543</c:v>
                </c:pt>
                <c:pt idx="60">
                  <c:v>3553</c:v>
                </c:pt>
                <c:pt idx="61">
                  <c:v>3551.3333333333335</c:v>
                </c:pt>
                <c:pt idx="62">
                  <c:v>3540</c:v>
                </c:pt>
                <c:pt idx="63">
                  <c:v>3634</c:v>
                </c:pt>
                <c:pt idx="64">
                  <c:v>3577.1666666666665</c:v>
                </c:pt>
                <c:pt idx="65">
                  <c:v>3552.3333333333335</c:v>
                </c:pt>
                <c:pt idx="66">
                  <c:v>3611.3333333333335</c:v>
                </c:pt>
                <c:pt idx="67">
                  <c:v>3734.6666666666665</c:v>
                </c:pt>
                <c:pt idx="68">
                  <c:v>3792.1666666666665</c:v>
                </c:pt>
                <c:pt idx="69">
                  <c:v>3836</c:v>
                </c:pt>
                <c:pt idx="70">
                  <c:v>3886.6666666666665</c:v>
                </c:pt>
                <c:pt idx="71">
                  <c:v>3919.3333333333335</c:v>
                </c:pt>
                <c:pt idx="72">
                  <c:v>3870.1666666666665</c:v>
                </c:pt>
                <c:pt idx="73">
                  <c:v>3867.5</c:v>
                </c:pt>
                <c:pt idx="74">
                  <c:v>3808.6666666666665</c:v>
                </c:pt>
                <c:pt idx="75">
                  <c:v>3833</c:v>
                </c:pt>
                <c:pt idx="76">
                  <c:v>3834</c:v>
                </c:pt>
                <c:pt idx="77">
                  <c:v>3824.8333333333335</c:v>
                </c:pt>
                <c:pt idx="78">
                  <c:v>3853.8333333333335</c:v>
                </c:pt>
                <c:pt idx="79">
                  <c:v>3885.6666666666665</c:v>
                </c:pt>
                <c:pt idx="80">
                  <c:v>3931.8333333333335</c:v>
                </c:pt>
                <c:pt idx="81">
                  <c:v>3907</c:v>
                </c:pt>
                <c:pt idx="82">
                  <c:v>4107.166666666667</c:v>
                </c:pt>
                <c:pt idx="83">
                  <c:v>4215.333333333333</c:v>
                </c:pt>
                <c:pt idx="84">
                  <c:v>4257.666666666667</c:v>
                </c:pt>
                <c:pt idx="85">
                  <c:v>4243.5</c:v>
                </c:pt>
                <c:pt idx="86">
                  <c:v>4226.5</c:v>
                </c:pt>
                <c:pt idx="87">
                  <c:v>4270.5</c:v>
                </c:pt>
                <c:pt idx="88">
                  <c:v>4105.666666666667</c:v>
                </c:pt>
                <c:pt idx="89">
                  <c:v>4056.6666666666665</c:v>
                </c:pt>
                <c:pt idx="90">
                  <c:v>4111.166666666667</c:v>
                </c:pt>
                <c:pt idx="91">
                  <c:v>4117</c:v>
                </c:pt>
                <c:pt idx="92">
                  <c:v>4133.166666666667</c:v>
                </c:pt>
                <c:pt idx="93">
                  <c:v>4099.833333333333</c:v>
                </c:pt>
                <c:pt idx="94">
                  <c:v>4163</c:v>
                </c:pt>
                <c:pt idx="95">
                  <c:v>4211.166666666667</c:v>
                </c:pt>
                <c:pt idx="96">
                  <c:v>4253</c:v>
                </c:pt>
                <c:pt idx="97">
                  <c:v>4327</c:v>
                </c:pt>
                <c:pt idx="98">
                  <c:v>4342.833333333333</c:v>
                </c:pt>
                <c:pt idx="99">
                  <c:v>4429.666666666667</c:v>
                </c:pt>
                <c:pt idx="100">
                  <c:v>4407.166666666667</c:v>
                </c:pt>
                <c:pt idx="101">
                  <c:v>4373.833333333333</c:v>
                </c:pt>
                <c:pt idx="102">
                  <c:v>4305.833333333333</c:v>
                </c:pt>
                <c:pt idx="103">
                  <c:v>4288</c:v>
                </c:pt>
                <c:pt idx="104">
                  <c:v>4315</c:v>
                </c:pt>
                <c:pt idx="105">
                  <c:v>4302.5</c:v>
                </c:pt>
                <c:pt idx="106">
                  <c:v>4293.166666666667</c:v>
                </c:pt>
                <c:pt idx="107">
                  <c:v>4370.5</c:v>
                </c:pt>
                <c:pt idx="108">
                  <c:v>4443.833333333333</c:v>
                </c:pt>
                <c:pt idx="109">
                  <c:v>4446.666666666667</c:v>
                </c:pt>
                <c:pt idx="110">
                  <c:v>4526.833333333333</c:v>
                </c:pt>
                <c:pt idx="111">
                  <c:v>4559.333333333333</c:v>
                </c:pt>
                <c:pt idx="112">
                  <c:v>4607.833333333333</c:v>
                </c:pt>
                <c:pt idx="113">
                  <c:v>4585.833333333333</c:v>
                </c:pt>
                <c:pt idx="114">
                  <c:v>4580.5</c:v>
                </c:pt>
                <c:pt idx="115">
                  <c:v>4643.5</c:v>
                </c:pt>
                <c:pt idx="116">
                  <c:v>4714</c:v>
                </c:pt>
                <c:pt idx="117">
                  <c:v>4715.166666666667</c:v>
                </c:pt>
                <c:pt idx="118">
                  <c:v>4641.5</c:v>
                </c:pt>
                <c:pt idx="119">
                  <c:v>4695.333333333333</c:v>
                </c:pt>
                <c:pt idx="120">
                  <c:v>4660.333333333333</c:v>
                </c:pt>
                <c:pt idx="121">
                  <c:v>4623.333333333333</c:v>
                </c:pt>
                <c:pt idx="122">
                  <c:v>4508.333333333333</c:v>
                </c:pt>
                <c:pt idx="123">
                  <c:v>4473.166666666667</c:v>
                </c:pt>
                <c:pt idx="124">
                  <c:v>4639.333333333333</c:v>
                </c:pt>
                <c:pt idx="125">
                  <c:v>4589.333333333333</c:v>
                </c:pt>
                <c:pt idx="126">
                  <c:v>4657.833333333333</c:v>
                </c:pt>
                <c:pt idx="127">
                  <c:v>4655.333333333333</c:v>
                </c:pt>
                <c:pt idx="128">
                  <c:v>4753.5</c:v>
                </c:pt>
                <c:pt idx="129">
                  <c:v>4824</c:v>
                </c:pt>
                <c:pt idx="130">
                  <c:v>4807</c:v>
                </c:pt>
                <c:pt idx="131">
                  <c:v>4740.833333333333</c:v>
                </c:pt>
                <c:pt idx="132">
                  <c:v>4699.666666666667</c:v>
                </c:pt>
                <c:pt idx="133">
                  <c:v>4724</c:v>
                </c:pt>
                <c:pt idx="134">
                  <c:v>4673.833333333333</c:v>
                </c:pt>
                <c:pt idx="135">
                  <c:v>4616.5</c:v>
                </c:pt>
                <c:pt idx="136">
                  <c:v>4581</c:v>
                </c:pt>
                <c:pt idx="137">
                  <c:v>4742.666666666667</c:v>
                </c:pt>
                <c:pt idx="138">
                  <c:v>4656.666666666667</c:v>
                </c:pt>
                <c:pt idx="139">
                  <c:v>4698.833333333333</c:v>
                </c:pt>
                <c:pt idx="140">
                  <c:v>4699.666666666667</c:v>
                </c:pt>
                <c:pt idx="141">
                  <c:v>4679.166666666667</c:v>
                </c:pt>
                <c:pt idx="142">
                  <c:v>4700.833333333333</c:v>
                </c:pt>
                <c:pt idx="143">
                  <c:v>4668.833333333333</c:v>
                </c:pt>
                <c:pt idx="144">
                  <c:v>4821</c:v>
                </c:pt>
                <c:pt idx="145">
                  <c:v>4808.333333333333</c:v>
                </c:pt>
                <c:pt idx="146">
                  <c:v>4844.5</c:v>
                </c:pt>
                <c:pt idx="147">
                  <c:v>4974.666666666667</c:v>
                </c:pt>
                <c:pt idx="148">
                  <c:v>4983.833333333333</c:v>
                </c:pt>
                <c:pt idx="149">
                  <c:v>5037.333333333333</c:v>
                </c:pt>
                <c:pt idx="150">
                  <c:v>5057</c:v>
                </c:pt>
                <c:pt idx="151">
                  <c:v>5052</c:v>
                </c:pt>
                <c:pt idx="152">
                  <c:v>5108.333333333333</c:v>
                </c:pt>
                <c:pt idx="153">
                  <c:v>5179.666666666667</c:v>
                </c:pt>
                <c:pt idx="154">
                  <c:v>5253.833333333333</c:v>
                </c:pt>
                <c:pt idx="155">
                  <c:v>5202.666666666667</c:v>
                </c:pt>
                <c:pt idx="156">
                  <c:v>5204.666666666667</c:v>
                </c:pt>
                <c:pt idx="157">
                  <c:v>5170</c:v>
                </c:pt>
                <c:pt idx="158">
                  <c:v>5165.166666666667</c:v>
                </c:pt>
                <c:pt idx="159">
                  <c:v>5077.666666666667</c:v>
                </c:pt>
                <c:pt idx="160">
                  <c:v>5098.833333333333</c:v>
                </c:pt>
                <c:pt idx="161">
                  <c:v>5225.166666666667</c:v>
                </c:pt>
                <c:pt idx="162">
                  <c:v>5210</c:v>
                </c:pt>
                <c:pt idx="163">
                  <c:v>5327.333333333333</c:v>
                </c:pt>
                <c:pt idx="164">
                  <c:v>5302.5</c:v>
                </c:pt>
                <c:pt idx="165">
                  <c:v>5313.666666666667</c:v>
                </c:pt>
                <c:pt idx="166">
                  <c:v>5289.5</c:v>
                </c:pt>
                <c:pt idx="167">
                  <c:v>5211</c:v>
                </c:pt>
                <c:pt idx="168">
                  <c:v>5172.666666666667</c:v>
                </c:pt>
                <c:pt idx="169">
                  <c:v>5169.166666666667</c:v>
                </c:pt>
                <c:pt idx="170">
                  <c:v>5156.5</c:v>
                </c:pt>
                <c:pt idx="171">
                  <c:v>5191.833333333333</c:v>
                </c:pt>
                <c:pt idx="172">
                  <c:v>5172.333333333333</c:v>
                </c:pt>
                <c:pt idx="173">
                  <c:v>5209</c:v>
                </c:pt>
                <c:pt idx="174">
                  <c:v>5256.666666666667</c:v>
                </c:pt>
                <c:pt idx="175">
                  <c:v>5250.666666666667</c:v>
                </c:pt>
                <c:pt idx="176">
                  <c:v>5310.833333333333</c:v>
                </c:pt>
                <c:pt idx="177">
                  <c:v>5358.833333333333</c:v>
                </c:pt>
                <c:pt idx="178">
                  <c:v>5386.5</c:v>
                </c:pt>
                <c:pt idx="179">
                  <c:v>5374.833333333333</c:v>
                </c:pt>
                <c:pt idx="180">
                  <c:v>5432.5</c:v>
                </c:pt>
                <c:pt idx="181">
                  <c:v>5451.666666666667</c:v>
                </c:pt>
                <c:pt idx="182">
                  <c:v>5438.666666666667</c:v>
                </c:pt>
                <c:pt idx="183">
                  <c:v>5366</c:v>
                </c:pt>
                <c:pt idx="184">
                  <c:v>5390</c:v>
                </c:pt>
                <c:pt idx="185">
                  <c:v>5467.333333333333</c:v>
                </c:pt>
                <c:pt idx="186">
                  <c:v>5390</c:v>
                </c:pt>
                <c:pt idx="187">
                  <c:v>5388.666666666667</c:v>
                </c:pt>
                <c:pt idx="188">
                  <c:v>5394.166666666667</c:v>
                </c:pt>
                <c:pt idx="189">
                  <c:v>5440.666666666667</c:v>
                </c:pt>
                <c:pt idx="190">
                  <c:v>5467</c:v>
                </c:pt>
                <c:pt idx="191">
                  <c:v>5394.5</c:v>
                </c:pt>
                <c:pt idx="192">
                  <c:v>5472.833333333333</c:v>
                </c:pt>
                <c:pt idx="193">
                  <c:v>5463.333333333333</c:v>
                </c:pt>
                <c:pt idx="194">
                  <c:v>5528.166666666667</c:v>
                </c:pt>
                <c:pt idx="195">
                  <c:v>5569.333333333333</c:v>
                </c:pt>
                <c:pt idx="196">
                  <c:v>5594.666666666667</c:v>
                </c:pt>
                <c:pt idx="197">
                  <c:v>5671.166666666667</c:v>
                </c:pt>
                <c:pt idx="198">
                  <c:v>5629.5</c:v>
                </c:pt>
                <c:pt idx="199">
                  <c:v>5677.5</c:v>
                </c:pt>
                <c:pt idx="200">
                  <c:v>5704</c:v>
                </c:pt>
                <c:pt idx="201">
                  <c:v>5767</c:v>
                </c:pt>
                <c:pt idx="202">
                  <c:v>5687.166666666667</c:v>
                </c:pt>
                <c:pt idx="203">
                  <c:v>5696.5</c:v>
                </c:pt>
                <c:pt idx="204">
                  <c:v>5702</c:v>
                </c:pt>
                <c:pt idx="205">
                  <c:v>5650.166666666667</c:v>
                </c:pt>
                <c:pt idx="206">
                  <c:v>5658.666666666667</c:v>
                </c:pt>
                <c:pt idx="207">
                  <c:v>5669</c:v>
                </c:pt>
                <c:pt idx="208">
                  <c:v>5777.333333333333</c:v>
                </c:pt>
                <c:pt idx="209">
                  <c:v>5684.166666666667</c:v>
                </c:pt>
                <c:pt idx="210">
                  <c:v>5682.5</c:v>
                </c:pt>
                <c:pt idx="211">
                  <c:v>5782.5</c:v>
                </c:pt>
                <c:pt idx="212">
                  <c:v>5685.166666666667</c:v>
                </c:pt>
                <c:pt idx="213">
                  <c:v>5618.833333333333</c:v>
                </c:pt>
                <c:pt idx="214">
                  <c:v>5611.166666666667</c:v>
                </c:pt>
                <c:pt idx="215">
                  <c:v>5726.666666666667</c:v>
                </c:pt>
                <c:pt idx="216">
                  <c:v>5782.666666666667</c:v>
                </c:pt>
                <c:pt idx="217">
                  <c:v>5805.666666666667</c:v>
                </c:pt>
                <c:pt idx="218">
                  <c:v>5821.833333333333</c:v>
                </c:pt>
                <c:pt idx="219">
                  <c:v>5856.166666666667</c:v>
                </c:pt>
                <c:pt idx="220">
                  <c:v>5837</c:v>
                </c:pt>
                <c:pt idx="221">
                  <c:v>5783.166666666667</c:v>
                </c:pt>
                <c:pt idx="222">
                  <c:v>5781.5</c:v>
                </c:pt>
                <c:pt idx="223">
                  <c:v>5725</c:v>
                </c:pt>
                <c:pt idx="224">
                  <c:v>5776</c:v>
                </c:pt>
                <c:pt idx="225">
                  <c:v>5810.5</c:v>
                </c:pt>
                <c:pt idx="226">
                  <c:v>5837.333333333333</c:v>
                </c:pt>
                <c:pt idx="227">
                  <c:v>5893.5</c:v>
                </c:pt>
                <c:pt idx="228">
                  <c:v>5997.666666666667</c:v>
                </c:pt>
                <c:pt idx="229">
                  <c:v>6060.166666666667</c:v>
                </c:pt>
                <c:pt idx="230">
                  <c:v>6085</c:v>
                </c:pt>
                <c:pt idx="231">
                  <c:v>6049.166666666667</c:v>
                </c:pt>
                <c:pt idx="232">
                  <c:v>6029</c:v>
                </c:pt>
                <c:pt idx="233">
                  <c:v>5979.666666666667</c:v>
                </c:pt>
                <c:pt idx="234">
                  <c:v>5890.833333333333</c:v>
                </c:pt>
                <c:pt idx="235">
                  <c:v>5907.166666666667</c:v>
                </c:pt>
                <c:pt idx="236">
                  <c:v>5908.5</c:v>
                </c:pt>
                <c:pt idx="237">
                  <c:v>6017</c:v>
                </c:pt>
                <c:pt idx="238">
                  <c:v>5982.666666666667</c:v>
                </c:pt>
                <c:pt idx="239">
                  <c:v>6059.166666666667</c:v>
                </c:pt>
                <c:pt idx="240">
                  <c:v>6103.833333333333</c:v>
                </c:pt>
                <c:pt idx="241">
                  <c:v>6095.666666666667</c:v>
                </c:pt>
                <c:pt idx="242">
                  <c:v>6092.166666666667</c:v>
                </c:pt>
                <c:pt idx="243">
                  <c:v>6135.5</c:v>
                </c:pt>
                <c:pt idx="244">
                  <c:v>6123.5</c:v>
                </c:pt>
                <c:pt idx="245">
                  <c:v>6076.333333333333</c:v>
                </c:pt>
                <c:pt idx="246">
                  <c:v>6034.833333333333</c:v>
                </c:pt>
                <c:pt idx="247">
                  <c:v>6083.5</c:v>
                </c:pt>
                <c:pt idx="248">
                  <c:v>6016.5</c:v>
                </c:pt>
                <c:pt idx="249">
                  <c:v>5913.166666666667</c:v>
                </c:pt>
                <c:pt idx="250">
                  <c:v>6020.666666666667</c:v>
                </c:pt>
                <c:pt idx="251">
                  <c:v>6024.333333333333</c:v>
                </c:pt>
                <c:pt idx="252">
                  <c:v>6093.5</c:v>
                </c:pt>
                <c:pt idx="253">
                  <c:v>6074</c:v>
                </c:pt>
                <c:pt idx="254">
                  <c:v>6223.666666666667</c:v>
                </c:pt>
                <c:pt idx="255">
                  <c:v>6293.666666666667</c:v>
                </c:pt>
                <c:pt idx="256">
                  <c:v>6277.5</c:v>
                </c:pt>
                <c:pt idx="257">
                  <c:v>6351.666666666667</c:v>
                </c:pt>
                <c:pt idx="258">
                  <c:v>6293.666666666667</c:v>
                </c:pt>
                <c:pt idx="259">
                  <c:v>6227.166666666667</c:v>
                </c:pt>
                <c:pt idx="260">
                  <c:v>6250.666666666667</c:v>
                </c:pt>
                <c:pt idx="261">
                  <c:v>6185.666666666667</c:v>
                </c:pt>
                <c:pt idx="262">
                  <c:v>6190.666666666667</c:v>
                </c:pt>
                <c:pt idx="263">
                  <c:v>6188.5</c:v>
                </c:pt>
                <c:pt idx="264">
                  <c:v>6259.333333333333</c:v>
                </c:pt>
                <c:pt idx="265">
                  <c:v>6306.833333333333</c:v>
                </c:pt>
                <c:pt idx="266">
                  <c:v>6292</c:v>
                </c:pt>
                <c:pt idx="267">
                  <c:v>6369.166666666667</c:v>
                </c:pt>
                <c:pt idx="268">
                  <c:v>6400.833333333333</c:v>
                </c:pt>
                <c:pt idx="269">
                  <c:v>6387.166666666667</c:v>
                </c:pt>
                <c:pt idx="270">
                  <c:v>6378.666666666667</c:v>
                </c:pt>
                <c:pt idx="271">
                  <c:v>6431.5</c:v>
                </c:pt>
                <c:pt idx="272">
                  <c:v>6421.833333333333</c:v>
                </c:pt>
                <c:pt idx="273">
                  <c:v>6420.333333333333</c:v>
                </c:pt>
                <c:pt idx="274">
                  <c:v>6434.333333333333</c:v>
                </c:pt>
                <c:pt idx="275">
                  <c:v>6425</c:v>
                </c:pt>
                <c:pt idx="276">
                  <c:v>6503.666666666667</c:v>
                </c:pt>
                <c:pt idx="277">
                  <c:v>6504.5</c:v>
                </c:pt>
                <c:pt idx="278">
                  <c:v>6474.333333333333</c:v>
                </c:pt>
                <c:pt idx="279">
                  <c:v>6428.166666666667</c:v>
                </c:pt>
                <c:pt idx="280">
                  <c:v>6420.166666666667</c:v>
                </c:pt>
                <c:pt idx="281">
                  <c:v>6385.666666666667</c:v>
                </c:pt>
                <c:pt idx="282">
                  <c:v>6370.5</c:v>
                </c:pt>
                <c:pt idx="283">
                  <c:v>6388.333333333333</c:v>
                </c:pt>
                <c:pt idx="284">
                  <c:v>6430.666666666667</c:v>
                </c:pt>
                <c:pt idx="285">
                  <c:v>6428</c:v>
                </c:pt>
                <c:pt idx="286">
                  <c:v>6410.833333333333</c:v>
                </c:pt>
                <c:pt idx="287">
                  <c:v>6487.833333333333</c:v>
                </c:pt>
                <c:pt idx="288">
                  <c:v>6483.666666666667</c:v>
                </c:pt>
                <c:pt idx="289">
                  <c:v>6511.5</c:v>
                </c:pt>
                <c:pt idx="290">
                  <c:v>6494.5</c:v>
                </c:pt>
                <c:pt idx="291">
                  <c:v>6546.666666666667</c:v>
                </c:pt>
                <c:pt idx="292">
                  <c:v>6551.333333333333</c:v>
                </c:pt>
                <c:pt idx="293">
                  <c:v>6587.666666666667</c:v>
                </c:pt>
                <c:pt idx="294">
                  <c:v>6639.833333333333</c:v>
                </c:pt>
                <c:pt idx="295">
                  <c:v>6588.5</c:v>
                </c:pt>
                <c:pt idx="296">
                  <c:v>6652.333333333333</c:v>
                </c:pt>
                <c:pt idx="297">
                  <c:v>6679.333333333333</c:v>
                </c:pt>
                <c:pt idx="298">
                  <c:v>6780.666666666667</c:v>
                </c:pt>
                <c:pt idx="299">
                  <c:v>6724.666666666667</c:v>
                </c:pt>
                <c:pt idx="300">
                  <c:v>6612.666666666667</c:v>
                </c:pt>
                <c:pt idx="301">
                  <c:v>6664</c:v>
                </c:pt>
                <c:pt idx="302">
                  <c:v>6581.666666666667</c:v>
                </c:pt>
                <c:pt idx="303">
                  <c:v>6533</c:v>
                </c:pt>
                <c:pt idx="304">
                  <c:v>6471</c:v>
                </c:pt>
                <c:pt idx="305">
                  <c:v>6572.333333333333</c:v>
                </c:pt>
                <c:pt idx="306">
                  <c:v>6613.833333333333</c:v>
                </c:pt>
                <c:pt idx="307">
                  <c:v>6635.666666666667</c:v>
                </c:pt>
                <c:pt idx="308">
                  <c:v>6725</c:v>
                </c:pt>
                <c:pt idx="309">
                  <c:v>6803.333333333333</c:v>
                </c:pt>
                <c:pt idx="310">
                  <c:v>6894.5</c:v>
                </c:pt>
                <c:pt idx="311">
                  <c:v>6887.833333333333</c:v>
                </c:pt>
                <c:pt idx="312">
                  <c:v>6969.166666666667</c:v>
                </c:pt>
                <c:pt idx="313">
                  <c:v>6942.166666666667</c:v>
                </c:pt>
                <c:pt idx="314">
                  <c:v>6883.833333333333</c:v>
                </c:pt>
                <c:pt idx="315">
                  <c:v>6896.666666666667</c:v>
                </c:pt>
                <c:pt idx="316">
                  <c:v>6847</c:v>
                </c:pt>
                <c:pt idx="317">
                  <c:v>6853.5</c:v>
                </c:pt>
                <c:pt idx="318">
                  <c:v>6786.833333333333</c:v>
                </c:pt>
                <c:pt idx="319">
                  <c:v>6787.333333333333</c:v>
                </c:pt>
                <c:pt idx="320">
                  <c:v>6883.833333333333</c:v>
                </c:pt>
                <c:pt idx="321">
                  <c:v>6871.166666666667</c:v>
                </c:pt>
                <c:pt idx="322">
                  <c:v>6974.666666666667</c:v>
                </c:pt>
                <c:pt idx="323">
                  <c:v>6966.166666666667</c:v>
                </c:pt>
                <c:pt idx="324">
                  <c:v>7099</c:v>
                </c:pt>
                <c:pt idx="325">
                  <c:v>7157.5</c:v>
                </c:pt>
                <c:pt idx="326">
                  <c:v>7202.166666666667</c:v>
                </c:pt>
                <c:pt idx="327">
                  <c:v>7275.833333333333</c:v>
                </c:pt>
                <c:pt idx="328">
                  <c:v>7216.333333333333</c:v>
                </c:pt>
                <c:pt idx="329">
                  <c:v>7179.666666666667</c:v>
                </c:pt>
                <c:pt idx="330">
                  <c:v>7250.166666666667</c:v>
                </c:pt>
                <c:pt idx="331">
                  <c:v>7310.166666666667</c:v>
                </c:pt>
                <c:pt idx="332">
                  <c:v>7334.833333333333</c:v>
                </c:pt>
                <c:pt idx="333">
                  <c:v>7332.333333333333</c:v>
                </c:pt>
                <c:pt idx="334">
                  <c:v>7412.666666666667</c:v>
                </c:pt>
                <c:pt idx="335">
                  <c:v>7608.166666666667</c:v>
                </c:pt>
                <c:pt idx="336">
                  <c:v>7681.833333333333</c:v>
                </c:pt>
                <c:pt idx="337">
                  <c:v>7689.666666666667</c:v>
                </c:pt>
                <c:pt idx="338">
                  <c:v>7746.333333333333</c:v>
                </c:pt>
                <c:pt idx="339">
                  <c:v>7774</c:v>
                </c:pt>
                <c:pt idx="340">
                  <c:v>7759</c:v>
                </c:pt>
                <c:pt idx="341">
                  <c:v>7727.333333333333</c:v>
                </c:pt>
                <c:pt idx="342">
                  <c:v>7693.166666666667</c:v>
                </c:pt>
                <c:pt idx="343">
                  <c:v>7719.833333333333</c:v>
                </c:pt>
                <c:pt idx="344">
                  <c:v>7765.5</c:v>
                </c:pt>
                <c:pt idx="345">
                  <c:v>7767.166666666667</c:v>
                </c:pt>
                <c:pt idx="346">
                  <c:v>7819.833333333333</c:v>
                </c:pt>
                <c:pt idx="347">
                  <c:v>7875.5</c:v>
                </c:pt>
                <c:pt idx="348">
                  <c:v>7895.666666666667</c:v>
                </c:pt>
                <c:pt idx="349">
                  <c:v>7959</c:v>
                </c:pt>
                <c:pt idx="350">
                  <c:v>7943.666666666667</c:v>
                </c:pt>
                <c:pt idx="351">
                  <c:v>8062.5</c:v>
                </c:pt>
                <c:pt idx="352">
                  <c:v>8108.333333333333</c:v>
                </c:pt>
                <c:pt idx="353">
                  <c:v>8137.5</c:v>
                </c:pt>
                <c:pt idx="354">
                  <c:v>8190</c:v>
                </c:pt>
                <c:pt idx="355">
                  <c:v>8259.1666666666661</c:v>
                </c:pt>
                <c:pt idx="356">
                  <c:v>8376.8333333333339</c:v>
                </c:pt>
                <c:pt idx="357">
                  <c:v>8484.5</c:v>
                </c:pt>
                <c:pt idx="358">
                  <c:v>8500.5</c:v>
                </c:pt>
                <c:pt idx="359">
                  <c:v>8542.5</c:v>
                </c:pt>
                <c:pt idx="360">
                  <c:v>8568.6</c:v>
                </c:pt>
                <c:pt idx="361">
                  <c:v>8582.5</c:v>
                </c:pt>
                <c:pt idx="362">
                  <c:v>8540.6666666666661</c:v>
                </c:pt>
                <c:pt idx="363">
                  <c:v>8346.5</c:v>
                </c:pt>
                <c:pt idx="364">
                  <c:v>8502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03-4866-B336-EFFACC1B7F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652064"/>
        <c:axId val="443652544"/>
      </c:lineChart>
      <c:catAx>
        <c:axId val="443652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Temperature (F)</a:t>
                </a:r>
              </a:p>
            </c:rich>
          </c:tx>
          <c:layout>
            <c:manualLayout>
              <c:xMode val="edge"/>
              <c:yMode val="edge"/>
              <c:x val="0.41758344138280423"/>
              <c:y val="0.91928375365293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652544"/>
        <c:crosses val="autoZero"/>
        <c:auto val="1"/>
        <c:lblAlgn val="ctr"/>
        <c:lblOffset val="100"/>
        <c:noMultiLvlLbl val="0"/>
      </c:catAx>
      <c:valAx>
        <c:axId val="443652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Ice</a:t>
                </a:r>
                <a:r>
                  <a:rPr lang="en-ID" baseline="0"/>
                  <a:t> Cream profits (USD)</a:t>
                </a:r>
              </a:p>
              <a:p>
                <a:pPr>
                  <a:defRPr/>
                </a:pP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652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Smoothing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Actual Data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Smoothing!$A$2:$A$366</c:f>
              <c:numCache>
                <c:formatCode>General</c:formatCode>
                <c:ptCount val="365"/>
                <c:pt idx="0">
                  <c:v>39</c:v>
                </c:pt>
                <c:pt idx="1">
                  <c:v>40</c:v>
                </c:pt>
                <c:pt idx="2">
                  <c:v>41</c:v>
                </c:pt>
                <c:pt idx="3">
                  <c:v>42</c:v>
                </c:pt>
                <c:pt idx="4">
                  <c:v>43</c:v>
                </c:pt>
                <c:pt idx="5">
                  <c:v>43</c:v>
                </c:pt>
                <c:pt idx="6">
                  <c:v>44</c:v>
                </c:pt>
                <c:pt idx="7">
                  <c:v>44</c:v>
                </c:pt>
                <c:pt idx="8">
                  <c:v>45</c:v>
                </c:pt>
                <c:pt idx="9">
                  <c:v>45</c:v>
                </c:pt>
                <c:pt idx="10">
                  <c:v>45</c:v>
                </c:pt>
                <c:pt idx="11">
                  <c:v>46</c:v>
                </c:pt>
                <c:pt idx="12">
                  <c:v>46</c:v>
                </c:pt>
                <c:pt idx="13">
                  <c:v>47</c:v>
                </c:pt>
                <c:pt idx="14">
                  <c:v>48</c:v>
                </c:pt>
                <c:pt idx="15">
                  <c:v>48</c:v>
                </c:pt>
                <c:pt idx="16">
                  <c:v>48</c:v>
                </c:pt>
                <c:pt idx="17">
                  <c:v>48</c:v>
                </c:pt>
                <c:pt idx="18">
                  <c:v>48</c:v>
                </c:pt>
                <c:pt idx="19">
                  <c:v>48</c:v>
                </c:pt>
                <c:pt idx="20">
                  <c:v>49</c:v>
                </c:pt>
                <c:pt idx="21">
                  <c:v>49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51</c:v>
                </c:pt>
                <c:pt idx="28">
                  <c:v>51</c:v>
                </c:pt>
                <c:pt idx="29">
                  <c:v>52</c:v>
                </c:pt>
                <c:pt idx="30">
                  <c:v>52</c:v>
                </c:pt>
                <c:pt idx="31">
                  <c:v>52</c:v>
                </c:pt>
                <c:pt idx="32">
                  <c:v>52</c:v>
                </c:pt>
                <c:pt idx="33">
                  <c:v>52</c:v>
                </c:pt>
                <c:pt idx="34">
                  <c:v>53</c:v>
                </c:pt>
                <c:pt idx="35">
                  <c:v>53</c:v>
                </c:pt>
                <c:pt idx="36">
                  <c:v>53</c:v>
                </c:pt>
                <c:pt idx="37">
                  <c:v>53</c:v>
                </c:pt>
                <c:pt idx="38">
                  <c:v>54</c:v>
                </c:pt>
                <c:pt idx="39">
                  <c:v>54</c:v>
                </c:pt>
                <c:pt idx="40">
                  <c:v>54</c:v>
                </c:pt>
                <c:pt idx="41">
                  <c:v>54</c:v>
                </c:pt>
                <c:pt idx="42">
                  <c:v>54</c:v>
                </c:pt>
                <c:pt idx="43">
                  <c:v>54</c:v>
                </c:pt>
                <c:pt idx="44">
                  <c:v>54</c:v>
                </c:pt>
                <c:pt idx="45">
                  <c:v>54</c:v>
                </c:pt>
                <c:pt idx="46">
                  <c:v>54</c:v>
                </c:pt>
                <c:pt idx="47">
                  <c:v>55</c:v>
                </c:pt>
                <c:pt idx="48">
                  <c:v>55</c:v>
                </c:pt>
                <c:pt idx="49">
                  <c:v>55</c:v>
                </c:pt>
                <c:pt idx="50">
                  <c:v>55</c:v>
                </c:pt>
                <c:pt idx="51">
                  <c:v>56</c:v>
                </c:pt>
                <c:pt idx="52">
                  <c:v>56</c:v>
                </c:pt>
                <c:pt idx="53">
                  <c:v>57</c:v>
                </c:pt>
                <c:pt idx="54">
                  <c:v>57</c:v>
                </c:pt>
                <c:pt idx="55">
                  <c:v>58</c:v>
                </c:pt>
                <c:pt idx="56">
                  <c:v>58</c:v>
                </c:pt>
                <c:pt idx="57">
                  <c:v>58</c:v>
                </c:pt>
                <c:pt idx="58">
                  <c:v>58</c:v>
                </c:pt>
                <c:pt idx="59">
                  <c:v>58</c:v>
                </c:pt>
                <c:pt idx="60">
                  <c:v>58</c:v>
                </c:pt>
                <c:pt idx="61">
                  <c:v>59</c:v>
                </c:pt>
                <c:pt idx="62">
                  <c:v>59</c:v>
                </c:pt>
                <c:pt idx="63">
                  <c:v>59</c:v>
                </c:pt>
                <c:pt idx="64">
                  <c:v>59</c:v>
                </c:pt>
                <c:pt idx="65">
                  <c:v>59</c:v>
                </c:pt>
                <c:pt idx="66">
                  <c:v>59</c:v>
                </c:pt>
                <c:pt idx="67">
                  <c:v>59</c:v>
                </c:pt>
                <c:pt idx="68">
                  <c:v>59</c:v>
                </c:pt>
                <c:pt idx="69">
                  <c:v>60</c:v>
                </c:pt>
                <c:pt idx="70">
                  <c:v>60</c:v>
                </c:pt>
                <c:pt idx="71">
                  <c:v>60</c:v>
                </c:pt>
                <c:pt idx="72">
                  <c:v>60</c:v>
                </c:pt>
                <c:pt idx="73">
                  <c:v>60</c:v>
                </c:pt>
                <c:pt idx="74">
                  <c:v>61</c:v>
                </c:pt>
                <c:pt idx="75">
                  <c:v>61</c:v>
                </c:pt>
                <c:pt idx="76">
                  <c:v>61</c:v>
                </c:pt>
                <c:pt idx="77">
                  <c:v>61</c:v>
                </c:pt>
                <c:pt idx="78">
                  <c:v>61</c:v>
                </c:pt>
                <c:pt idx="79">
                  <c:v>61</c:v>
                </c:pt>
                <c:pt idx="80">
                  <c:v>61</c:v>
                </c:pt>
                <c:pt idx="81">
                  <c:v>61</c:v>
                </c:pt>
                <c:pt idx="82">
                  <c:v>61</c:v>
                </c:pt>
                <c:pt idx="83">
                  <c:v>62</c:v>
                </c:pt>
                <c:pt idx="84">
                  <c:v>62</c:v>
                </c:pt>
                <c:pt idx="85">
                  <c:v>62</c:v>
                </c:pt>
                <c:pt idx="86">
                  <c:v>62</c:v>
                </c:pt>
                <c:pt idx="87">
                  <c:v>63</c:v>
                </c:pt>
                <c:pt idx="88">
                  <c:v>63</c:v>
                </c:pt>
                <c:pt idx="89">
                  <c:v>63</c:v>
                </c:pt>
                <c:pt idx="90">
                  <c:v>63</c:v>
                </c:pt>
                <c:pt idx="91">
                  <c:v>63</c:v>
                </c:pt>
                <c:pt idx="92">
                  <c:v>64</c:v>
                </c:pt>
                <c:pt idx="93">
                  <c:v>64</c:v>
                </c:pt>
                <c:pt idx="94">
                  <c:v>64</c:v>
                </c:pt>
                <c:pt idx="95">
                  <c:v>64</c:v>
                </c:pt>
                <c:pt idx="96">
                  <c:v>64</c:v>
                </c:pt>
                <c:pt idx="97">
                  <c:v>64</c:v>
                </c:pt>
                <c:pt idx="98">
                  <c:v>64</c:v>
                </c:pt>
                <c:pt idx="99">
                  <c:v>64</c:v>
                </c:pt>
                <c:pt idx="100">
                  <c:v>64</c:v>
                </c:pt>
                <c:pt idx="101">
                  <c:v>65</c:v>
                </c:pt>
                <c:pt idx="102">
                  <c:v>65</c:v>
                </c:pt>
                <c:pt idx="103">
                  <c:v>65</c:v>
                </c:pt>
                <c:pt idx="104">
                  <c:v>65</c:v>
                </c:pt>
                <c:pt idx="105">
                  <c:v>65</c:v>
                </c:pt>
                <c:pt idx="106">
                  <c:v>65</c:v>
                </c:pt>
                <c:pt idx="107">
                  <c:v>65</c:v>
                </c:pt>
                <c:pt idx="108">
                  <c:v>65</c:v>
                </c:pt>
                <c:pt idx="109">
                  <c:v>65</c:v>
                </c:pt>
                <c:pt idx="110">
                  <c:v>66</c:v>
                </c:pt>
                <c:pt idx="111">
                  <c:v>66</c:v>
                </c:pt>
                <c:pt idx="112">
                  <c:v>66</c:v>
                </c:pt>
                <c:pt idx="113">
                  <c:v>66</c:v>
                </c:pt>
                <c:pt idx="114">
                  <c:v>66</c:v>
                </c:pt>
                <c:pt idx="115">
                  <c:v>66</c:v>
                </c:pt>
                <c:pt idx="116">
                  <c:v>66</c:v>
                </c:pt>
                <c:pt idx="117">
                  <c:v>66</c:v>
                </c:pt>
                <c:pt idx="118">
                  <c:v>66</c:v>
                </c:pt>
                <c:pt idx="119">
                  <c:v>66</c:v>
                </c:pt>
                <c:pt idx="120">
                  <c:v>66</c:v>
                </c:pt>
                <c:pt idx="121">
                  <c:v>66</c:v>
                </c:pt>
                <c:pt idx="122">
                  <c:v>66</c:v>
                </c:pt>
                <c:pt idx="123">
                  <c:v>66</c:v>
                </c:pt>
                <c:pt idx="124">
                  <c:v>67</c:v>
                </c:pt>
                <c:pt idx="125">
                  <c:v>67</c:v>
                </c:pt>
                <c:pt idx="126">
                  <c:v>67</c:v>
                </c:pt>
                <c:pt idx="127">
                  <c:v>67</c:v>
                </c:pt>
                <c:pt idx="128">
                  <c:v>67</c:v>
                </c:pt>
                <c:pt idx="129">
                  <c:v>67</c:v>
                </c:pt>
                <c:pt idx="130">
                  <c:v>68</c:v>
                </c:pt>
                <c:pt idx="131">
                  <c:v>68</c:v>
                </c:pt>
                <c:pt idx="132">
                  <c:v>68</c:v>
                </c:pt>
                <c:pt idx="133">
                  <c:v>68</c:v>
                </c:pt>
                <c:pt idx="134">
                  <c:v>68</c:v>
                </c:pt>
                <c:pt idx="135">
                  <c:v>68</c:v>
                </c:pt>
                <c:pt idx="136">
                  <c:v>68</c:v>
                </c:pt>
                <c:pt idx="137">
                  <c:v>68</c:v>
                </c:pt>
                <c:pt idx="138">
                  <c:v>68</c:v>
                </c:pt>
                <c:pt idx="139">
                  <c:v>68</c:v>
                </c:pt>
                <c:pt idx="140">
                  <c:v>68</c:v>
                </c:pt>
                <c:pt idx="141">
                  <c:v>68</c:v>
                </c:pt>
                <c:pt idx="142">
                  <c:v>69</c:v>
                </c:pt>
                <c:pt idx="143">
                  <c:v>69</c:v>
                </c:pt>
                <c:pt idx="144">
                  <c:v>69</c:v>
                </c:pt>
                <c:pt idx="145">
                  <c:v>69</c:v>
                </c:pt>
                <c:pt idx="146">
                  <c:v>69</c:v>
                </c:pt>
                <c:pt idx="147">
                  <c:v>69</c:v>
                </c:pt>
                <c:pt idx="148">
                  <c:v>70</c:v>
                </c:pt>
                <c:pt idx="149">
                  <c:v>70</c:v>
                </c:pt>
                <c:pt idx="150">
                  <c:v>70</c:v>
                </c:pt>
                <c:pt idx="151">
                  <c:v>70</c:v>
                </c:pt>
                <c:pt idx="152">
                  <c:v>70</c:v>
                </c:pt>
                <c:pt idx="153">
                  <c:v>70</c:v>
                </c:pt>
                <c:pt idx="154">
                  <c:v>70</c:v>
                </c:pt>
                <c:pt idx="155">
                  <c:v>70</c:v>
                </c:pt>
                <c:pt idx="156">
                  <c:v>70</c:v>
                </c:pt>
                <c:pt idx="157">
                  <c:v>71</c:v>
                </c:pt>
                <c:pt idx="158">
                  <c:v>71</c:v>
                </c:pt>
                <c:pt idx="159">
                  <c:v>71</c:v>
                </c:pt>
                <c:pt idx="160">
                  <c:v>71</c:v>
                </c:pt>
                <c:pt idx="161">
                  <c:v>71</c:v>
                </c:pt>
                <c:pt idx="162">
                  <c:v>71</c:v>
                </c:pt>
                <c:pt idx="163">
                  <c:v>71</c:v>
                </c:pt>
                <c:pt idx="164">
                  <c:v>71</c:v>
                </c:pt>
                <c:pt idx="165">
                  <c:v>71</c:v>
                </c:pt>
                <c:pt idx="166">
                  <c:v>72</c:v>
                </c:pt>
                <c:pt idx="167">
                  <c:v>72</c:v>
                </c:pt>
                <c:pt idx="168">
                  <c:v>72</c:v>
                </c:pt>
                <c:pt idx="169">
                  <c:v>72</c:v>
                </c:pt>
                <c:pt idx="170">
                  <c:v>72</c:v>
                </c:pt>
                <c:pt idx="171">
                  <c:v>72</c:v>
                </c:pt>
                <c:pt idx="172">
                  <c:v>72</c:v>
                </c:pt>
                <c:pt idx="173">
                  <c:v>72</c:v>
                </c:pt>
                <c:pt idx="174">
                  <c:v>72</c:v>
                </c:pt>
                <c:pt idx="175">
                  <c:v>72</c:v>
                </c:pt>
                <c:pt idx="176">
                  <c:v>73</c:v>
                </c:pt>
                <c:pt idx="177">
                  <c:v>73</c:v>
                </c:pt>
                <c:pt idx="178">
                  <c:v>73</c:v>
                </c:pt>
                <c:pt idx="179">
                  <c:v>73</c:v>
                </c:pt>
                <c:pt idx="180">
                  <c:v>73</c:v>
                </c:pt>
                <c:pt idx="181">
                  <c:v>73</c:v>
                </c:pt>
                <c:pt idx="182">
                  <c:v>73</c:v>
                </c:pt>
                <c:pt idx="183">
                  <c:v>73</c:v>
                </c:pt>
                <c:pt idx="184">
                  <c:v>73</c:v>
                </c:pt>
                <c:pt idx="185">
                  <c:v>74</c:v>
                </c:pt>
                <c:pt idx="186">
                  <c:v>74</c:v>
                </c:pt>
                <c:pt idx="187">
                  <c:v>74</c:v>
                </c:pt>
                <c:pt idx="188">
                  <c:v>74</c:v>
                </c:pt>
                <c:pt idx="189">
                  <c:v>74</c:v>
                </c:pt>
                <c:pt idx="190">
                  <c:v>74</c:v>
                </c:pt>
                <c:pt idx="191">
                  <c:v>74</c:v>
                </c:pt>
                <c:pt idx="192">
                  <c:v>74</c:v>
                </c:pt>
                <c:pt idx="193">
                  <c:v>74</c:v>
                </c:pt>
                <c:pt idx="194">
                  <c:v>74</c:v>
                </c:pt>
                <c:pt idx="195">
                  <c:v>74</c:v>
                </c:pt>
                <c:pt idx="196">
                  <c:v>74</c:v>
                </c:pt>
                <c:pt idx="197">
                  <c:v>75</c:v>
                </c:pt>
                <c:pt idx="198">
                  <c:v>75</c:v>
                </c:pt>
                <c:pt idx="199">
                  <c:v>75</c:v>
                </c:pt>
                <c:pt idx="200">
                  <c:v>75</c:v>
                </c:pt>
                <c:pt idx="201">
                  <c:v>75</c:v>
                </c:pt>
                <c:pt idx="202">
                  <c:v>75</c:v>
                </c:pt>
                <c:pt idx="203">
                  <c:v>76</c:v>
                </c:pt>
                <c:pt idx="204">
                  <c:v>76</c:v>
                </c:pt>
                <c:pt idx="205">
                  <c:v>76</c:v>
                </c:pt>
                <c:pt idx="206">
                  <c:v>76</c:v>
                </c:pt>
                <c:pt idx="207">
                  <c:v>76</c:v>
                </c:pt>
                <c:pt idx="208">
                  <c:v>76</c:v>
                </c:pt>
                <c:pt idx="209">
                  <c:v>76</c:v>
                </c:pt>
                <c:pt idx="210">
                  <c:v>76</c:v>
                </c:pt>
                <c:pt idx="211">
                  <c:v>76</c:v>
                </c:pt>
                <c:pt idx="212">
                  <c:v>76</c:v>
                </c:pt>
                <c:pt idx="213">
                  <c:v>76</c:v>
                </c:pt>
                <c:pt idx="214">
                  <c:v>77</c:v>
                </c:pt>
                <c:pt idx="215">
                  <c:v>77</c:v>
                </c:pt>
                <c:pt idx="216">
                  <c:v>77</c:v>
                </c:pt>
                <c:pt idx="217">
                  <c:v>77</c:v>
                </c:pt>
                <c:pt idx="218">
                  <c:v>77</c:v>
                </c:pt>
                <c:pt idx="219">
                  <c:v>77</c:v>
                </c:pt>
                <c:pt idx="220">
                  <c:v>77</c:v>
                </c:pt>
                <c:pt idx="221">
                  <c:v>77</c:v>
                </c:pt>
                <c:pt idx="222">
                  <c:v>77</c:v>
                </c:pt>
                <c:pt idx="223">
                  <c:v>77</c:v>
                </c:pt>
                <c:pt idx="224">
                  <c:v>77</c:v>
                </c:pt>
                <c:pt idx="225">
                  <c:v>77</c:v>
                </c:pt>
                <c:pt idx="226">
                  <c:v>77</c:v>
                </c:pt>
                <c:pt idx="227">
                  <c:v>77</c:v>
                </c:pt>
                <c:pt idx="228">
                  <c:v>77</c:v>
                </c:pt>
                <c:pt idx="229">
                  <c:v>78</c:v>
                </c:pt>
                <c:pt idx="230">
                  <c:v>78</c:v>
                </c:pt>
                <c:pt idx="231">
                  <c:v>78</c:v>
                </c:pt>
                <c:pt idx="232">
                  <c:v>78</c:v>
                </c:pt>
                <c:pt idx="233">
                  <c:v>78</c:v>
                </c:pt>
                <c:pt idx="234">
                  <c:v>78</c:v>
                </c:pt>
                <c:pt idx="235">
                  <c:v>78</c:v>
                </c:pt>
                <c:pt idx="236">
                  <c:v>78</c:v>
                </c:pt>
                <c:pt idx="237">
                  <c:v>78</c:v>
                </c:pt>
                <c:pt idx="238">
                  <c:v>78</c:v>
                </c:pt>
                <c:pt idx="239">
                  <c:v>78</c:v>
                </c:pt>
                <c:pt idx="240">
                  <c:v>78</c:v>
                </c:pt>
                <c:pt idx="241">
                  <c:v>79</c:v>
                </c:pt>
                <c:pt idx="242">
                  <c:v>79</c:v>
                </c:pt>
                <c:pt idx="243">
                  <c:v>79</c:v>
                </c:pt>
                <c:pt idx="244">
                  <c:v>79</c:v>
                </c:pt>
                <c:pt idx="245">
                  <c:v>79</c:v>
                </c:pt>
                <c:pt idx="246">
                  <c:v>79</c:v>
                </c:pt>
                <c:pt idx="247">
                  <c:v>79</c:v>
                </c:pt>
                <c:pt idx="248">
                  <c:v>79</c:v>
                </c:pt>
                <c:pt idx="249">
                  <c:v>79</c:v>
                </c:pt>
                <c:pt idx="250">
                  <c:v>79</c:v>
                </c:pt>
                <c:pt idx="251">
                  <c:v>79</c:v>
                </c:pt>
                <c:pt idx="252">
                  <c:v>79</c:v>
                </c:pt>
                <c:pt idx="253">
                  <c:v>80</c:v>
                </c:pt>
                <c:pt idx="254">
                  <c:v>80</c:v>
                </c:pt>
                <c:pt idx="255">
                  <c:v>80</c:v>
                </c:pt>
                <c:pt idx="256">
                  <c:v>80</c:v>
                </c:pt>
                <c:pt idx="257">
                  <c:v>80</c:v>
                </c:pt>
                <c:pt idx="258">
                  <c:v>80</c:v>
                </c:pt>
                <c:pt idx="259">
                  <c:v>80</c:v>
                </c:pt>
                <c:pt idx="260">
                  <c:v>80</c:v>
                </c:pt>
                <c:pt idx="261">
                  <c:v>80</c:v>
                </c:pt>
                <c:pt idx="262">
                  <c:v>81</c:v>
                </c:pt>
                <c:pt idx="263">
                  <c:v>81</c:v>
                </c:pt>
                <c:pt idx="264">
                  <c:v>81</c:v>
                </c:pt>
                <c:pt idx="265">
                  <c:v>81</c:v>
                </c:pt>
                <c:pt idx="266">
                  <c:v>81</c:v>
                </c:pt>
                <c:pt idx="267">
                  <c:v>81</c:v>
                </c:pt>
                <c:pt idx="268">
                  <c:v>81</c:v>
                </c:pt>
                <c:pt idx="269">
                  <c:v>81</c:v>
                </c:pt>
                <c:pt idx="270">
                  <c:v>81</c:v>
                </c:pt>
                <c:pt idx="271">
                  <c:v>82</c:v>
                </c:pt>
                <c:pt idx="272">
                  <c:v>82</c:v>
                </c:pt>
                <c:pt idx="273">
                  <c:v>82</c:v>
                </c:pt>
                <c:pt idx="274">
                  <c:v>82</c:v>
                </c:pt>
                <c:pt idx="275">
                  <c:v>82</c:v>
                </c:pt>
                <c:pt idx="276">
                  <c:v>82</c:v>
                </c:pt>
                <c:pt idx="277">
                  <c:v>82</c:v>
                </c:pt>
                <c:pt idx="278">
                  <c:v>82</c:v>
                </c:pt>
                <c:pt idx="279">
                  <c:v>82</c:v>
                </c:pt>
                <c:pt idx="280">
                  <c:v>82</c:v>
                </c:pt>
                <c:pt idx="281">
                  <c:v>82</c:v>
                </c:pt>
                <c:pt idx="282">
                  <c:v>83</c:v>
                </c:pt>
                <c:pt idx="283">
                  <c:v>83</c:v>
                </c:pt>
                <c:pt idx="284">
                  <c:v>83</c:v>
                </c:pt>
                <c:pt idx="285">
                  <c:v>83</c:v>
                </c:pt>
                <c:pt idx="286">
                  <c:v>83</c:v>
                </c:pt>
                <c:pt idx="287">
                  <c:v>83</c:v>
                </c:pt>
                <c:pt idx="288">
                  <c:v>84</c:v>
                </c:pt>
                <c:pt idx="289">
                  <c:v>84</c:v>
                </c:pt>
                <c:pt idx="290">
                  <c:v>84</c:v>
                </c:pt>
                <c:pt idx="291">
                  <c:v>84</c:v>
                </c:pt>
                <c:pt idx="292">
                  <c:v>84</c:v>
                </c:pt>
                <c:pt idx="293">
                  <c:v>84</c:v>
                </c:pt>
                <c:pt idx="294">
                  <c:v>84</c:v>
                </c:pt>
                <c:pt idx="295">
                  <c:v>84</c:v>
                </c:pt>
                <c:pt idx="296">
                  <c:v>84</c:v>
                </c:pt>
                <c:pt idx="297">
                  <c:v>84</c:v>
                </c:pt>
                <c:pt idx="298">
                  <c:v>84</c:v>
                </c:pt>
                <c:pt idx="299">
                  <c:v>84</c:v>
                </c:pt>
                <c:pt idx="300">
                  <c:v>84</c:v>
                </c:pt>
                <c:pt idx="301">
                  <c:v>85</c:v>
                </c:pt>
                <c:pt idx="302">
                  <c:v>85</c:v>
                </c:pt>
                <c:pt idx="303">
                  <c:v>85</c:v>
                </c:pt>
                <c:pt idx="304">
                  <c:v>85</c:v>
                </c:pt>
                <c:pt idx="305">
                  <c:v>85</c:v>
                </c:pt>
                <c:pt idx="306">
                  <c:v>85</c:v>
                </c:pt>
                <c:pt idx="307">
                  <c:v>85</c:v>
                </c:pt>
                <c:pt idx="308">
                  <c:v>85</c:v>
                </c:pt>
                <c:pt idx="309">
                  <c:v>85</c:v>
                </c:pt>
                <c:pt idx="310">
                  <c:v>85</c:v>
                </c:pt>
                <c:pt idx="311">
                  <c:v>85</c:v>
                </c:pt>
                <c:pt idx="312">
                  <c:v>86</c:v>
                </c:pt>
                <c:pt idx="313">
                  <c:v>86</c:v>
                </c:pt>
                <c:pt idx="314">
                  <c:v>86</c:v>
                </c:pt>
                <c:pt idx="315">
                  <c:v>86</c:v>
                </c:pt>
                <c:pt idx="316">
                  <c:v>86</c:v>
                </c:pt>
                <c:pt idx="317">
                  <c:v>86</c:v>
                </c:pt>
                <c:pt idx="318">
                  <c:v>86</c:v>
                </c:pt>
                <c:pt idx="319">
                  <c:v>86</c:v>
                </c:pt>
                <c:pt idx="320">
                  <c:v>87</c:v>
                </c:pt>
                <c:pt idx="321">
                  <c:v>87</c:v>
                </c:pt>
                <c:pt idx="322">
                  <c:v>87</c:v>
                </c:pt>
                <c:pt idx="323">
                  <c:v>87</c:v>
                </c:pt>
                <c:pt idx="324">
                  <c:v>87</c:v>
                </c:pt>
                <c:pt idx="325">
                  <c:v>87</c:v>
                </c:pt>
                <c:pt idx="326">
                  <c:v>88</c:v>
                </c:pt>
                <c:pt idx="327">
                  <c:v>88</c:v>
                </c:pt>
                <c:pt idx="328">
                  <c:v>88</c:v>
                </c:pt>
                <c:pt idx="329">
                  <c:v>89</c:v>
                </c:pt>
                <c:pt idx="330">
                  <c:v>89</c:v>
                </c:pt>
                <c:pt idx="331">
                  <c:v>89</c:v>
                </c:pt>
                <c:pt idx="332">
                  <c:v>89</c:v>
                </c:pt>
                <c:pt idx="333">
                  <c:v>90</c:v>
                </c:pt>
                <c:pt idx="334">
                  <c:v>90</c:v>
                </c:pt>
                <c:pt idx="335">
                  <c:v>90</c:v>
                </c:pt>
                <c:pt idx="336">
                  <c:v>90</c:v>
                </c:pt>
                <c:pt idx="337">
                  <c:v>90</c:v>
                </c:pt>
                <c:pt idx="338">
                  <c:v>90</c:v>
                </c:pt>
                <c:pt idx="339">
                  <c:v>90</c:v>
                </c:pt>
                <c:pt idx="340">
                  <c:v>91</c:v>
                </c:pt>
                <c:pt idx="341">
                  <c:v>91</c:v>
                </c:pt>
                <c:pt idx="342">
                  <c:v>91</c:v>
                </c:pt>
                <c:pt idx="343">
                  <c:v>92</c:v>
                </c:pt>
                <c:pt idx="344">
                  <c:v>92</c:v>
                </c:pt>
                <c:pt idx="345">
                  <c:v>92</c:v>
                </c:pt>
                <c:pt idx="346">
                  <c:v>92</c:v>
                </c:pt>
                <c:pt idx="347">
                  <c:v>93</c:v>
                </c:pt>
                <c:pt idx="348">
                  <c:v>93</c:v>
                </c:pt>
                <c:pt idx="349">
                  <c:v>94</c:v>
                </c:pt>
                <c:pt idx="350">
                  <c:v>94</c:v>
                </c:pt>
                <c:pt idx="351">
                  <c:v>95</c:v>
                </c:pt>
                <c:pt idx="352">
                  <c:v>95</c:v>
                </c:pt>
                <c:pt idx="353">
                  <c:v>95</c:v>
                </c:pt>
                <c:pt idx="354">
                  <c:v>95</c:v>
                </c:pt>
                <c:pt idx="355">
                  <c:v>96</c:v>
                </c:pt>
                <c:pt idx="356">
                  <c:v>96</c:v>
                </c:pt>
                <c:pt idx="357">
                  <c:v>96</c:v>
                </c:pt>
                <c:pt idx="358">
                  <c:v>97</c:v>
                </c:pt>
                <c:pt idx="359">
                  <c:v>98</c:v>
                </c:pt>
                <c:pt idx="360">
                  <c:v>99</c:v>
                </c:pt>
                <c:pt idx="361">
                  <c:v>99</c:v>
                </c:pt>
                <c:pt idx="362">
                  <c:v>99</c:v>
                </c:pt>
                <c:pt idx="363">
                  <c:v>101</c:v>
                </c:pt>
                <c:pt idx="364">
                  <c:v>101</c:v>
                </c:pt>
              </c:numCache>
            </c:numRef>
          </c:cat>
          <c:val>
            <c:numRef>
              <c:f>Smoothing!$B$2:$B$366</c:f>
              <c:numCache>
                <c:formatCode>General</c:formatCode>
                <c:ptCount val="365"/>
                <c:pt idx="0">
                  <c:v>1317</c:v>
                </c:pt>
                <c:pt idx="1">
                  <c:v>1188</c:v>
                </c:pt>
                <c:pt idx="2">
                  <c:v>1882</c:v>
                </c:pt>
                <c:pt idx="3">
                  <c:v>1865</c:v>
                </c:pt>
                <c:pt idx="4">
                  <c:v>1702</c:v>
                </c:pt>
                <c:pt idx="5">
                  <c:v>1588</c:v>
                </c:pt>
                <c:pt idx="6">
                  <c:v>1907</c:v>
                </c:pt>
                <c:pt idx="7">
                  <c:v>1957</c:v>
                </c:pt>
                <c:pt idx="8">
                  <c:v>2162</c:v>
                </c:pt>
                <c:pt idx="9">
                  <c:v>2234</c:v>
                </c:pt>
                <c:pt idx="10">
                  <c:v>1923</c:v>
                </c:pt>
                <c:pt idx="11">
                  <c:v>2125</c:v>
                </c:pt>
                <c:pt idx="12">
                  <c:v>1981</c:v>
                </c:pt>
                <c:pt idx="13">
                  <c:v>2212</c:v>
                </c:pt>
                <c:pt idx="14">
                  <c:v>2422</c:v>
                </c:pt>
                <c:pt idx="15">
                  <c:v>2468</c:v>
                </c:pt>
                <c:pt idx="16">
                  <c:v>2378</c:v>
                </c:pt>
                <c:pt idx="17">
                  <c:v>2641</c:v>
                </c:pt>
                <c:pt idx="18">
                  <c:v>2501</c:v>
                </c:pt>
                <c:pt idx="19">
                  <c:v>2229</c:v>
                </c:pt>
                <c:pt idx="20">
                  <c:v>2781</c:v>
                </c:pt>
                <c:pt idx="21">
                  <c:v>2354</c:v>
                </c:pt>
                <c:pt idx="22">
                  <c:v>2289</c:v>
                </c:pt>
                <c:pt idx="23">
                  <c:v>2568</c:v>
                </c:pt>
                <c:pt idx="24">
                  <c:v>2729</c:v>
                </c:pt>
                <c:pt idx="25">
                  <c:v>2764</c:v>
                </c:pt>
                <c:pt idx="26">
                  <c:v>2731</c:v>
                </c:pt>
                <c:pt idx="27">
                  <c:v>2193</c:v>
                </c:pt>
                <c:pt idx="28">
                  <c:v>3218</c:v>
                </c:pt>
                <c:pt idx="29">
                  <c:v>3067</c:v>
                </c:pt>
                <c:pt idx="30">
                  <c:v>2805</c:v>
                </c:pt>
                <c:pt idx="31">
                  <c:v>2882</c:v>
                </c:pt>
                <c:pt idx="32">
                  <c:v>2787</c:v>
                </c:pt>
                <c:pt idx="33">
                  <c:v>2939</c:v>
                </c:pt>
                <c:pt idx="34">
                  <c:v>3260</c:v>
                </c:pt>
                <c:pt idx="35">
                  <c:v>3162</c:v>
                </c:pt>
                <c:pt idx="36">
                  <c:v>2571</c:v>
                </c:pt>
                <c:pt idx="37">
                  <c:v>2848</c:v>
                </c:pt>
                <c:pt idx="38">
                  <c:v>3009</c:v>
                </c:pt>
                <c:pt idx="39">
                  <c:v>3358</c:v>
                </c:pt>
                <c:pt idx="40">
                  <c:v>2975</c:v>
                </c:pt>
                <c:pt idx="41">
                  <c:v>3194</c:v>
                </c:pt>
                <c:pt idx="42">
                  <c:v>3371</c:v>
                </c:pt>
                <c:pt idx="43">
                  <c:v>2837</c:v>
                </c:pt>
                <c:pt idx="44">
                  <c:v>2741</c:v>
                </c:pt>
                <c:pt idx="45">
                  <c:v>2799</c:v>
                </c:pt>
                <c:pt idx="46">
                  <c:v>3037</c:v>
                </c:pt>
                <c:pt idx="47">
                  <c:v>2768</c:v>
                </c:pt>
                <c:pt idx="48">
                  <c:v>2953</c:v>
                </c:pt>
                <c:pt idx="49">
                  <c:v>3391</c:v>
                </c:pt>
                <c:pt idx="50">
                  <c:v>3419</c:v>
                </c:pt>
                <c:pt idx="51">
                  <c:v>3322</c:v>
                </c:pt>
                <c:pt idx="52">
                  <c:v>3447</c:v>
                </c:pt>
                <c:pt idx="53">
                  <c:v>3089</c:v>
                </c:pt>
                <c:pt idx="54">
                  <c:v>3580</c:v>
                </c:pt>
                <c:pt idx="55">
                  <c:v>3344</c:v>
                </c:pt>
                <c:pt idx="56">
                  <c:v>3679</c:v>
                </c:pt>
                <c:pt idx="57">
                  <c:v>3156</c:v>
                </c:pt>
                <c:pt idx="58">
                  <c:v>3513</c:v>
                </c:pt>
                <c:pt idx="59">
                  <c:v>3611</c:v>
                </c:pt>
                <c:pt idx="60">
                  <c:v>3239</c:v>
                </c:pt>
                <c:pt idx="61">
                  <c:v>3818</c:v>
                </c:pt>
                <c:pt idx="62">
                  <c:v>2969</c:v>
                </c:pt>
                <c:pt idx="63">
                  <c:v>3847</c:v>
                </c:pt>
                <c:pt idx="64">
                  <c:v>3774</c:v>
                </c:pt>
                <c:pt idx="65">
                  <c:v>3671</c:v>
                </c:pt>
                <c:pt idx="66">
                  <c:v>3229</c:v>
                </c:pt>
                <c:pt idx="67">
                  <c:v>3750</c:v>
                </c:pt>
                <c:pt idx="68">
                  <c:v>3533</c:v>
                </c:pt>
                <c:pt idx="69">
                  <c:v>3506</c:v>
                </c:pt>
                <c:pt idx="70">
                  <c:v>3625</c:v>
                </c:pt>
                <c:pt idx="71">
                  <c:v>4025</c:v>
                </c:pt>
                <c:pt idx="72">
                  <c:v>3969</c:v>
                </c:pt>
                <c:pt idx="73">
                  <c:v>4095</c:v>
                </c:pt>
                <c:pt idx="74">
                  <c:v>3796</c:v>
                </c:pt>
                <c:pt idx="75">
                  <c:v>3810</c:v>
                </c:pt>
                <c:pt idx="76">
                  <c:v>3821</c:v>
                </c:pt>
                <c:pt idx="77">
                  <c:v>3730</c:v>
                </c:pt>
                <c:pt idx="78">
                  <c:v>3953</c:v>
                </c:pt>
                <c:pt idx="79">
                  <c:v>3742</c:v>
                </c:pt>
                <c:pt idx="80">
                  <c:v>3942</c:v>
                </c:pt>
                <c:pt idx="81">
                  <c:v>3816</c:v>
                </c:pt>
                <c:pt idx="82">
                  <c:v>3766</c:v>
                </c:pt>
                <c:pt idx="83">
                  <c:v>3904</c:v>
                </c:pt>
                <c:pt idx="84">
                  <c:v>4144</c:v>
                </c:pt>
                <c:pt idx="85">
                  <c:v>4019</c:v>
                </c:pt>
                <c:pt idx="86">
                  <c:v>3793</c:v>
                </c:pt>
                <c:pt idx="87">
                  <c:v>5017</c:v>
                </c:pt>
                <c:pt idx="88">
                  <c:v>4415</c:v>
                </c:pt>
                <c:pt idx="89">
                  <c:v>4158</c:v>
                </c:pt>
                <c:pt idx="90">
                  <c:v>4059</c:v>
                </c:pt>
                <c:pt idx="91">
                  <c:v>3917</c:v>
                </c:pt>
                <c:pt idx="92">
                  <c:v>4057</c:v>
                </c:pt>
                <c:pt idx="93">
                  <c:v>4028</c:v>
                </c:pt>
                <c:pt idx="94">
                  <c:v>4121</c:v>
                </c:pt>
                <c:pt idx="95">
                  <c:v>4485</c:v>
                </c:pt>
                <c:pt idx="96">
                  <c:v>4094</c:v>
                </c:pt>
                <c:pt idx="97">
                  <c:v>4014</c:v>
                </c:pt>
                <c:pt idx="98">
                  <c:v>3857</c:v>
                </c:pt>
                <c:pt idx="99">
                  <c:v>4407</c:v>
                </c:pt>
                <c:pt idx="100">
                  <c:v>4410</c:v>
                </c:pt>
                <c:pt idx="101">
                  <c:v>4736</c:v>
                </c:pt>
                <c:pt idx="102">
                  <c:v>4538</c:v>
                </c:pt>
                <c:pt idx="103">
                  <c:v>4109</c:v>
                </c:pt>
                <c:pt idx="104">
                  <c:v>4378</c:v>
                </c:pt>
                <c:pt idx="105">
                  <c:v>4272</c:v>
                </c:pt>
                <c:pt idx="106">
                  <c:v>4210</c:v>
                </c:pt>
                <c:pt idx="107">
                  <c:v>4328</c:v>
                </c:pt>
                <c:pt idx="108">
                  <c:v>4431</c:v>
                </c:pt>
                <c:pt idx="109">
                  <c:v>4271</c:v>
                </c:pt>
                <c:pt idx="110">
                  <c:v>4303</c:v>
                </c:pt>
                <c:pt idx="111">
                  <c:v>4216</c:v>
                </c:pt>
                <c:pt idx="112">
                  <c:v>4674</c:v>
                </c:pt>
                <c:pt idx="113">
                  <c:v>4768</c:v>
                </c:pt>
                <c:pt idx="114">
                  <c:v>4448</c:v>
                </c:pt>
                <c:pt idx="115">
                  <c:v>4752</c:v>
                </c:pt>
                <c:pt idx="116">
                  <c:v>4498</c:v>
                </c:pt>
                <c:pt idx="117">
                  <c:v>4507</c:v>
                </c:pt>
                <c:pt idx="118">
                  <c:v>4542</c:v>
                </c:pt>
                <c:pt idx="119">
                  <c:v>4736</c:v>
                </c:pt>
                <c:pt idx="120">
                  <c:v>4826</c:v>
                </c:pt>
                <c:pt idx="121">
                  <c:v>5175</c:v>
                </c:pt>
                <c:pt idx="122">
                  <c:v>4505</c:v>
                </c:pt>
                <c:pt idx="123">
                  <c:v>4065</c:v>
                </c:pt>
                <c:pt idx="124">
                  <c:v>4865</c:v>
                </c:pt>
                <c:pt idx="125">
                  <c:v>4526</c:v>
                </c:pt>
                <c:pt idx="126">
                  <c:v>4604</c:v>
                </c:pt>
                <c:pt idx="127">
                  <c:v>4485</c:v>
                </c:pt>
                <c:pt idx="128">
                  <c:v>4294</c:v>
                </c:pt>
                <c:pt idx="129">
                  <c:v>5062</c:v>
                </c:pt>
                <c:pt idx="130">
                  <c:v>4565</c:v>
                </c:pt>
                <c:pt idx="131">
                  <c:v>4937</c:v>
                </c:pt>
                <c:pt idx="132">
                  <c:v>4589</c:v>
                </c:pt>
                <c:pt idx="133">
                  <c:v>5074</c:v>
                </c:pt>
                <c:pt idx="134">
                  <c:v>4717</c:v>
                </c:pt>
                <c:pt idx="135">
                  <c:v>4960</c:v>
                </c:pt>
                <c:pt idx="136">
                  <c:v>4168</c:v>
                </c:pt>
                <c:pt idx="137">
                  <c:v>4690</c:v>
                </c:pt>
                <c:pt idx="138">
                  <c:v>4735</c:v>
                </c:pt>
                <c:pt idx="139">
                  <c:v>4773</c:v>
                </c:pt>
                <c:pt idx="140">
                  <c:v>4373</c:v>
                </c:pt>
                <c:pt idx="141">
                  <c:v>4747</c:v>
                </c:pt>
                <c:pt idx="142">
                  <c:v>5138</c:v>
                </c:pt>
                <c:pt idx="143">
                  <c:v>4174</c:v>
                </c:pt>
                <c:pt idx="144">
                  <c:v>4988</c:v>
                </c:pt>
                <c:pt idx="145">
                  <c:v>4778</c:v>
                </c:pt>
                <c:pt idx="146">
                  <c:v>4250</c:v>
                </c:pt>
                <c:pt idx="147">
                  <c:v>4877</c:v>
                </c:pt>
                <c:pt idx="148">
                  <c:v>4946</c:v>
                </c:pt>
                <c:pt idx="149">
                  <c:v>5087</c:v>
                </c:pt>
                <c:pt idx="150">
                  <c:v>4912</c:v>
                </c:pt>
                <c:pt idx="151">
                  <c:v>4995</c:v>
                </c:pt>
                <c:pt idx="152">
                  <c:v>5031</c:v>
                </c:pt>
                <c:pt idx="153">
                  <c:v>4932</c:v>
                </c:pt>
                <c:pt idx="154">
                  <c:v>5267</c:v>
                </c:pt>
                <c:pt idx="155">
                  <c:v>5205</c:v>
                </c:pt>
                <c:pt idx="156">
                  <c:v>4882</c:v>
                </c:pt>
                <c:pt idx="157">
                  <c:v>5333</c:v>
                </c:pt>
                <c:pt idx="158">
                  <c:v>5459</c:v>
                </c:pt>
                <c:pt idx="159">
                  <c:v>5377</c:v>
                </c:pt>
                <c:pt idx="160">
                  <c:v>4960</c:v>
                </c:pt>
                <c:pt idx="161">
                  <c:v>5217</c:v>
                </c:pt>
                <c:pt idx="162">
                  <c:v>4674</c:v>
                </c:pt>
                <c:pt idx="163">
                  <c:v>5304</c:v>
                </c:pt>
                <c:pt idx="164">
                  <c:v>4934</c:v>
                </c:pt>
                <c:pt idx="165">
                  <c:v>5504</c:v>
                </c:pt>
                <c:pt idx="166">
                  <c:v>5718</c:v>
                </c:pt>
                <c:pt idx="167">
                  <c:v>5126</c:v>
                </c:pt>
                <c:pt idx="168">
                  <c:v>5378</c:v>
                </c:pt>
                <c:pt idx="169">
                  <c:v>5155</c:v>
                </c:pt>
                <c:pt idx="170">
                  <c:v>5001</c:v>
                </c:pt>
                <c:pt idx="171">
                  <c:v>5359</c:v>
                </c:pt>
                <c:pt idx="172">
                  <c:v>5247</c:v>
                </c:pt>
                <c:pt idx="173">
                  <c:v>4896</c:v>
                </c:pt>
                <c:pt idx="174">
                  <c:v>5357</c:v>
                </c:pt>
                <c:pt idx="175">
                  <c:v>5079</c:v>
                </c:pt>
                <c:pt idx="176">
                  <c:v>5213</c:v>
                </c:pt>
                <c:pt idx="177">
                  <c:v>5242</c:v>
                </c:pt>
                <c:pt idx="178">
                  <c:v>5467</c:v>
                </c:pt>
                <c:pt idx="179">
                  <c:v>5182</c:v>
                </c:pt>
                <c:pt idx="180">
                  <c:v>5321</c:v>
                </c:pt>
                <c:pt idx="181">
                  <c:v>5440</c:v>
                </c:pt>
                <c:pt idx="182">
                  <c:v>5501</c:v>
                </c:pt>
                <c:pt idx="183">
                  <c:v>5408</c:v>
                </c:pt>
                <c:pt idx="184">
                  <c:v>5397</c:v>
                </c:pt>
                <c:pt idx="185">
                  <c:v>5528</c:v>
                </c:pt>
                <c:pt idx="186">
                  <c:v>5436</c:v>
                </c:pt>
                <c:pt idx="187">
                  <c:v>5362</c:v>
                </c:pt>
                <c:pt idx="188">
                  <c:v>5065</c:v>
                </c:pt>
                <c:pt idx="189">
                  <c:v>5552</c:v>
                </c:pt>
                <c:pt idx="190">
                  <c:v>5861</c:v>
                </c:pt>
                <c:pt idx="191">
                  <c:v>5064</c:v>
                </c:pt>
                <c:pt idx="192">
                  <c:v>5428</c:v>
                </c:pt>
                <c:pt idx="193">
                  <c:v>5395</c:v>
                </c:pt>
                <c:pt idx="194">
                  <c:v>5344</c:v>
                </c:pt>
                <c:pt idx="195">
                  <c:v>5710</c:v>
                </c:pt>
                <c:pt idx="196">
                  <c:v>5426</c:v>
                </c:pt>
                <c:pt idx="197">
                  <c:v>5534</c:v>
                </c:pt>
                <c:pt idx="198">
                  <c:v>5371</c:v>
                </c:pt>
                <c:pt idx="199">
                  <c:v>5784</c:v>
                </c:pt>
                <c:pt idx="200">
                  <c:v>5591</c:v>
                </c:pt>
                <c:pt idx="201">
                  <c:v>5862</c:v>
                </c:pt>
                <c:pt idx="202">
                  <c:v>5885</c:v>
                </c:pt>
                <c:pt idx="203">
                  <c:v>5284</c:v>
                </c:pt>
                <c:pt idx="204">
                  <c:v>5659</c:v>
                </c:pt>
                <c:pt idx="205">
                  <c:v>5943</c:v>
                </c:pt>
                <c:pt idx="206">
                  <c:v>5969</c:v>
                </c:pt>
                <c:pt idx="207">
                  <c:v>5383</c:v>
                </c:pt>
                <c:pt idx="208">
                  <c:v>5941</c:v>
                </c:pt>
                <c:pt idx="209">
                  <c:v>5317</c:v>
                </c:pt>
                <c:pt idx="210">
                  <c:v>5348</c:v>
                </c:pt>
                <c:pt idx="211">
                  <c:v>5994</c:v>
                </c:pt>
                <c:pt idx="212">
                  <c:v>6031</c:v>
                </c:pt>
                <c:pt idx="213">
                  <c:v>6033</c:v>
                </c:pt>
                <c:pt idx="214">
                  <c:v>5382</c:v>
                </c:pt>
                <c:pt idx="215">
                  <c:v>5307</c:v>
                </c:pt>
                <c:pt idx="216">
                  <c:v>5948</c:v>
                </c:pt>
                <c:pt idx="217">
                  <c:v>5410</c:v>
                </c:pt>
                <c:pt idx="218">
                  <c:v>5633</c:v>
                </c:pt>
                <c:pt idx="219">
                  <c:v>5987</c:v>
                </c:pt>
                <c:pt idx="220">
                  <c:v>6075</c:v>
                </c:pt>
                <c:pt idx="221">
                  <c:v>5643</c:v>
                </c:pt>
                <c:pt idx="222">
                  <c:v>6086</c:v>
                </c:pt>
                <c:pt idx="223">
                  <c:v>5507</c:v>
                </c:pt>
                <c:pt idx="224">
                  <c:v>5839</c:v>
                </c:pt>
                <c:pt idx="225">
                  <c:v>5872</c:v>
                </c:pt>
                <c:pt idx="226">
                  <c:v>5752</c:v>
                </c:pt>
                <c:pt idx="227">
                  <c:v>5633</c:v>
                </c:pt>
                <c:pt idx="228">
                  <c:v>5747</c:v>
                </c:pt>
                <c:pt idx="229">
                  <c:v>5813</c:v>
                </c:pt>
                <c:pt idx="230">
                  <c:v>6046</c:v>
                </c:pt>
                <c:pt idx="231">
                  <c:v>6033</c:v>
                </c:pt>
                <c:pt idx="232">
                  <c:v>6089</c:v>
                </c:pt>
                <c:pt idx="233">
                  <c:v>6258</c:v>
                </c:pt>
                <c:pt idx="234">
                  <c:v>6122</c:v>
                </c:pt>
                <c:pt idx="235">
                  <c:v>5962</c:v>
                </c:pt>
                <c:pt idx="236">
                  <c:v>5831</c:v>
                </c:pt>
                <c:pt idx="237">
                  <c:v>5912</c:v>
                </c:pt>
                <c:pt idx="238">
                  <c:v>5793</c:v>
                </c:pt>
                <c:pt idx="239">
                  <c:v>5725</c:v>
                </c:pt>
                <c:pt idx="240">
                  <c:v>6220</c:v>
                </c:pt>
                <c:pt idx="241">
                  <c:v>5970</c:v>
                </c:pt>
                <c:pt idx="242">
                  <c:v>6482</c:v>
                </c:pt>
                <c:pt idx="243">
                  <c:v>5706</c:v>
                </c:pt>
                <c:pt idx="244">
                  <c:v>6252</c:v>
                </c:pt>
                <c:pt idx="245">
                  <c:v>5993</c:v>
                </c:pt>
                <c:pt idx="246">
                  <c:v>6171</c:v>
                </c:pt>
                <c:pt idx="247">
                  <c:v>5949</c:v>
                </c:pt>
                <c:pt idx="248">
                  <c:v>6742</c:v>
                </c:pt>
                <c:pt idx="249">
                  <c:v>5634</c:v>
                </c:pt>
                <c:pt idx="250">
                  <c:v>5969</c:v>
                </c:pt>
                <c:pt idx="251">
                  <c:v>5744</c:v>
                </c:pt>
                <c:pt idx="252">
                  <c:v>6463</c:v>
                </c:pt>
                <c:pt idx="253">
                  <c:v>5547</c:v>
                </c:pt>
                <c:pt idx="254">
                  <c:v>6122</c:v>
                </c:pt>
                <c:pt idx="255">
                  <c:v>6279</c:v>
                </c:pt>
                <c:pt idx="256">
                  <c:v>5991</c:v>
                </c:pt>
                <c:pt idx="257">
                  <c:v>6159</c:v>
                </c:pt>
                <c:pt idx="258">
                  <c:v>6346</c:v>
                </c:pt>
                <c:pt idx="259">
                  <c:v>6445</c:v>
                </c:pt>
                <c:pt idx="260">
                  <c:v>6542</c:v>
                </c:pt>
                <c:pt idx="261">
                  <c:v>6182</c:v>
                </c:pt>
                <c:pt idx="262">
                  <c:v>6436</c:v>
                </c:pt>
                <c:pt idx="263">
                  <c:v>5811</c:v>
                </c:pt>
                <c:pt idx="264">
                  <c:v>5947</c:v>
                </c:pt>
                <c:pt idx="265">
                  <c:v>6586</c:v>
                </c:pt>
                <c:pt idx="266">
                  <c:v>6152</c:v>
                </c:pt>
                <c:pt idx="267">
                  <c:v>6212</c:v>
                </c:pt>
                <c:pt idx="268">
                  <c:v>6423</c:v>
                </c:pt>
                <c:pt idx="269">
                  <c:v>6236</c:v>
                </c:pt>
                <c:pt idx="270">
                  <c:v>6232</c:v>
                </c:pt>
                <c:pt idx="271">
                  <c:v>6497</c:v>
                </c:pt>
                <c:pt idx="272">
                  <c:v>6615</c:v>
                </c:pt>
                <c:pt idx="273">
                  <c:v>6402</c:v>
                </c:pt>
                <c:pt idx="274">
                  <c:v>6341</c:v>
                </c:pt>
                <c:pt idx="275">
                  <c:v>6185</c:v>
                </c:pt>
                <c:pt idx="276">
                  <c:v>6549</c:v>
                </c:pt>
                <c:pt idx="277">
                  <c:v>6439</c:v>
                </c:pt>
                <c:pt idx="278">
                  <c:v>6606</c:v>
                </c:pt>
                <c:pt idx="279">
                  <c:v>6486</c:v>
                </c:pt>
                <c:pt idx="280">
                  <c:v>6285</c:v>
                </c:pt>
                <c:pt idx="281">
                  <c:v>6657</c:v>
                </c:pt>
                <c:pt idx="282">
                  <c:v>6554</c:v>
                </c:pt>
                <c:pt idx="283">
                  <c:v>6258</c:v>
                </c:pt>
                <c:pt idx="284">
                  <c:v>6329</c:v>
                </c:pt>
                <c:pt idx="285">
                  <c:v>6438</c:v>
                </c:pt>
                <c:pt idx="286">
                  <c:v>6078</c:v>
                </c:pt>
                <c:pt idx="287">
                  <c:v>6566</c:v>
                </c:pt>
                <c:pt idx="288">
                  <c:v>6661</c:v>
                </c:pt>
                <c:pt idx="289">
                  <c:v>6512</c:v>
                </c:pt>
                <c:pt idx="290">
                  <c:v>6313</c:v>
                </c:pt>
                <c:pt idx="291">
                  <c:v>6335</c:v>
                </c:pt>
                <c:pt idx="292">
                  <c:v>6540</c:v>
                </c:pt>
                <c:pt idx="293">
                  <c:v>6541</c:v>
                </c:pt>
                <c:pt idx="294">
                  <c:v>6828</c:v>
                </c:pt>
                <c:pt idx="295">
                  <c:v>6410</c:v>
                </c:pt>
                <c:pt idx="296">
                  <c:v>6626</c:v>
                </c:pt>
                <c:pt idx="297">
                  <c:v>6363</c:v>
                </c:pt>
                <c:pt idx="298">
                  <c:v>6758</c:v>
                </c:pt>
                <c:pt idx="299">
                  <c:v>6854</c:v>
                </c:pt>
                <c:pt idx="300">
                  <c:v>6520</c:v>
                </c:pt>
                <c:pt idx="301">
                  <c:v>6793</c:v>
                </c:pt>
                <c:pt idx="302">
                  <c:v>6788</c:v>
                </c:pt>
                <c:pt idx="303">
                  <c:v>6971</c:v>
                </c:pt>
                <c:pt idx="304">
                  <c:v>6422</c:v>
                </c:pt>
                <c:pt idx="305">
                  <c:v>6182</c:v>
                </c:pt>
                <c:pt idx="306">
                  <c:v>6828</c:v>
                </c:pt>
                <c:pt idx="307">
                  <c:v>6299</c:v>
                </c:pt>
                <c:pt idx="308">
                  <c:v>6496</c:v>
                </c:pt>
                <c:pt idx="309">
                  <c:v>6599</c:v>
                </c:pt>
                <c:pt idx="310">
                  <c:v>7030</c:v>
                </c:pt>
                <c:pt idx="311">
                  <c:v>6431</c:v>
                </c:pt>
                <c:pt idx="312">
                  <c:v>6959</c:v>
                </c:pt>
                <c:pt idx="313">
                  <c:v>6835</c:v>
                </c:pt>
                <c:pt idx="314">
                  <c:v>6966</c:v>
                </c:pt>
                <c:pt idx="315">
                  <c:v>7146</c:v>
                </c:pt>
                <c:pt idx="316">
                  <c:v>6990</c:v>
                </c:pt>
                <c:pt idx="317">
                  <c:v>6919</c:v>
                </c:pt>
                <c:pt idx="318">
                  <c:v>6797</c:v>
                </c:pt>
                <c:pt idx="319">
                  <c:v>6485</c:v>
                </c:pt>
                <c:pt idx="320">
                  <c:v>7043</c:v>
                </c:pt>
                <c:pt idx="321">
                  <c:v>6848</c:v>
                </c:pt>
                <c:pt idx="322">
                  <c:v>7029</c:v>
                </c:pt>
                <c:pt idx="323">
                  <c:v>6519</c:v>
                </c:pt>
                <c:pt idx="324">
                  <c:v>6800</c:v>
                </c:pt>
                <c:pt idx="325">
                  <c:v>7064</c:v>
                </c:pt>
                <c:pt idx="326">
                  <c:v>6967</c:v>
                </c:pt>
                <c:pt idx="327">
                  <c:v>7469</c:v>
                </c:pt>
                <c:pt idx="328">
                  <c:v>6978</c:v>
                </c:pt>
                <c:pt idx="329">
                  <c:v>7316</c:v>
                </c:pt>
                <c:pt idx="330">
                  <c:v>7151</c:v>
                </c:pt>
                <c:pt idx="331">
                  <c:v>7332</c:v>
                </c:pt>
                <c:pt idx="332">
                  <c:v>7409</c:v>
                </c:pt>
                <c:pt idx="333">
                  <c:v>7112</c:v>
                </c:pt>
                <c:pt idx="334">
                  <c:v>6758</c:v>
                </c:pt>
                <c:pt idx="335">
                  <c:v>7739</c:v>
                </c:pt>
                <c:pt idx="336">
                  <c:v>7511</c:v>
                </c:pt>
                <c:pt idx="337">
                  <c:v>7480</c:v>
                </c:pt>
                <c:pt idx="338">
                  <c:v>7394</c:v>
                </c:pt>
                <c:pt idx="339">
                  <c:v>7594</c:v>
                </c:pt>
                <c:pt idx="340">
                  <c:v>7931</c:v>
                </c:pt>
                <c:pt idx="341">
                  <c:v>8181</c:v>
                </c:pt>
                <c:pt idx="342">
                  <c:v>7558</c:v>
                </c:pt>
                <c:pt idx="343">
                  <c:v>7820</c:v>
                </c:pt>
                <c:pt idx="344">
                  <c:v>7560</c:v>
                </c:pt>
                <c:pt idx="345">
                  <c:v>7504</c:v>
                </c:pt>
                <c:pt idx="346">
                  <c:v>7741</c:v>
                </c:pt>
                <c:pt idx="347">
                  <c:v>7976</c:v>
                </c:pt>
                <c:pt idx="348">
                  <c:v>7718</c:v>
                </c:pt>
                <c:pt idx="349">
                  <c:v>8094</c:v>
                </c:pt>
                <c:pt idx="350">
                  <c:v>7570</c:v>
                </c:pt>
                <c:pt idx="351">
                  <c:v>7820</c:v>
                </c:pt>
                <c:pt idx="352">
                  <c:v>8075</c:v>
                </c:pt>
                <c:pt idx="353">
                  <c:v>8097</c:v>
                </c:pt>
                <c:pt idx="354">
                  <c:v>8098</c:v>
                </c:pt>
                <c:pt idx="355">
                  <c:v>8002</c:v>
                </c:pt>
                <c:pt idx="356">
                  <c:v>8283</c:v>
                </c:pt>
                <c:pt idx="357">
                  <c:v>8095</c:v>
                </c:pt>
                <c:pt idx="358">
                  <c:v>8250</c:v>
                </c:pt>
                <c:pt idx="359">
                  <c:v>8412</c:v>
                </c:pt>
                <c:pt idx="360">
                  <c:v>8513</c:v>
                </c:pt>
                <c:pt idx="361">
                  <c:v>8708</c:v>
                </c:pt>
                <c:pt idx="362">
                  <c:v>8929</c:v>
                </c:pt>
                <c:pt idx="363">
                  <c:v>8191</c:v>
                </c:pt>
                <c:pt idx="364">
                  <c:v>8502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F1-4F09-93B1-065F17DEF074}"/>
            </c:ext>
          </c:extLst>
        </c:ser>
        <c:ser>
          <c:idx val="1"/>
          <c:order val="1"/>
          <c:tx>
            <c:v>Smoothing Data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Smoothing!$A$2:$A$366</c:f>
              <c:numCache>
                <c:formatCode>General</c:formatCode>
                <c:ptCount val="365"/>
                <c:pt idx="0">
                  <c:v>39</c:v>
                </c:pt>
                <c:pt idx="1">
                  <c:v>40</c:v>
                </c:pt>
                <c:pt idx="2">
                  <c:v>41</c:v>
                </c:pt>
                <c:pt idx="3">
                  <c:v>42</c:v>
                </c:pt>
                <c:pt idx="4">
                  <c:v>43</c:v>
                </c:pt>
                <c:pt idx="5">
                  <c:v>43</c:v>
                </c:pt>
                <c:pt idx="6">
                  <c:v>44</c:v>
                </c:pt>
                <c:pt idx="7">
                  <c:v>44</c:v>
                </c:pt>
                <c:pt idx="8">
                  <c:v>45</c:v>
                </c:pt>
                <c:pt idx="9">
                  <c:v>45</c:v>
                </c:pt>
                <c:pt idx="10">
                  <c:v>45</c:v>
                </c:pt>
                <c:pt idx="11">
                  <c:v>46</c:v>
                </c:pt>
                <c:pt idx="12">
                  <c:v>46</c:v>
                </c:pt>
                <c:pt idx="13">
                  <c:v>47</c:v>
                </c:pt>
                <c:pt idx="14">
                  <c:v>48</c:v>
                </c:pt>
                <c:pt idx="15">
                  <c:v>48</c:v>
                </c:pt>
                <c:pt idx="16">
                  <c:v>48</c:v>
                </c:pt>
                <c:pt idx="17">
                  <c:v>48</c:v>
                </c:pt>
                <c:pt idx="18">
                  <c:v>48</c:v>
                </c:pt>
                <c:pt idx="19">
                  <c:v>48</c:v>
                </c:pt>
                <c:pt idx="20">
                  <c:v>49</c:v>
                </c:pt>
                <c:pt idx="21">
                  <c:v>49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51</c:v>
                </c:pt>
                <c:pt idx="28">
                  <c:v>51</c:v>
                </c:pt>
                <c:pt idx="29">
                  <c:v>52</c:v>
                </c:pt>
                <c:pt idx="30">
                  <c:v>52</c:v>
                </c:pt>
                <c:pt idx="31">
                  <c:v>52</c:v>
                </c:pt>
                <c:pt idx="32">
                  <c:v>52</c:v>
                </c:pt>
                <c:pt idx="33">
                  <c:v>52</c:v>
                </c:pt>
                <c:pt idx="34">
                  <c:v>53</c:v>
                </c:pt>
                <c:pt idx="35">
                  <c:v>53</c:v>
                </c:pt>
                <c:pt idx="36">
                  <c:v>53</c:v>
                </c:pt>
                <c:pt idx="37">
                  <c:v>53</c:v>
                </c:pt>
                <c:pt idx="38">
                  <c:v>54</c:v>
                </c:pt>
                <c:pt idx="39">
                  <c:v>54</c:v>
                </c:pt>
                <c:pt idx="40">
                  <c:v>54</c:v>
                </c:pt>
                <c:pt idx="41">
                  <c:v>54</c:v>
                </c:pt>
                <c:pt idx="42">
                  <c:v>54</c:v>
                </c:pt>
                <c:pt idx="43">
                  <c:v>54</c:v>
                </c:pt>
                <c:pt idx="44">
                  <c:v>54</c:v>
                </c:pt>
                <c:pt idx="45">
                  <c:v>54</c:v>
                </c:pt>
                <c:pt idx="46">
                  <c:v>54</c:v>
                </c:pt>
                <c:pt idx="47">
                  <c:v>55</c:v>
                </c:pt>
                <c:pt idx="48">
                  <c:v>55</c:v>
                </c:pt>
                <c:pt idx="49">
                  <c:v>55</c:v>
                </c:pt>
                <c:pt idx="50">
                  <c:v>55</c:v>
                </c:pt>
                <c:pt idx="51">
                  <c:v>56</c:v>
                </c:pt>
                <c:pt idx="52">
                  <c:v>56</c:v>
                </c:pt>
                <c:pt idx="53">
                  <c:v>57</c:v>
                </c:pt>
                <c:pt idx="54">
                  <c:v>57</c:v>
                </c:pt>
                <c:pt idx="55">
                  <c:v>58</c:v>
                </c:pt>
                <c:pt idx="56">
                  <c:v>58</c:v>
                </c:pt>
                <c:pt idx="57">
                  <c:v>58</c:v>
                </c:pt>
                <c:pt idx="58">
                  <c:v>58</c:v>
                </c:pt>
                <c:pt idx="59">
                  <c:v>58</c:v>
                </c:pt>
                <c:pt idx="60">
                  <c:v>58</c:v>
                </c:pt>
                <c:pt idx="61">
                  <c:v>59</c:v>
                </c:pt>
                <c:pt idx="62">
                  <c:v>59</c:v>
                </c:pt>
                <c:pt idx="63">
                  <c:v>59</c:v>
                </c:pt>
                <c:pt idx="64">
                  <c:v>59</c:v>
                </c:pt>
                <c:pt idx="65">
                  <c:v>59</c:v>
                </c:pt>
                <c:pt idx="66">
                  <c:v>59</c:v>
                </c:pt>
                <c:pt idx="67">
                  <c:v>59</c:v>
                </c:pt>
                <c:pt idx="68">
                  <c:v>59</c:v>
                </c:pt>
                <c:pt idx="69">
                  <c:v>60</c:v>
                </c:pt>
                <c:pt idx="70">
                  <c:v>60</c:v>
                </c:pt>
                <c:pt idx="71">
                  <c:v>60</c:v>
                </c:pt>
                <c:pt idx="72">
                  <c:v>60</c:v>
                </c:pt>
                <c:pt idx="73">
                  <c:v>60</c:v>
                </c:pt>
                <c:pt idx="74">
                  <c:v>61</c:v>
                </c:pt>
                <c:pt idx="75">
                  <c:v>61</c:v>
                </c:pt>
                <c:pt idx="76">
                  <c:v>61</c:v>
                </c:pt>
                <c:pt idx="77">
                  <c:v>61</c:v>
                </c:pt>
                <c:pt idx="78">
                  <c:v>61</c:v>
                </c:pt>
                <c:pt idx="79">
                  <c:v>61</c:v>
                </c:pt>
                <c:pt idx="80">
                  <c:v>61</c:v>
                </c:pt>
                <c:pt idx="81">
                  <c:v>61</c:v>
                </c:pt>
                <c:pt idx="82">
                  <c:v>61</c:v>
                </c:pt>
                <c:pt idx="83">
                  <c:v>62</c:v>
                </c:pt>
                <c:pt idx="84">
                  <c:v>62</c:v>
                </c:pt>
                <c:pt idx="85">
                  <c:v>62</c:v>
                </c:pt>
                <c:pt idx="86">
                  <c:v>62</c:v>
                </c:pt>
                <c:pt idx="87">
                  <c:v>63</c:v>
                </c:pt>
                <c:pt idx="88">
                  <c:v>63</c:v>
                </c:pt>
                <c:pt idx="89">
                  <c:v>63</c:v>
                </c:pt>
                <c:pt idx="90">
                  <c:v>63</c:v>
                </c:pt>
                <c:pt idx="91">
                  <c:v>63</c:v>
                </c:pt>
                <c:pt idx="92">
                  <c:v>64</c:v>
                </c:pt>
                <c:pt idx="93">
                  <c:v>64</c:v>
                </c:pt>
                <c:pt idx="94">
                  <c:v>64</c:v>
                </c:pt>
                <c:pt idx="95">
                  <c:v>64</c:v>
                </c:pt>
                <c:pt idx="96">
                  <c:v>64</c:v>
                </c:pt>
                <c:pt idx="97">
                  <c:v>64</c:v>
                </c:pt>
                <c:pt idx="98">
                  <c:v>64</c:v>
                </c:pt>
                <c:pt idx="99">
                  <c:v>64</c:v>
                </c:pt>
                <c:pt idx="100">
                  <c:v>64</c:v>
                </c:pt>
                <c:pt idx="101">
                  <c:v>65</c:v>
                </c:pt>
                <c:pt idx="102">
                  <c:v>65</c:v>
                </c:pt>
                <c:pt idx="103">
                  <c:v>65</c:v>
                </c:pt>
                <c:pt idx="104">
                  <c:v>65</c:v>
                </c:pt>
                <c:pt idx="105">
                  <c:v>65</c:v>
                </c:pt>
                <c:pt idx="106">
                  <c:v>65</c:v>
                </c:pt>
                <c:pt idx="107">
                  <c:v>65</c:v>
                </c:pt>
                <c:pt idx="108">
                  <c:v>65</c:v>
                </c:pt>
                <c:pt idx="109">
                  <c:v>65</c:v>
                </c:pt>
                <c:pt idx="110">
                  <c:v>66</c:v>
                </c:pt>
                <c:pt idx="111">
                  <c:v>66</c:v>
                </c:pt>
                <c:pt idx="112">
                  <c:v>66</c:v>
                </c:pt>
                <c:pt idx="113">
                  <c:v>66</c:v>
                </c:pt>
                <c:pt idx="114">
                  <c:v>66</c:v>
                </c:pt>
                <c:pt idx="115">
                  <c:v>66</c:v>
                </c:pt>
                <c:pt idx="116">
                  <c:v>66</c:v>
                </c:pt>
                <c:pt idx="117">
                  <c:v>66</c:v>
                </c:pt>
                <c:pt idx="118">
                  <c:v>66</c:v>
                </c:pt>
                <c:pt idx="119">
                  <c:v>66</c:v>
                </c:pt>
                <c:pt idx="120">
                  <c:v>66</c:v>
                </c:pt>
                <c:pt idx="121">
                  <c:v>66</c:v>
                </c:pt>
                <c:pt idx="122">
                  <c:v>66</c:v>
                </c:pt>
                <c:pt idx="123">
                  <c:v>66</c:v>
                </c:pt>
                <c:pt idx="124">
                  <c:v>67</c:v>
                </c:pt>
                <c:pt idx="125">
                  <c:v>67</c:v>
                </c:pt>
                <c:pt idx="126">
                  <c:v>67</c:v>
                </c:pt>
                <c:pt idx="127">
                  <c:v>67</c:v>
                </c:pt>
                <c:pt idx="128">
                  <c:v>67</c:v>
                </c:pt>
                <c:pt idx="129">
                  <c:v>67</c:v>
                </c:pt>
                <c:pt idx="130">
                  <c:v>68</c:v>
                </c:pt>
                <c:pt idx="131">
                  <c:v>68</c:v>
                </c:pt>
                <c:pt idx="132">
                  <c:v>68</c:v>
                </c:pt>
                <c:pt idx="133">
                  <c:v>68</c:v>
                </c:pt>
                <c:pt idx="134">
                  <c:v>68</c:v>
                </c:pt>
                <c:pt idx="135">
                  <c:v>68</c:v>
                </c:pt>
                <c:pt idx="136">
                  <c:v>68</c:v>
                </c:pt>
                <c:pt idx="137">
                  <c:v>68</c:v>
                </c:pt>
                <c:pt idx="138">
                  <c:v>68</c:v>
                </c:pt>
                <c:pt idx="139">
                  <c:v>68</c:v>
                </c:pt>
                <c:pt idx="140">
                  <c:v>68</c:v>
                </c:pt>
                <c:pt idx="141">
                  <c:v>68</c:v>
                </c:pt>
                <c:pt idx="142">
                  <c:v>69</c:v>
                </c:pt>
                <c:pt idx="143">
                  <c:v>69</c:v>
                </c:pt>
                <c:pt idx="144">
                  <c:v>69</c:v>
                </c:pt>
                <c:pt idx="145">
                  <c:v>69</c:v>
                </c:pt>
                <c:pt idx="146">
                  <c:v>69</c:v>
                </c:pt>
                <c:pt idx="147">
                  <c:v>69</c:v>
                </c:pt>
                <c:pt idx="148">
                  <c:v>70</c:v>
                </c:pt>
                <c:pt idx="149">
                  <c:v>70</c:v>
                </c:pt>
                <c:pt idx="150">
                  <c:v>70</c:v>
                </c:pt>
                <c:pt idx="151">
                  <c:v>70</c:v>
                </c:pt>
                <c:pt idx="152">
                  <c:v>70</c:v>
                </c:pt>
                <c:pt idx="153">
                  <c:v>70</c:v>
                </c:pt>
                <c:pt idx="154">
                  <c:v>70</c:v>
                </c:pt>
                <c:pt idx="155">
                  <c:v>70</c:v>
                </c:pt>
                <c:pt idx="156">
                  <c:v>70</c:v>
                </c:pt>
                <c:pt idx="157">
                  <c:v>71</c:v>
                </c:pt>
                <c:pt idx="158">
                  <c:v>71</c:v>
                </c:pt>
                <c:pt idx="159">
                  <c:v>71</c:v>
                </c:pt>
                <c:pt idx="160">
                  <c:v>71</c:v>
                </c:pt>
                <c:pt idx="161">
                  <c:v>71</c:v>
                </c:pt>
                <c:pt idx="162">
                  <c:v>71</c:v>
                </c:pt>
                <c:pt idx="163">
                  <c:v>71</c:v>
                </c:pt>
                <c:pt idx="164">
                  <c:v>71</c:v>
                </c:pt>
                <c:pt idx="165">
                  <c:v>71</c:v>
                </c:pt>
                <c:pt idx="166">
                  <c:v>72</c:v>
                </c:pt>
                <c:pt idx="167">
                  <c:v>72</c:v>
                </c:pt>
                <c:pt idx="168">
                  <c:v>72</c:v>
                </c:pt>
                <c:pt idx="169">
                  <c:v>72</c:v>
                </c:pt>
                <c:pt idx="170">
                  <c:v>72</c:v>
                </c:pt>
                <c:pt idx="171">
                  <c:v>72</c:v>
                </c:pt>
                <c:pt idx="172">
                  <c:v>72</c:v>
                </c:pt>
                <c:pt idx="173">
                  <c:v>72</c:v>
                </c:pt>
                <c:pt idx="174">
                  <c:v>72</c:v>
                </c:pt>
                <c:pt idx="175">
                  <c:v>72</c:v>
                </c:pt>
                <c:pt idx="176">
                  <c:v>73</c:v>
                </c:pt>
                <c:pt idx="177">
                  <c:v>73</c:v>
                </c:pt>
                <c:pt idx="178">
                  <c:v>73</c:v>
                </c:pt>
                <c:pt idx="179">
                  <c:v>73</c:v>
                </c:pt>
                <c:pt idx="180">
                  <c:v>73</c:v>
                </c:pt>
                <c:pt idx="181">
                  <c:v>73</c:v>
                </c:pt>
                <c:pt idx="182">
                  <c:v>73</c:v>
                </c:pt>
                <c:pt idx="183">
                  <c:v>73</c:v>
                </c:pt>
                <c:pt idx="184">
                  <c:v>73</c:v>
                </c:pt>
                <c:pt idx="185">
                  <c:v>74</c:v>
                </c:pt>
                <c:pt idx="186">
                  <c:v>74</c:v>
                </c:pt>
                <c:pt idx="187">
                  <c:v>74</c:v>
                </c:pt>
                <c:pt idx="188">
                  <c:v>74</c:v>
                </c:pt>
                <c:pt idx="189">
                  <c:v>74</c:v>
                </c:pt>
                <c:pt idx="190">
                  <c:v>74</c:v>
                </c:pt>
                <c:pt idx="191">
                  <c:v>74</c:v>
                </c:pt>
                <c:pt idx="192">
                  <c:v>74</c:v>
                </c:pt>
                <c:pt idx="193">
                  <c:v>74</c:v>
                </c:pt>
                <c:pt idx="194">
                  <c:v>74</c:v>
                </c:pt>
                <c:pt idx="195">
                  <c:v>74</c:v>
                </c:pt>
                <c:pt idx="196">
                  <c:v>74</c:v>
                </c:pt>
                <c:pt idx="197">
                  <c:v>75</c:v>
                </c:pt>
                <c:pt idx="198">
                  <c:v>75</c:v>
                </c:pt>
                <c:pt idx="199">
                  <c:v>75</c:v>
                </c:pt>
                <c:pt idx="200">
                  <c:v>75</c:v>
                </c:pt>
                <c:pt idx="201">
                  <c:v>75</c:v>
                </c:pt>
                <c:pt idx="202">
                  <c:v>75</c:v>
                </c:pt>
                <c:pt idx="203">
                  <c:v>76</c:v>
                </c:pt>
                <c:pt idx="204">
                  <c:v>76</c:v>
                </c:pt>
                <c:pt idx="205">
                  <c:v>76</c:v>
                </c:pt>
                <c:pt idx="206">
                  <c:v>76</c:v>
                </c:pt>
                <c:pt idx="207">
                  <c:v>76</c:v>
                </c:pt>
                <c:pt idx="208">
                  <c:v>76</c:v>
                </c:pt>
                <c:pt idx="209">
                  <c:v>76</c:v>
                </c:pt>
                <c:pt idx="210">
                  <c:v>76</c:v>
                </c:pt>
                <c:pt idx="211">
                  <c:v>76</c:v>
                </c:pt>
                <c:pt idx="212">
                  <c:v>76</c:v>
                </c:pt>
                <c:pt idx="213">
                  <c:v>76</c:v>
                </c:pt>
                <c:pt idx="214">
                  <c:v>77</c:v>
                </c:pt>
                <c:pt idx="215">
                  <c:v>77</c:v>
                </c:pt>
                <c:pt idx="216">
                  <c:v>77</c:v>
                </c:pt>
                <c:pt idx="217">
                  <c:v>77</c:v>
                </c:pt>
                <c:pt idx="218">
                  <c:v>77</c:v>
                </c:pt>
                <c:pt idx="219">
                  <c:v>77</c:v>
                </c:pt>
                <c:pt idx="220">
                  <c:v>77</c:v>
                </c:pt>
                <c:pt idx="221">
                  <c:v>77</c:v>
                </c:pt>
                <c:pt idx="222">
                  <c:v>77</c:v>
                </c:pt>
                <c:pt idx="223">
                  <c:v>77</c:v>
                </c:pt>
                <c:pt idx="224">
                  <c:v>77</c:v>
                </c:pt>
                <c:pt idx="225">
                  <c:v>77</c:v>
                </c:pt>
                <c:pt idx="226">
                  <c:v>77</c:v>
                </c:pt>
                <c:pt idx="227">
                  <c:v>77</c:v>
                </c:pt>
                <c:pt idx="228">
                  <c:v>77</c:v>
                </c:pt>
                <c:pt idx="229">
                  <c:v>78</c:v>
                </c:pt>
                <c:pt idx="230">
                  <c:v>78</c:v>
                </c:pt>
                <c:pt idx="231">
                  <c:v>78</c:v>
                </c:pt>
                <c:pt idx="232">
                  <c:v>78</c:v>
                </c:pt>
                <c:pt idx="233">
                  <c:v>78</c:v>
                </c:pt>
                <c:pt idx="234">
                  <c:v>78</c:v>
                </c:pt>
                <c:pt idx="235">
                  <c:v>78</c:v>
                </c:pt>
                <c:pt idx="236">
                  <c:v>78</c:v>
                </c:pt>
                <c:pt idx="237">
                  <c:v>78</c:v>
                </c:pt>
                <c:pt idx="238">
                  <c:v>78</c:v>
                </c:pt>
                <c:pt idx="239">
                  <c:v>78</c:v>
                </c:pt>
                <c:pt idx="240">
                  <c:v>78</c:v>
                </c:pt>
                <c:pt idx="241">
                  <c:v>79</c:v>
                </c:pt>
                <c:pt idx="242">
                  <c:v>79</c:v>
                </c:pt>
                <c:pt idx="243">
                  <c:v>79</c:v>
                </c:pt>
                <c:pt idx="244">
                  <c:v>79</c:v>
                </c:pt>
                <c:pt idx="245">
                  <c:v>79</c:v>
                </c:pt>
                <c:pt idx="246">
                  <c:v>79</c:v>
                </c:pt>
                <c:pt idx="247">
                  <c:v>79</c:v>
                </c:pt>
                <c:pt idx="248">
                  <c:v>79</c:v>
                </c:pt>
                <c:pt idx="249">
                  <c:v>79</c:v>
                </c:pt>
                <c:pt idx="250">
                  <c:v>79</c:v>
                </c:pt>
                <c:pt idx="251">
                  <c:v>79</c:v>
                </c:pt>
                <c:pt idx="252">
                  <c:v>79</c:v>
                </c:pt>
                <c:pt idx="253">
                  <c:v>80</c:v>
                </c:pt>
                <c:pt idx="254">
                  <c:v>80</c:v>
                </c:pt>
                <c:pt idx="255">
                  <c:v>80</c:v>
                </c:pt>
                <c:pt idx="256">
                  <c:v>80</c:v>
                </c:pt>
                <c:pt idx="257">
                  <c:v>80</c:v>
                </c:pt>
                <c:pt idx="258">
                  <c:v>80</c:v>
                </c:pt>
                <c:pt idx="259">
                  <c:v>80</c:v>
                </c:pt>
                <c:pt idx="260">
                  <c:v>80</c:v>
                </c:pt>
                <c:pt idx="261">
                  <c:v>80</c:v>
                </c:pt>
                <c:pt idx="262">
                  <c:v>81</c:v>
                </c:pt>
                <c:pt idx="263">
                  <c:v>81</c:v>
                </c:pt>
                <c:pt idx="264">
                  <c:v>81</c:v>
                </c:pt>
                <c:pt idx="265">
                  <c:v>81</c:v>
                </c:pt>
                <c:pt idx="266">
                  <c:v>81</c:v>
                </c:pt>
                <c:pt idx="267">
                  <c:v>81</c:v>
                </c:pt>
                <c:pt idx="268">
                  <c:v>81</c:v>
                </c:pt>
                <c:pt idx="269">
                  <c:v>81</c:v>
                </c:pt>
                <c:pt idx="270">
                  <c:v>81</c:v>
                </c:pt>
                <c:pt idx="271">
                  <c:v>82</c:v>
                </c:pt>
                <c:pt idx="272">
                  <c:v>82</c:v>
                </c:pt>
                <c:pt idx="273">
                  <c:v>82</c:v>
                </c:pt>
                <c:pt idx="274">
                  <c:v>82</c:v>
                </c:pt>
                <c:pt idx="275">
                  <c:v>82</c:v>
                </c:pt>
                <c:pt idx="276">
                  <c:v>82</c:v>
                </c:pt>
                <c:pt idx="277">
                  <c:v>82</c:v>
                </c:pt>
                <c:pt idx="278">
                  <c:v>82</c:v>
                </c:pt>
                <c:pt idx="279">
                  <c:v>82</c:v>
                </c:pt>
                <c:pt idx="280">
                  <c:v>82</c:v>
                </c:pt>
                <c:pt idx="281">
                  <c:v>82</c:v>
                </c:pt>
                <c:pt idx="282">
                  <c:v>83</c:v>
                </c:pt>
                <c:pt idx="283">
                  <c:v>83</c:v>
                </c:pt>
                <c:pt idx="284">
                  <c:v>83</c:v>
                </c:pt>
                <c:pt idx="285">
                  <c:v>83</c:v>
                </c:pt>
                <c:pt idx="286">
                  <c:v>83</c:v>
                </c:pt>
                <c:pt idx="287">
                  <c:v>83</c:v>
                </c:pt>
                <c:pt idx="288">
                  <c:v>84</c:v>
                </c:pt>
                <c:pt idx="289">
                  <c:v>84</c:v>
                </c:pt>
                <c:pt idx="290">
                  <c:v>84</c:v>
                </c:pt>
                <c:pt idx="291">
                  <c:v>84</c:v>
                </c:pt>
                <c:pt idx="292">
                  <c:v>84</c:v>
                </c:pt>
                <c:pt idx="293">
                  <c:v>84</c:v>
                </c:pt>
                <c:pt idx="294">
                  <c:v>84</c:v>
                </c:pt>
                <c:pt idx="295">
                  <c:v>84</c:v>
                </c:pt>
                <c:pt idx="296">
                  <c:v>84</c:v>
                </c:pt>
                <c:pt idx="297">
                  <c:v>84</c:v>
                </c:pt>
                <c:pt idx="298">
                  <c:v>84</c:v>
                </c:pt>
                <c:pt idx="299">
                  <c:v>84</c:v>
                </c:pt>
                <c:pt idx="300">
                  <c:v>84</c:v>
                </c:pt>
                <c:pt idx="301">
                  <c:v>85</c:v>
                </c:pt>
                <c:pt idx="302">
                  <c:v>85</c:v>
                </c:pt>
                <c:pt idx="303">
                  <c:v>85</c:v>
                </c:pt>
                <c:pt idx="304">
                  <c:v>85</c:v>
                </c:pt>
                <c:pt idx="305">
                  <c:v>85</c:v>
                </c:pt>
                <c:pt idx="306">
                  <c:v>85</c:v>
                </c:pt>
                <c:pt idx="307">
                  <c:v>85</c:v>
                </c:pt>
                <c:pt idx="308">
                  <c:v>85</c:v>
                </c:pt>
                <c:pt idx="309">
                  <c:v>85</c:v>
                </c:pt>
                <c:pt idx="310">
                  <c:v>85</c:v>
                </c:pt>
                <c:pt idx="311">
                  <c:v>85</c:v>
                </c:pt>
                <c:pt idx="312">
                  <c:v>86</c:v>
                </c:pt>
                <c:pt idx="313">
                  <c:v>86</c:v>
                </c:pt>
                <c:pt idx="314">
                  <c:v>86</c:v>
                </c:pt>
                <c:pt idx="315">
                  <c:v>86</c:v>
                </c:pt>
                <c:pt idx="316">
                  <c:v>86</c:v>
                </c:pt>
                <c:pt idx="317">
                  <c:v>86</c:v>
                </c:pt>
                <c:pt idx="318">
                  <c:v>86</c:v>
                </c:pt>
                <c:pt idx="319">
                  <c:v>86</c:v>
                </c:pt>
                <c:pt idx="320">
                  <c:v>87</c:v>
                </c:pt>
                <c:pt idx="321">
                  <c:v>87</c:v>
                </c:pt>
                <c:pt idx="322">
                  <c:v>87</c:v>
                </c:pt>
                <c:pt idx="323">
                  <c:v>87</c:v>
                </c:pt>
                <c:pt idx="324">
                  <c:v>87</c:v>
                </c:pt>
                <c:pt idx="325">
                  <c:v>87</c:v>
                </c:pt>
                <c:pt idx="326">
                  <c:v>88</c:v>
                </c:pt>
                <c:pt idx="327">
                  <c:v>88</c:v>
                </c:pt>
                <c:pt idx="328">
                  <c:v>88</c:v>
                </c:pt>
                <c:pt idx="329">
                  <c:v>89</c:v>
                </c:pt>
                <c:pt idx="330">
                  <c:v>89</c:v>
                </c:pt>
                <c:pt idx="331">
                  <c:v>89</c:v>
                </c:pt>
                <c:pt idx="332">
                  <c:v>89</c:v>
                </c:pt>
                <c:pt idx="333">
                  <c:v>90</c:v>
                </c:pt>
                <c:pt idx="334">
                  <c:v>90</c:v>
                </c:pt>
                <c:pt idx="335">
                  <c:v>90</c:v>
                </c:pt>
                <c:pt idx="336">
                  <c:v>90</c:v>
                </c:pt>
                <c:pt idx="337">
                  <c:v>90</c:v>
                </c:pt>
                <c:pt idx="338">
                  <c:v>90</c:v>
                </c:pt>
                <c:pt idx="339">
                  <c:v>90</c:v>
                </c:pt>
                <c:pt idx="340">
                  <c:v>91</c:v>
                </c:pt>
                <c:pt idx="341">
                  <c:v>91</c:v>
                </c:pt>
                <c:pt idx="342">
                  <c:v>91</c:v>
                </c:pt>
                <c:pt idx="343">
                  <c:v>92</c:v>
                </c:pt>
                <c:pt idx="344">
                  <c:v>92</c:v>
                </c:pt>
                <c:pt idx="345">
                  <c:v>92</c:v>
                </c:pt>
                <c:pt idx="346">
                  <c:v>92</c:v>
                </c:pt>
                <c:pt idx="347">
                  <c:v>93</c:v>
                </c:pt>
                <c:pt idx="348">
                  <c:v>93</c:v>
                </c:pt>
                <c:pt idx="349">
                  <c:v>94</c:v>
                </c:pt>
                <c:pt idx="350">
                  <c:v>94</c:v>
                </c:pt>
                <c:pt idx="351">
                  <c:v>95</c:v>
                </c:pt>
                <c:pt idx="352">
                  <c:v>95</c:v>
                </c:pt>
                <c:pt idx="353">
                  <c:v>95</c:v>
                </c:pt>
                <c:pt idx="354">
                  <c:v>95</c:v>
                </c:pt>
                <c:pt idx="355">
                  <c:v>96</c:v>
                </c:pt>
                <c:pt idx="356">
                  <c:v>96</c:v>
                </c:pt>
                <c:pt idx="357">
                  <c:v>96</c:v>
                </c:pt>
                <c:pt idx="358">
                  <c:v>97</c:v>
                </c:pt>
                <c:pt idx="359">
                  <c:v>98</c:v>
                </c:pt>
                <c:pt idx="360">
                  <c:v>99</c:v>
                </c:pt>
                <c:pt idx="361">
                  <c:v>99</c:v>
                </c:pt>
                <c:pt idx="362">
                  <c:v>99</c:v>
                </c:pt>
                <c:pt idx="363">
                  <c:v>101</c:v>
                </c:pt>
                <c:pt idx="364">
                  <c:v>101</c:v>
                </c:pt>
              </c:numCache>
            </c:numRef>
          </c:cat>
          <c:val>
            <c:numRef>
              <c:f>Smoothing!$D$3:$D$366</c:f>
              <c:numCache>
                <c:formatCode>General</c:formatCode>
                <c:ptCount val="364"/>
                <c:pt idx="0">
                  <c:v>1317</c:v>
                </c:pt>
                <c:pt idx="1">
                  <c:v>1373.5</c:v>
                </c:pt>
                <c:pt idx="2">
                  <c:v>1422.65</c:v>
                </c:pt>
                <c:pt idx="3">
                  <c:v>1450.5850000000003</c:v>
                </c:pt>
                <c:pt idx="4">
                  <c:v>1464.3265000000001</c:v>
                </c:pt>
                <c:pt idx="5">
                  <c:v>1508.5938500000002</c:v>
                </c:pt>
                <c:pt idx="6">
                  <c:v>1553.4344650000003</c:v>
                </c:pt>
                <c:pt idx="7">
                  <c:v>1614.2910185000003</c:v>
                </c:pt>
                <c:pt idx="8">
                  <c:v>1676.2619166500003</c:v>
                </c:pt>
                <c:pt idx="9">
                  <c:v>1700.9357249850002</c:v>
                </c:pt>
                <c:pt idx="10">
                  <c:v>1743.3421524865003</c:v>
                </c:pt>
                <c:pt idx="11">
                  <c:v>1767.1079372378504</c:v>
                </c:pt>
                <c:pt idx="12">
                  <c:v>1811.5971435140655</c:v>
                </c:pt>
                <c:pt idx="13">
                  <c:v>1872.6374291626589</c:v>
                </c:pt>
                <c:pt idx="14">
                  <c:v>1932.1736862463931</c:v>
                </c:pt>
                <c:pt idx="15">
                  <c:v>1976.7563176217539</c:v>
                </c:pt>
                <c:pt idx="16">
                  <c:v>2043.1806858595787</c:v>
                </c:pt>
                <c:pt idx="17">
                  <c:v>2088.9626172736207</c:v>
                </c:pt>
                <c:pt idx="18">
                  <c:v>2102.9663555462585</c:v>
                </c:pt>
                <c:pt idx="19">
                  <c:v>2170.7697199916329</c:v>
                </c:pt>
                <c:pt idx="20">
                  <c:v>2189.0927479924694</c:v>
                </c:pt>
                <c:pt idx="21">
                  <c:v>2199.0834731932223</c:v>
                </c:pt>
                <c:pt idx="22">
                  <c:v>2235.9751258739002</c:v>
                </c:pt>
                <c:pt idx="23">
                  <c:v>2285.2776132865101</c:v>
                </c:pt>
                <c:pt idx="24">
                  <c:v>2333.1498519578595</c:v>
                </c:pt>
                <c:pt idx="25">
                  <c:v>2372.9348667620734</c:v>
                </c:pt>
                <c:pt idx="26">
                  <c:v>2354.9413800858665</c:v>
                </c:pt>
                <c:pt idx="27">
                  <c:v>2441.2472420772801</c:v>
                </c:pt>
                <c:pt idx="28">
                  <c:v>2503.822517869552</c:v>
                </c:pt>
                <c:pt idx="29">
                  <c:v>2533.9402660825967</c:v>
                </c:pt>
                <c:pt idx="30">
                  <c:v>2568.746239474337</c:v>
                </c:pt>
                <c:pt idx="31">
                  <c:v>2590.5716155269033</c:v>
                </c:pt>
                <c:pt idx="32">
                  <c:v>2625.4144539742133</c:v>
                </c:pt>
                <c:pt idx="33">
                  <c:v>2688.873008576792</c:v>
                </c:pt>
                <c:pt idx="34">
                  <c:v>2736.1857077191125</c:v>
                </c:pt>
                <c:pt idx="35">
                  <c:v>2719.6671369472015</c:v>
                </c:pt>
                <c:pt idx="36">
                  <c:v>2732.5004232524816</c:v>
                </c:pt>
                <c:pt idx="37">
                  <c:v>2760.1503809272335</c:v>
                </c:pt>
                <c:pt idx="38">
                  <c:v>2819.9353428345103</c:v>
                </c:pt>
                <c:pt idx="39">
                  <c:v>2835.4418085510592</c:v>
                </c:pt>
                <c:pt idx="40">
                  <c:v>2871.2976276959535</c:v>
                </c:pt>
                <c:pt idx="41">
                  <c:v>2921.267864926358</c:v>
                </c:pt>
                <c:pt idx="42">
                  <c:v>2912.841078433722</c:v>
                </c:pt>
                <c:pt idx="43">
                  <c:v>2895.6569705903498</c:v>
                </c:pt>
                <c:pt idx="44">
                  <c:v>2885.9912735313151</c:v>
                </c:pt>
                <c:pt idx="45">
                  <c:v>2901.0921461781836</c:v>
                </c:pt>
                <c:pt idx="46">
                  <c:v>2887.7829315603653</c:v>
                </c:pt>
                <c:pt idx="47">
                  <c:v>2894.3046384043291</c:v>
                </c:pt>
                <c:pt idx="48">
                  <c:v>2943.9741745638962</c:v>
                </c:pt>
                <c:pt idx="49">
                  <c:v>2991.4767571075067</c:v>
                </c:pt>
                <c:pt idx="50">
                  <c:v>3024.5290813967558</c:v>
                </c:pt>
                <c:pt idx="51">
                  <c:v>3066.7761732570807</c:v>
                </c:pt>
                <c:pt idx="52">
                  <c:v>3068.9985559313727</c:v>
                </c:pt>
                <c:pt idx="53">
                  <c:v>3120.0987003382356</c:v>
                </c:pt>
                <c:pt idx="54">
                  <c:v>3142.4888303044122</c:v>
                </c:pt>
                <c:pt idx="55">
                  <c:v>3196.1399472739713</c:v>
                </c:pt>
                <c:pt idx="56">
                  <c:v>3192.1259525465744</c:v>
                </c:pt>
                <c:pt idx="57">
                  <c:v>3224.213357291917</c:v>
                </c:pt>
                <c:pt idx="58">
                  <c:v>3262.8920215627254</c:v>
                </c:pt>
                <c:pt idx="59">
                  <c:v>3260.502819406453</c:v>
                </c:pt>
                <c:pt idx="60">
                  <c:v>3316.252537465808</c:v>
                </c:pt>
                <c:pt idx="61">
                  <c:v>3281.5272837192274</c:v>
                </c:pt>
                <c:pt idx="62">
                  <c:v>3338.0745553473043</c:v>
                </c:pt>
                <c:pt idx="63">
                  <c:v>3381.6670998125742</c:v>
                </c:pt>
                <c:pt idx="64">
                  <c:v>3410.6003898313165</c:v>
                </c:pt>
                <c:pt idx="65">
                  <c:v>3392.4403508481851</c:v>
                </c:pt>
                <c:pt idx="66">
                  <c:v>3428.1963157633668</c:v>
                </c:pt>
                <c:pt idx="67">
                  <c:v>3438.6766841870303</c:v>
                </c:pt>
                <c:pt idx="68">
                  <c:v>3445.4090157683272</c:v>
                </c:pt>
                <c:pt idx="69">
                  <c:v>3463.3681141914944</c:v>
                </c:pt>
                <c:pt idx="70">
                  <c:v>3519.531302772345</c:v>
                </c:pt>
                <c:pt idx="71">
                  <c:v>3564.4781724951108</c:v>
                </c:pt>
                <c:pt idx="72">
                  <c:v>3617.5303552455998</c:v>
                </c:pt>
                <c:pt idx="73">
                  <c:v>3635.3773197210398</c:v>
                </c:pt>
                <c:pt idx="74">
                  <c:v>3652.8395877489361</c:v>
                </c:pt>
                <c:pt idx="75">
                  <c:v>3669.6556289740424</c:v>
                </c:pt>
                <c:pt idx="76">
                  <c:v>3675.6900660766382</c:v>
                </c:pt>
                <c:pt idx="77">
                  <c:v>3703.4210594689748</c:v>
                </c:pt>
                <c:pt idx="78">
                  <c:v>3707.2789535220772</c:v>
                </c:pt>
                <c:pt idx="79">
                  <c:v>3730.7510581698698</c:v>
                </c:pt>
                <c:pt idx="80">
                  <c:v>3739.275952352883</c:v>
                </c:pt>
                <c:pt idx="81">
                  <c:v>3741.9483571175947</c:v>
                </c:pt>
                <c:pt idx="82">
                  <c:v>3758.1535214058354</c:v>
                </c:pt>
                <c:pt idx="83">
                  <c:v>3796.7381692652521</c:v>
                </c:pt>
                <c:pt idx="84">
                  <c:v>3818.9643523387272</c:v>
                </c:pt>
                <c:pt idx="85">
                  <c:v>3816.3679171048548</c:v>
                </c:pt>
                <c:pt idx="86">
                  <c:v>3936.4311253943697</c:v>
                </c:pt>
                <c:pt idx="87">
                  <c:v>3984.2880128549327</c:v>
                </c:pt>
                <c:pt idx="88">
                  <c:v>4001.6592115694398</c:v>
                </c:pt>
                <c:pt idx="89">
                  <c:v>4007.3932904124958</c:v>
                </c:pt>
                <c:pt idx="90">
                  <c:v>3998.3539613712464</c:v>
                </c:pt>
                <c:pt idx="91">
                  <c:v>4004.2185652341223</c:v>
                </c:pt>
                <c:pt idx="92">
                  <c:v>4006.5967087107101</c:v>
                </c:pt>
                <c:pt idx="93">
                  <c:v>4018.0370378396392</c:v>
                </c:pt>
                <c:pt idx="94">
                  <c:v>4064.7333340556752</c:v>
                </c:pt>
                <c:pt idx="95">
                  <c:v>4067.660000650108</c:v>
                </c:pt>
                <c:pt idx="96">
                  <c:v>4062.2940005850974</c:v>
                </c:pt>
                <c:pt idx="97">
                  <c:v>4041.7646005265879</c:v>
                </c:pt>
                <c:pt idx="98">
                  <c:v>4078.2881404739292</c:v>
                </c:pt>
                <c:pt idx="99">
                  <c:v>4111.4593264265368</c:v>
                </c:pt>
                <c:pt idx="100">
                  <c:v>4173.9133937838833</c:v>
                </c:pt>
                <c:pt idx="101">
                  <c:v>4210.3220544054948</c:v>
                </c:pt>
                <c:pt idx="102">
                  <c:v>4200.1898489649457</c:v>
                </c:pt>
                <c:pt idx="103">
                  <c:v>4217.9708640684512</c:v>
                </c:pt>
                <c:pt idx="104">
                  <c:v>4223.3737776616063</c:v>
                </c:pt>
                <c:pt idx="105">
                  <c:v>4222.0363998954454</c:v>
                </c:pt>
                <c:pt idx="106">
                  <c:v>4232.6327599059005</c:v>
                </c:pt>
                <c:pt idx="107">
                  <c:v>4252.4694839153108</c:v>
                </c:pt>
                <c:pt idx="108">
                  <c:v>4254.3225355237801</c:v>
                </c:pt>
                <c:pt idx="109">
                  <c:v>4259.1902819714023</c:v>
                </c:pt>
                <c:pt idx="110">
                  <c:v>4254.8712537742622</c:v>
                </c:pt>
                <c:pt idx="111">
                  <c:v>4296.7841283968355</c:v>
                </c:pt>
                <c:pt idx="112">
                  <c:v>4343.9057155571518</c:v>
                </c:pt>
                <c:pt idx="113">
                  <c:v>4354.3151440014362</c:v>
                </c:pt>
                <c:pt idx="114">
                  <c:v>4394.0836296012931</c:v>
                </c:pt>
                <c:pt idx="115">
                  <c:v>4404.4752666411641</c:v>
                </c:pt>
                <c:pt idx="116">
                  <c:v>4414.7277399770483</c:v>
                </c:pt>
                <c:pt idx="117">
                  <c:v>4427.4549659793438</c:v>
                </c:pt>
                <c:pt idx="118">
                  <c:v>4458.3094693814101</c:v>
                </c:pt>
                <c:pt idx="119">
                  <c:v>4495.0785224432693</c:v>
                </c:pt>
                <c:pt idx="120">
                  <c:v>4563.070670198942</c:v>
                </c:pt>
                <c:pt idx="121">
                  <c:v>4557.263603179048</c:v>
                </c:pt>
                <c:pt idx="122">
                  <c:v>4508.0372428611436</c:v>
                </c:pt>
                <c:pt idx="123">
                  <c:v>4543.7335185750289</c:v>
                </c:pt>
                <c:pt idx="124">
                  <c:v>4541.9601667175266</c:v>
                </c:pt>
                <c:pt idx="125">
                  <c:v>4548.1641500457736</c:v>
                </c:pt>
                <c:pt idx="126">
                  <c:v>4541.8477350411958</c:v>
                </c:pt>
                <c:pt idx="127">
                  <c:v>4517.0629615370763</c:v>
                </c:pt>
                <c:pt idx="128">
                  <c:v>4571.5566653833685</c:v>
                </c:pt>
                <c:pt idx="129">
                  <c:v>4570.9009988450316</c:v>
                </c:pt>
                <c:pt idx="130">
                  <c:v>4607.5108989605287</c:v>
                </c:pt>
                <c:pt idx="131">
                  <c:v>4605.6598090644757</c:v>
                </c:pt>
                <c:pt idx="132">
                  <c:v>4652.493828158028</c:v>
                </c:pt>
                <c:pt idx="133">
                  <c:v>4658.9444453422248</c:v>
                </c:pt>
                <c:pt idx="134">
                  <c:v>4689.0500008080026</c:v>
                </c:pt>
                <c:pt idx="135">
                  <c:v>4636.9450007272026</c:v>
                </c:pt>
                <c:pt idx="136">
                  <c:v>4642.2505006544825</c:v>
                </c:pt>
                <c:pt idx="137">
                  <c:v>4651.5254505890343</c:v>
                </c:pt>
                <c:pt idx="138">
                  <c:v>4663.6729055301312</c:v>
                </c:pt>
                <c:pt idx="139">
                  <c:v>4634.6056149771184</c:v>
                </c:pt>
                <c:pt idx="140">
                  <c:v>4645.8450534794065</c:v>
                </c:pt>
                <c:pt idx="141">
                  <c:v>4695.060548131466</c:v>
                </c:pt>
                <c:pt idx="142">
                  <c:v>4642.9544933183188</c:v>
                </c:pt>
                <c:pt idx="143">
                  <c:v>4677.4590439864869</c:v>
                </c:pt>
                <c:pt idx="144">
                  <c:v>4687.5131395878389</c:v>
                </c:pt>
                <c:pt idx="145">
                  <c:v>4643.7618256290552</c:v>
                </c:pt>
                <c:pt idx="146">
                  <c:v>4667.0856430661497</c:v>
                </c:pt>
                <c:pt idx="147">
                  <c:v>4694.9770787595353</c:v>
                </c:pt>
                <c:pt idx="148">
                  <c:v>4734.1793708835821</c:v>
                </c:pt>
                <c:pt idx="149">
                  <c:v>4751.9614337952235</c:v>
                </c:pt>
                <c:pt idx="150">
                  <c:v>4776.2652904157012</c:v>
                </c:pt>
                <c:pt idx="151">
                  <c:v>4801.7387613741312</c:v>
                </c:pt>
                <c:pt idx="152">
                  <c:v>4814.7648852367183</c:v>
                </c:pt>
                <c:pt idx="153">
                  <c:v>4859.9883967130463</c:v>
                </c:pt>
                <c:pt idx="154">
                  <c:v>4894.489557041742</c:v>
                </c:pt>
                <c:pt idx="155">
                  <c:v>4893.2406013375676</c:v>
                </c:pt>
                <c:pt idx="156">
                  <c:v>4937.2165412038112</c:v>
                </c:pt>
                <c:pt idx="157">
                  <c:v>4989.3948870834301</c:v>
                </c:pt>
                <c:pt idx="158">
                  <c:v>5028.1553983750873</c:v>
                </c:pt>
                <c:pt idx="159">
                  <c:v>5021.3398585375789</c:v>
                </c:pt>
                <c:pt idx="160">
                  <c:v>5040.9058726838211</c:v>
                </c:pt>
                <c:pt idx="161">
                  <c:v>5004.2152854154392</c:v>
                </c:pt>
                <c:pt idx="162">
                  <c:v>5034.1937568738949</c:v>
                </c:pt>
                <c:pt idx="163">
                  <c:v>5024.1743811865053</c:v>
                </c:pt>
                <c:pt idx="164">
                  <c:v>5072.1569430678546</c:v>
                </c:pt>
                <c:pt idx="165">
                  <c:v>5136.7412487610691</c:v>
                </c:pt>
                <c:pt idx="166">
                  <c:v>5135.6671238849631</c:v>
                </c:pt>
                <c:pt idx="167">
                  <c:v>5159.9004114964673</c:v>
                </c:pt>
                <c:pt idx="168">
                  <c:v>5159.4103703468209</c:v>
                </c:pt>
                <c:pt idx="169">
                  <c:v>5143.569333312139</c:v>
                </c:pt>
                <c:pt idx="170">
                  <c:v>5165.1123999809251</c:v>
                </c:pt>
                <c:pt idx="171">
                  <c:v>5173.3011599828324</c:v>
                </c:pt>
                <c:pt idx="172">
                  <c:v>5145.5710439845498</c:v>
                </c:pt>
                <c:pt idx="173">
                  <c:v>5166.713939586095</c:v>
                </c:pt>
                <c:pt idx="174">
                  <c:v>5157.9425456274848</c:v>
                </c:pt>
                <c:pt idx="175">
                  <c:v>5163.4482910647366</c:v>
                </c:pt>
                <c:pt idx="176">
                  <c:v>5171.3034619582631</c:v>
                </c:pt>
                <c:pt idx="177">
                  <c:v>5200.873115762437</c:v>
                </c:pt>
                <c:pt idx="178">
                  <c:v>5198.9858041861935</c:v>
                </c:pt>
                <c:pt idx="179">
                  <c:v>5211.1872237675743</c:v>
                </c:pt>
                <c:pt idx="180">
                  <c:v>5234.0685013908169</c:v>
                </c:pt>
                <c:pt idx="181">
                  <c:v>5260.7616512517361</c:v>
                </c:pt>
                <c:pt idx="182">
                  <c:v>5275.485486126563</c:v>
                </c:pt>
                <c:pt idx="183">
                  <c:v>5287.6369375139066</c:v>
                </c:pt>
                <c:pt idx="184">
                  <c:v>5311.673243762516</c:v>
                </c:pt>
                <c:pt idx="185">
                  <c:v>5324.1059193862648</c:v>
                </c:pt>
                <c:pt idx="186">
                  <c:v>5327.895327447638</c:v>
                </c:pt>
                <c:pt idx="187">
                  <c:v>5301.6057947028739</c:v>
                </c:pt>
                <c:pt idx="188">
                  <c:v>5326.6452152325865</c:v>
                </c:pt>
                <c:pt idx="189">
                  <c:v>5380.0806937093284</c:v>
                </c:pt>
                <c:pt idx="190">
                  <c:v>5348.4726243383957</c:v>
                </c:pt>
                <c:pt idx="191">
                  <c:v>5356.4253619045567</c:v>
                </c:pt>
                <c:pt idx="192">
                  <c:v>5360.2828257141009</c:v>
                </c:pt>
                <c:pt idx="193">
                  <c:v>5358.6545431426903</c:v>
                </c:pt>
                <c:pt idx="194">
                  <c:v>5393.789088828421</c:v>
                </c:pt>
                <c:pt idx="195">
                  <c:v>5397.0101799455797</c:v>
                </c:pt>
                <c:pt idx="196">
                  <c:v>5410.7091619510211</c:v>
                </c:pt>
                <c:pt idx="197">
                  <c:v>5406.7382457559197</c:v>
                </c:pt>
                <c:pt idx="198">
                  <c:v>5444.4644211803279</c:v>
                </c:pt>
                <c:pt idx="199">
                  <c:v>5459.1179790622955</c:v>
                </c:pt>
                <c:pt idx="200">
                  <c:v>5499.4061811560659</c:v>
                </c:pt>
                <c:pt idx="201">
                  <c:v>5537.9655630404595</c:v>
                </c:pt>
                <c:pt idx="202">
                  <c:v>5512.569006736413</c:v>
                </c:pt>
                <c:pt idx="203">
                  <c:v>5527.2121060627715</c:v>
                </c:pt>
                <c:pt idx="204">
                  <c:v>5568.7908954564946</c:v>
                </c:pt>
                <c:pt idx="205">
                  <c:v>5608.8118059108447</c:v>
                </c:pt>
                <c:pt idx="206">
                  <c:v>5586.2306253197603</c:v>
                </c:pt>
                <c:pt idx="207">
                  <c:v>5621.7075627877848</c:v>
                </c:pt>
                <c:pt idx="208">
                  <c:v>5591.2368065090059</c:v>
                </c:pt>
                <c:pt idx="209">
                  <c:v>5566.9131258581056</c:v>
                </c:pt>
                <c:pt idx="210">
                  <c:v>5609.6218132722952</c:v>
                </c:pt>
                <c:pt idx="211">
                  <c:v>5651.7596319450658</c:v>
                </c:pt>
                <c:pt idx="212">
                  <c:v>5689.88366875056</c:v>
                </c:pt>
                <c:pt idx="213">
                  <c:v>5659.0953018755035</c:v>
                </c:pt>
                <c:pt idx="214">
                  <c:v>5623.8857716879529</c:v>
                </c:pt>
                <c:pt idx="215">
                  <c:v>5656.2971945191575</c:v>
                </c:pt>
                <c:pt idx="216">
                  <c:v>5631.6674750672419</c:v>
                </c:pt>
                <c:pt idx="217">
                  <c:v>5631.8007275605178</c:v>
                </c:pt>
                <c:pt idx="218">
                  <c:v>5667.3206548044664</c:v>
                </c:pt>
                <c:pt idx="219">
                  <c:v>5708.0885893240202</c:v>
                </c:pt>
                <c:pt idx="220">
                  <c:v>5701.5797303916188</c:v>
                </c:pt>
                <c:pt idx="221">
                  <c:v>5740.0217573524578</c:v>
                </c:pt>
                <c:pt idx="222">
                  <c:v>5716.7195816172116</c:v>
                </c:pt>
                <c:pt idx="223">
                  <c:v>5728.9476234554904</c:v>
                </c:pt>
                <c:pt idx="224">
                  <c:v>5743.2528611099415</c:v>
                </c:pt>
                <c:pt idx="225">
                  <c:v>5744.1275749989472</c:v>
                </c:pt>
                <c:pt idx="226">
                  <c:v>5733.0148174990527</c:v>
                </c:pt>
                <c:pt idx="227">
                  <c:v>5734.4133357491473</c:v>
                </c:pt>
                <c:pt idx="228">
                  <c:v>5742.2720021742325</c:v>
                </c:pt>
                <c:pt idx="229">
                  <c:v>5772.6448019568097</c:v>
                </c:pt>
                <c:pt idx="230">
                  <c:v>5798.6803217611287</c:v>
                </c:pt>
                <c:pt idx="231">
                  <c:v>5827.7122895850152</c:v>
                </c:pt>
                <c:pt idx="232">
                  <c:v>5870.7410606265139</c:v>
                </c:pt>
                <c:pt idx="233">
                  <c:v>5895.8669545638622</c:v>
                </c:pt>
                <c:pt idx="234">
                  <c:v>5902.4802591074758</c:v>
                </c:pt>
                <c:pt idx="235">
                  <c:v>5895.3322331967283</c:v>
                </c:pt>
                <c:pt idx="236">
                  <c:v>5896.9990098770559</c:v>
                </c:pt>
                <c:pt idx="237">
                  <c:v>5886.5991088893506</c:v>
                </c:pt>
                <c:pt idx="238">
                  <c:v>5870.4391980004157</c:v>
                </c:pt>
                <c:pt idx="239">
                  <c:v>5905.3952782003744</c:v>
                </c:pt>
                <c:pt idx="240">
                  <c:v>5911.8557503803368</c:v>
                </c:pt>
                <c:pt idx="241">
                  <c:v>5968.8701753423029</c:v>
                </c:pt>
                <c:pt idx="242">
                  <c:v>5942.5831578080733</c:v>
                </c:pt>
                <c:pt idx="243">
                  <c:v>5973.5248420272655</c:v>
                </c:pt>
                <c:pt idx="244">
                  <c:v>5975.4723578245394</c:v>
                </c:pt>
                <c:pt idx="245">
                  <c:v>5995.025122042086</c:v>
                </c:pt>
                <c:pt idx="246">
                  <c:v>5990.4226098378767</c:v>
                </c:pt>
                <c:pt idx="247">
                  <c:v>6065.5803488540887</c:v>
                </c:pt>
                <c:pt idx="248">
                  <c:v>6022.4223139686792</c:v>
                </c:pt>
                <c:pt idx="249">
                  <c:v>6017.0800825718106</c:v>
                </c:pt>
                <c:pt idx="250">
                  <c:v>5989.7720743146292</c:v>
                </c:pt>
                <c:pt idx="251">
                  <c:v>6037.094866883167</c:v>
                </c:pt>
                <c:pt idx="252">
                  <c:v>5988.0853801948506</c:v>
                </c:pt>
                <c:pt idx="253">
                  <c:v>6001.4768421753652</c:v>
                </c:pt>
                <c:pt idx="254">
                  <c:v>6029.2291579578286</c:v>
                </c:pt>
                <c:pt idx="255">
                  <c:v>6025.4062421620465</c:v>
                </c:pt>
                <c:pt idx="256">
                  <c:v>6038.7656179458427</c:v>
                </c:pt>
                <c:pt idx="257">
                  <c:v>6069.4890561512593</c:v>
                </c:pt>
                <c:pt idx="258">
                  <c:v>6107.0401505361333</c:v>
                </c:pt>
                <c:pt idx="259">
                  <c:v>6150.53613548252</c:v>
                </c:pt>
                <c:pt idx="260">
                  <c:v>6153.6825219342682</c:v>
                </c:pt>
                <c:pt idx="261">
                  <c:v>6181.9142697408415</c:v>
                </c:pt>
                <c:pt idx="262">
                  <c:v>6144.8228427667582</c:v>
                </c:pt>
                <c:pt idx="263">
                  <c:v>6125.0405584900827</c:v>
                </c:pt>
                <c:pt idx="264">
                  <c:v>6171.1365026410749</c:v>
                </c:pt>
                <c:pt idx="265">
                  <c:v>6169.2228523769672</c:v>
                </c:pt>
                <c:pt idx="266">
                  <c:v>6173.5005671392701</c:v>
                </c:pt>
                <c:pt idx="267">
                  <c:v>6198.4505104253431</c:v>
                </c:pt>
                <c:pt idx="268">
                  <c:v>6202.2054593828088</c:v>
                </c:pt>
                <c:pt idx="269">
                  <c:v>6205.1849134445283</c:v>
                </c:pt>
                <c:pt idx="270">
                  <c:v>6234.3664221000754</c:v>
                </c:pt>
                <c:pt idx="271">
                  <c:v>6272.4297798900679</c:v>
                </c:pt>
                <c:pt idx="272">
                  <c:v>6285.3868019010615</c:v>
                </c:pt>
                <c:pt idx="273">
                  <c:v>6290.948121710956</c:v>
                </c:pt>
                <c:pt idx="274">
                  <c:v>6280.3533095398607</c:v>
                </c:pt>
                <c:pt idx="275">
                  <c:v>6307.2179785858752</c:v>
                </c:pt>
                <c:pt idx="276">
                  <c:v>6320.3961807272881</c:v>
                </c:pt>
                <c:pt idx="277">
                  <c:v>6348.95656265456</c:v>
                </c:pt>
                <c:pt idx="278">
                  <c:v>6362.6609063891046</c:v>
                </c:pt>
                <c:pt idx="279">
                  <c:v>6354.8948157501945</c:v>
                </c:pt>
                <c:pt idx="280">
                  <c:v>6385.1053341751749</c:v>
                </c:pt>
                <c:pt idx="281">
                  <c:v>6401.9948007576568</c:v>
                </c:pt>
                <c:pt idx="282">
                  <c:v>6387.5953206818913</c:v>
                </c:pt>
                <c:pt idx="283">
                  <c:v>6381.7357886137015</c:v>
                </c:pt>
                <c:pt idx="284">
                  <c:v>6387.3622097523321</c:v>
                </c:pt>
                <c:pt idx="285">
                  <c:v>6356.4259887770995</c:v>
                </c:pt>
                <c:pt idx="286">
                  <c:v>6377.3833898993898</c:v>
                </c:pt>
                <c:pt idx="287">
                  <c:v>6405.7450509094515</c:v>
                </c:pt>
                <c:pt idx="288">
                  <c:v>6416.3705458185059</c:v>
                </c:pt>
                <c:pt idx="289">
                  <c:v>6406.0334912366552</c:v>
                </c:pt>
                <c:pt idx="290">
                  <c:v>6398.9301421129894</c:v>
                </c:pt>
                <c:pt idx="291">
                  <c:v>6413.0371279016908</c:v>
                </c:pt>
                <c:pt idx="292">
                  <c:v>6425.8334151115223</c:v>
                </c:pt>
                <c:pt idx="293">
                  <c:v>6466.0500736003705</c:v>
                </c:pt>
                <c:pt idx="294">
                  <c:v>6460.4450662403333</c:v>
                </c:pt>
                <c:pt idx="295">
                  <c:v>6477.0005596163001</c:v>
                </c:pt>
                <c:pt idx="296">
                  <c:v>6465.6005036546703</c:v>
                </c:pt>
                <c:pt idx="297">
                  <c:v>6494.8404532892037</c:v>
                </c:pt>
                <c:pt idx="298">
                  <c:v>6530.7564079602835</c:v>
                </c:pt>
                <c:pt idx="299">
                  <c:v>6529.6807671642555</c:v>
                </c:pt>
                <c:pt idx="300">
                  <c:v>6556.0126904478302</c:v>
                </c:pt>
                <c:pt idx="301">
                  <c:v>6579.2114214030471</c:v>
                </c:pt>
                <c:pt idx="302">
                  <c:v>6618.3902792627432</c:v>
                </c:pt>
                <c:pt idx="303">
                  <c:v>6598.7512513364691</c:v>
                </c:pt>
                <c:pt idx="304">
                  <c:v>6557.0761262028218</c:v>
                </c:pt>
                <c:pt idx="305">
                  <c:v>6584.1685135825401</c:v>
                </c:pt>
                <c:pt idx="306">
                  <c:v>6555.6516622242871</c:v>
                </c:pt>
                <c:pt idx="307">
                  <c:v>6549.6864960018593</c:v>
                </c:pt>
                <c:pt idx="308">
                  <c:v>6554.6178464016739</c:v>
                </c:pt>
                <c:pt idx="309">
                  <c:v>6602.1560617615069</c:v>
                </c:pt>
                <c:pt idx="310">
                  <c:v>6585.0404555853565</c:v>
                </c:pt>
                <c:pt idx="311">
                  <c:v>6622.4364100268212</c:v>
                </c:pt>
                <c:pt idx="312">
                  <c:v>6643.6927690241391</c:v>
                </c:pt>
                <c:pt idx="313">
                  <c:v>6675.9234921217258</c:v>
                </c:pt>
                <c:pt idx="314">
                  <c:v>6722.9311429095533</c:v>
                </c:pt>
                <c:pt idx="315">
                  <c:v>6749.6380286185977</c:v>
                </c:pt>
                <c:pt idx="316">
                  <c:v>6766.5742257567381</c:v>
                </c:pt>
                <c:pt idx="317">
                  <c:v>6769.6168031810639</c:v>
                </c:pt>
                <c:pt idx="318">
                  <c:v>6741.1551228629578</c:v>
                </c:pt>
                <c:pt idx="319">
                  <c:v>6771.3396105766624</c:v>
                </c:pt>
                <c:pt idx="320">
                  <c:v>6779.0056495189965</c:v>
                </c:pt>
                <c:pt idx="321">
                  <c:v>6804.0050845670976</c:v>
                </c:pt>
                <c:pt idx="322">
                  <c:v>6775.5045761103884</c:v>
                </c:pt>
                <c:pt idx="323">
                  <c:v>6777.9541184993495</c:v>
                </c:pt>
                <c:pt idx="324">
                  <c:v>6806.5587066494154</c:v>
                </c:pt>
                <c:pt idx="325">
                  <c:v>6822.602835984474</c:v>
                </c:pt>
                <c:pt idx="326">
                  <c:v>6887.2425523860275</c:v>
                </c:pt>
                <c:pt idx="327">
                  <c:v>6896.3182971474253</c:v>
                </c:pt>
                <c:pt idx="328">
                  <c:v>6938.2864674326829</c:v>
                </c:pt>
                <c:pt idx="329">
                  <c:v>6959.5578206894152</c:v>
                </c:pt>
                <c:pt idx="330">
                  <c:v>6996.8020386204735</c:v>
                </c:pt>
                <c:pt idx="331">
                  <c:v>7038.0218347584268</c:v>
                </c:pt>
                <c:pt idx="332">
                  <c:v>7045.4196512825838</c:v>
                </c:pt>
                <c:pt idx="333">
                  <c:v>7016.6776861543258</c:v>
                </c:pt>
                <c:pt idx="334">
                  <c:v>7088.9099175388928</c:v>
                </c:pt>
                <c:pt idx="335">
                  <c:v>7131.1189257850037</c:v>
                </c:pt>
                <c:pt idx="336">
                  <c:v>7166.0070332065034</c:v>
                </c:pt>
                <c:pt idx="337">
                  <c:v>7188.8063298858524</c:v>
                </c:pt>
                <c:pt idx="338">
                  <c:v>7229.3256968972673</c:v>
                </c:pt>
                <c:pt idx="339">
                  <c:v>7299.493127207541</c:v>
                </c:pt>
                <c:pt idx="340">
                  <c:v>7387.6438144867871</c:v>
                </c:pt>
                <c:pt idx="341">
                  <c:v>7404.679433038109</c:v>
                </c:pt>
                <c:pt idx="342">
                  <c:v>7446.2114897342981</c:v>
                </c:pt>
                <c:pt idx="343">
                  <c:v>7457.5903407608685</c:v>
                </c:pt>
                <c:pt idx="344">
                  <c:v>7462.2313066847819</c:v>
                </c:pt>
                <c:pt idx="345">
                  <c:v>7490.1081760163042</c:v>
                </c:pt>
                <c:pt idx="346">
                  <c:v>7538.6973584146745</c:v>
                </c:pt>
                <c:pt idx="347">
                  <c:v>7556.6276225732072</c:v>
                </c:pt>
                <c:pt idx="348">
                  <c:v>7610.3648603158872</c:v>
                </c:pt>
                <c:pt idx="349">
                  <c:v>7606.3283742842987</c:v>
                </c:pt>
                <c:pt idx="350">
                  <c:v>7627.6955368558692</c:v>
                </c:pt>
                <c:pt idx="351">
                  <c:v>7672.4259831702821</c:v>
                </c:pt>
                <c:pt idx="352">
                  <c:v>7714.883384853254</c:v>
                </c:pt>
                <c:pt idx="353">
                  <c:v>7753.1950463679286</c:v>
                </c:pt>
                <c:pt idx="354">
                  <c:v>7778.0755417311357</c:v>
                </c:pt>
                <c:pt idx="355">
                  <c:v>7828.5679875580227</c:v>
                </c:pt>
                <c:pt idx="356">
                  <c:v>7855.2111888022209</c:v>
                </c:pt>
                <c:pt idx="357">
                  <c:v>7894.6900699219987</c:v>
                </c:pt>
                <c:pt idx="358">
                  <c:v>7946.4210629297986</c:v>
                </c:pt>
                <c:pt idx="359">
                  <c:v>8003.0789566368194</c:v>
                </c:pt>
                <c:pt idx="360">
                  <c:v>8073.5710609731377</c:v>
                </c:pt>
                <c:pt idx="361">
                  <c:v>8159.1139548758238</c:v>
                </c:pt>
                <c:pt idx="362">
                  <c:v>8162.3025593882421</c:v>
                </c:pt>
                <c:pt idx="363">
                  <c:v>8196.2723034494174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F1-4F09-93B1-065F17DEF0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7468927"/>
        <c:axId val="1147476607"/>
      </c:lineChart>
      <c:catAx>
        <c:axId val="11474689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Temperature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476607"/>
        <c:crosses val="autoZero"/>
        <c:auto val="1"/>
        <c:lblAlgn val="ctr"/>
        <c:lblOffset val="100"/>
        <c:noMultiLvlLbl val="0"/>
      </c:catAx>
      <c:valAx>
        <c:axId val="1147476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Ice Cream</a:t>
                </a:r>
                <a:r>
                  <a:rPr lang="en-ID" baseline="0"/>
                  <a:t> Profits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468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Probability</a:t>
            </a:r>
            <a:r>
              <a:rPr lang="en-ID" baseline="0"/>
              <a:t> Distribution Holt's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Actual Data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'Probability Distribution'!$A$2:$A$366</c:f>
              <c:numCache>
                <c:formatCode>General</c:formatCode>
                <c:ptCount val="365"/>
                <c:pt idx="0">
                  <c:v>39</c:v>
                </c:pt>
                <c:pt idx="1">
                  <c:v>40</c:v>
                </c:pt>
                <c:pt idx="2">
                  <c:v>41</c:v>
                </c:pt>
                <c:pt idx="3">
                  <c:v>42</c:v>
                </c:pt>
                <c:pt idx="4">
                  <c:v>43</c:v>
                </c:pt>
                <c:pt idx="5">
                  <c:v>43</c:v>
                </c:pt>
                <c:pt idx="6">
                  <c:v>44</c:v>
                </c:pt>
                <c:pt idx="7">
                  <c:v>44</c:v>
                </c:pt>
                <c:pt idx="8">
                  <c:v>45</c:v>
                </c:pt>
                <c:pt idx="9">
                  <c:v>45</c:v>
                </c:pt>
                <c:pt idx="10">
                  <c:v>45</c:v>
                </c:pt>
                <c:pt idx="11">
                  <c:v>46</c:v>
                </c:pt>
                <c:pt idx="12">
                  <c:v>46</c:v>
                </c:pt>
                <c:pt idx="13">
                  <c:v>47</c:v>
                </c:pt>
                <c:pt idx="14">
                  <c:v>48</c:v>
                </c:pt>
                <c:pt idx="15">
                  <c:v>48</c:v>
                </c:pt>
                <c:pt idx="16">
                  <c:v>48</c:v>
                </c:pt>
                <c:pt idx="17">
                  <c:v>48</c:v>
                </c:pt>
                <c:pt idx="18">
                  <c:v>48</c:v>
                </c:pt>
                <c:pt idx="19">
                  <c:v>48</c:v>
                </c:pt>
                <c:pt idx="20">
                  <c:v>49</c:v>
                </c:pt>
                <c:pt idx="21">
                  <c:v>49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51</c:v>
                </c:pt>
                <c:pt idx="28">
                  <c:v>51</c:v>
                </c:pt>
                <c:pt idx="29">
                  <c:v>52</c:v>
                </c:pt>
                <c:pt idx="30">
                  <c:v>52</c:v>
                </c:pt>
                <c:pt idx="31">
                  <c:v>52</c:v>
                </c:pt>
                <c:pt idx="32">
                  <c:v>52</c:v>
                </c:pt>
                <c:pt idx="33">
                  <c:v>52</c:v>
                </c:pt>
                <c:pt idx="34">
                  <c:v>53</c:v>
                </c:pt>
                <c:pt idx="35">
                  <c:v>53</c:v>
                </c:pt>
                <c:pt idx="36">
                  <c:v>53</c:v>
                </c:pt>
                <c:pt idx="37">
                  <c:v>53</c:v>
                </c:pt>
                <c:pt idx="38">
                  <c:v>54</c:v>
                </c:pt>
                <c:pt idx="39">
                  <c:v>54</c:v>
                </c:pt>
                <c:pt idx="40">
                  <c:v>54</c:v>
                </c:pt>
                <c:pt idx="41">
                  <c:v>54</c:v>
                </c:pt>
                <c:pt idx="42">
                  <c:v>54</c:v>
                </c:pt>
                <c:pt idx="43">
                  <c:v>54</c:v>
                </c:pt>
                <c:pt idx="44">
                  <c:v>54</c:v>
                </c:pt>
                <c:pt idx="45">
                  <c:v>54</c:v>
                </c:pt>
                <c:pt idx="46">
                  <c:v>54</c:v>
                </c:pt>
                <c:pt idx="47">
                  <c:v>55</c:v>
                </c:pt>
                <c:pt idx="48">
                  <c:v>55</c:v>
                </c:pt>
                <c:pt idx="49">
                  <c:v>55</c:v>
                </c:pt>
                <c:pt idx="50">
                  <c:v>55</c:v>
                </c:pt>
                <c:pt idx="51">
                  <c:v>56</c:v>
                </c:pt>
                <c:pt idx="52">
                  <c:v>56</c:v>
                </c:pt>
                <c:pt idx="53">
                  <c:v>57</c:v>
                </c:pt>
                <c:pt idx="54">
                  <c:v>57</c:v>
                </c:pt>
                <c:pt idx="55">
                  <c:v>58</c:v>
                </c:pt>
                <c:pt idx="56">
                  <c:v>58</c:v>
                </c:pt>
                <c:pt idx="57">
                  <c:v>58</c:v>
                </c:pt>
                <c:pt idx="58">
                  <c:v>58</c:v>
                </c:pt>
                <c:pt idx="59">
                  <c:v>58</c:v>
                </c:pt>
                <c:pt idx="60">
                  <c:v>58</c:v>
                </c:pt>
                <c:pt idx="61">
                  <c:v>59</c:v>
                </c:pt>
                <c:pt idx="62">
                  <c:v>59</c:v>
                </c:pt>
                <c:pt idx="63">
                  <c:v>59</c:v>
                </c:pt>
                <c:pt idx="64">
                  <c:v>59</c:v>
                </c:pt>
                <c:pt idx="65">
                  <c:v>59</c:v>
                </c:pt>
                <c:pt idx="66">
                  <c:v>59</c:v>
                </c:pt>
                <c:pt idx="67">
                  <c:v>59</c:v>
                </c:pt>
                <c:pt idx="68">
                  <c:v>59</c:v>
                </c:pt>
                <c:pt idx="69">
                  <c:v>60</c:v>
                </c:pt>
                <c:pt idx="70">
                  <c:v>60</c:v>
                </c:pt>
                <c:pt idx="71">
                  <c:v>60</c:v>
                </c:pt>
                <c:pt idx="72">
                  <c:v>60</c:v>
                </c:pt>
                <c:pt idx="73">
                  <c:v>60</c:v>
                </c:pt>
                <c:pt idx="74">
                  <c:v>61</c:v>
                </c:pt>
                <c:pt idx="75">
                  <c:v>61</c:v>
                </c:pt>
                <c:pt idx="76">
                  <c:v>61</c:v>
                </c:pt>
                <c:pt idx="77">
                  <c:v>61</c:v>
                </c:pt>
                <c:pt idx="78">
                  <c:v>61</c:v>
                </c:pt>
                <c:pt idx="79">
                  <c:v>61</c:v>
                </c:pt>
                <c:pt idx="80">
                  <c:v>61</c:v>
                </c:pt>
                <c:pt idx="81">
                  <c:v>61</c:v>
                </c:pt>
                <c:pt idx="82">
                  <c:v>61</c:v>
                </c:pt>
                <c:pt idx="83">
                  <c:v>62</c:v>
                </c:pt>
                <c:pt idx="84">
                  <c:v>62</c:v>
                </c:pt>
                <c:pt idx="85">
                  <c:v>62</c:v>
                </c:pt>
                <c:pt idx="86">
                  <c:v>62</c:v>
                </c:pt>
                <c:pt idx="87">
                  <c:v>63</c:v>
                </c:pt>
                <c:pt idx="88">
                  <c:v>63</c:v>
                </c:pt>
                <c:pt idx="89">
                  <c:v>63</c:v>
                </c:pt>
                <c:pt idx="90">
                  <c:v>63</c:v>
                </c:pt>
                <c:pt idx="91">
                  <c:v>63</c:v>
                </c:pt>
                <c:pt idx="92">
                  <c:v>64</c:v>
                </c:pt>
                <c:pt idx="93">
                  <c:v>64</c:v>
                </c:pt>
                <c:pt idx="94">
                  <c:v>64</c:v>
                </c:pt>
                <c:pt idx="95">
                  <c:v>64</c:v>
                </c:pt>
                <c:pt idx="96">
                  <c:v>64</c:v>
                </c:pt>
                <c:pt idx="97">
                  <c:v>64</c:v>
                </c:pt>
                <c:pt idx="98">
                  <c:v>64</c:v>
                </c:pt>
                <c:pt idx="99">
                  <c:v>64</c:v>
                </c:pt>
                <c:pt idx="100">
                  <c:v>64</c:v>
                </c:pt>
                <c:pt idx="101">
                  <c:v>65</c:v>
                </c:pt>
                <c:pt idx="102">
                  <c:v>65</c:v>
                </c:pt>
                <c:pt idx="103">
                  <c:v>65</c:v>
                </c:pt>
                <c:pt idx="104">
                  <c:v>65</c:v>
                </c:pt>
                <c:pt idx="105">
                  <c:v>65</c:v>
                </c:pt>
                <c:pt idx="106">
                  <c:v>65</c:v>
                </c:pt>
                <c:pt idx="107">
                  <c:v>65</c:v>
                </c:pt>
                <c:pt idx="108">
                  <c:v>65</c:v>
                </c:pt>
                <c:pt idx="109">
                  <c:v>65</c:v>
                </c:pt>
                <c:pt idx="110">
                  <c:v>66</c:v>
                </c:pt>
                <c:pt idx="111">
                  <c:v>66</c:v>
                </c:pt>
                <c:pt idx="112">
                  <c:v>66</c:v>
                </c:pt>
                <c:pt idx="113">
                  <c:v>66</c:v>
                </c:pt>
                <c:pt idx="114">
                  <c:v>66</c:v>
                </c:pt>
                <c:pt idx="115">
                  <c:v>66</c:v>
                </c:pt>
                <c:pt idx="116">
                  <c:v>66</c:v>
                </c:pt>
                <c:pt idx="117">
                  <c:v>66</c:v>
                </c:pt>
                <c:pt idx="118">
                  <c:v>66</c:v>
                </c:pt>
                <c:pt idx="119">
                  <c:v>66</c:v>
                </c:pt>
                <c:pt idx="120">
                  <c:v>66</c:v>
                </c:pt>
                <c:pt idx="121">
                  <c:v>66</c:v>
                </c:pt>
                <c:pt idx="122">
                  <c:v>66</c:v>
                </c:pt>
                <c:pt idx="123">
                  <c:v>66</c:v>
                </c:pt>
                <c:pt idx="124">
                  <c:v>67</c:v>
                </c:pt>
                <c:pt idx="125">
                  <c:v>67</c:v>
                </c:pt>
                <c:pt idx="126">
                  <c:v>67</c:v>
                </c:pt>
                <c:pt idx="127">
                  <c:v>67</c:v>
                </c:pt>
                <c:pt idx="128">
                  <c:v>67</c:v>
                </c:pt>
                <c:pt idx="129">
                  <c:v>67</c:v>
                </c:pt>
                <c:pt idx="130">
                  <c:v>68</c:v>
                </c:pt>
                <c:pt idx="131">
                  <c:v>68</c:v>
                </c:pt>
                <c:pt idx="132">
                  <c:v>68</c:v>
                </c:pt>
                <c:pt idx="133">
                  <c:v>68</c:v>
                </c:pt>
                <c:pt idx="134">
                  <c:v>68</c:v>
                </c:pt>
                <c:pt idx="135">
                  <c:v>68</c:v>
                </c:pt>
                <c:pt idx="136">
                  <c:v>68</c:v>
                </c:pt>
                <c:pt idx="137">
                  <c:v>68</c:v>
                </c:pt>
                <c:pt idx="138">
                  <c:v>68</c:v>
                </c:pt>
                <c:pt idx="139">
                  <c:v>68</c:v>
                </c:pt>
                <c:pt idx="140">
                  <c:v>68</c:v>
                </c:pt>
                <c:pt idx="141">
                  <c:v>68</c:v>
                </c:pt>
                <c:pt idx="142">
                  <c:v>69</c:v>
                </c:pt>
                <c:pt idx="143">
                  <c:v>69</c:v>
                </c:pt>
                <c:pt idx="144">
                  <c:v>69</c:v>
                </c:pt>
                <c:pt idx="145">
                  <c:v>69</c:v>
                </c:pt>
                <c:pt idx="146">
                  <c:v>69</c:v>
                </c:pt>
                <c:pt idx="147">
                  <c:v>69</c:v>
                </c:pt>
                <c:pt idx="148">
                  <c:v>70</c:v>
                </c:pt>
                <c:pt idx="149">
                  <c:v>70</c:v>
                </c:pt>
                <c:pt idx="150">
                  <c:v>70</c:v>
                </c:pt>
                <c:pt idx="151">
                  <c:v>70</c:v>
                </c:pt>
                <c:pt idx="152">
                  <c:v>70</c:v>
                </c:pt>
                <c:pt idx="153">
                  <c:v>70</c:v>
                </c:pt>
                <c:pt idx="154">
                  <c:v>70</c:v>
                </c:pt>
                <c:pt idx="155">
                  <c:v>70</c:v>
                </c:pt>
                <c:pt idx="156">
                  <c:v>70</c:v>
                </c:pt>
                <c:pt idx="157">
                  <c:v>71</c:v>
                </c:pt>
                <c:pt idx="158">
                  <c:v>71</c:v>
                </c:pt>
                <c:pt idx="159">
                  <c:v>71</c:v>
                </c:pt>
                <c:pt idx="160">
                  <c:v>71</c:v>
                </c:pt>
                <c:pt idx="161">
                  <c:v>71</c:v>
                </c:pt>
                <c:pt idx="162">
                  <c:v>71</c:v>
                </c:pt>
                <c:pt idx="163">
                  <c:v>71</c:v>
                </c:pt>
                <c:pt idx="164">
                  <c:v>71</c:v>
                </c:pt>
                <c:pt idx="165">
                  <c:v>71</c:v>
                </c:pt>
                <c:pt idx="166">
                  <c:v>72</c:v>
                </c:pt>
                <c:pt idx="167">
                  <c:v>72</c:v>
                </c:pt>
                <c:pt idx="168">
                  <c:v>72</c:v>
                </c:pt>
                <c:pt idx="169">
                  <c:v>72</c:v>
                </c:pt>
                <c:pt idx="170">
                  <c:v>72</c:v>
                </c:pt>
                <c:pt idx="171">
                  <c:v>72</c:v>
                </c:pt>
                <c:pt idx="172">
                  <c:v>72</c:v>
                </c:pt>
                <c:pt idx="173">
                  <c:v>72</c:v>
                </c:pt>
                <c:pt idx="174">
                  <c:v>72</c:v>
                </c:pt>
                <c:pt idx="175">
                  <c:v>72</c:v>
                </c:pt>
                <c:pt idx="176">
                  <c:v>73</c:v>
                </c:pt>
                <c:pt idx="177">
                  <c:v>73</c:v>
                </c:pt>
                <c:pt idx="178">
                  <c:v>73</c:v>
                </c:pt>
                <c:pt idx="179">
                  <c:v>73</c:v>
                </c:pt>
                <c:pt idx="180">
                  <c:v>73</c:v>
                </c:pt>
                <c:pt idx="181">
                  <c:v>73</c:v>
                </c:pt>
                <c:pt idx="182">
                  <c:v>73</c:v>
                </c:pt>
                <c:pt idx="183">
                  <c:v>73</c:v>
                </c:pt>
                <c:pt idx="184">
                  <c:v>73</c:v>
                </c:pt>
                <c:pt idx="185">
                  <c:v>74</c:v>
                </c:pt>
                <c:pt idx="186">
                  <c:v>74</c:v>
                </c:pt>
                <c:pt idx="187">
                  <c:v>74</c:v>
                </c:pt>
                <c:pt idx="188">
                  <c:v>74</c:v>
                </c:pt>
                <c:pt idx="189">
                  <c:v>74</c:v>
                </c:pt>
                <c:pt idx="190">
                  <c:v>74</c:v>
                </c:pt>
                <c:pt idx="191">
                  <c:v>74</c:v>
                </c:pt>
                <c:pt idx="192">
                  <c:v>74</c:v>
                </c:pt>
                <c:pt idx="193">
                  <c:v>74</c:v>
                </c:pt>
                <c:pt idx="194">
                  <c:v>74</c:v>
                </c:pt>
                <c:pt idx="195">
                  <c:v>74</c:v>
                </c:pt>
                <c:pt idx="196">
                  <c:v>74</c:v>
                </c:pt>
                <c:pt idx="197">
                  <c:v>75</c:v>
                </c:pt>
                <c:pt idx="198">
                  <c:v>75</c:v>
                </c:pt>
                <c:pt idx="199">
                  <c:v>75</c:v>
                </c:pt>
                <c:pt idx="200">
                  <c:v>75</c:v>
                </c:pt>
                <c:pt idx="201">
                  <c:v>75</c:v>
                </c:pt>
                <c:pt idx="202">
                  <c:v>75</c:v>
                </c:pt>
                <c:pt idx="203">
                  <c:v>76</c:v>
                </c:pt>
                <c:pt idx="204">
                  <c:v>76</c:v>
                </c:pt>
                <c:pt idx="205">
                  <c:v>76</c:v>
                </c:pt>
                <c:pt idx="206">
                  <c:v>76</c:v>
                </c:pt>
                <c:pt idx="207">
                  <c:v>76</c:v>
                </c:pt>
                <c:pt idx="208">
                  <c:v>76</c:v>
                </c:pt>
                <c:pt idx="209">
                  <c:v>76</c:v>
                </c:pt>
                <c:pt idx="210">
                  <c:v>76</c:v>
                </c:pt>
                <c:pt idx="211">
                  <c:v>76</c:v>
                </c:pt>
                <c:pt idx="212">
                  <c:v>76</c:v>
                </c:pt>
                <c:pt idx="213">
                  <c:v>76</c:v>
                </c:pt>
                <c:pt idx="214">
                  <c:v>77</c:v>
                </c:pt>
                <c:pt idx="215">
                  <c:v>77</c:v>
                </c:pt>
                <c:pt idx="216">
                  <c:v>77</c:v>
                </c:pt>
                <c:pt idx="217">
                  <c:v>77</c:v>
                </c:pt>
                <c:pt idx="218">
                  <c:v>77</c:v>
                </c:pt>
                <c:pt idx="219">
                  <c:v>77</c:v>
                </c:pt>
                <c:pt idx="220">
                  <c:v>77</c:v>
                </c:pt>
                <c:pt idx="221">
                  <c:v>77</c:v>
                </c:pt>
                <c:pt idx="222">
                  <c:v>77</c:v>
                </c:pt>
                <c:pt idx="223">
                  <c:v>77</c:v>
                </c:pt>
                <c:pt idx="224">
                  <c:v>77</c:v>
                </c:pt>
                <c:pt idx="225">
                  <c:v>77</c:v>
                </c:pt>
                <c:pt idx="226">
                  <c:v>77</c:v>
                </c:pt>
                <c:pt idx="227">
                  <c:v>77</c:v>
                </c:pt>
                <c:pt idx="228">
                  <c:v>77</c:v>
                </c:pt>
                <c:pt idx="229">
                  <c:v>78</c:v>
                </c:pt>
                <c:pt idx="230">
                  <c:v>78</c:v>
                </c:pt>
                <c:pt idx="231">
                  <c:v>78</c:v>
                </c:pt>
                <c:pt idx="232">
                  <c:v>78</c:v>
                </c:pt>
                <c:pt idx="233">
                  <c:v>78</c:v>
                </c:pt>
                <c:pt idx="234">
                  <c:v>78</c:v>
                </c:pt>
                <c:pt idx="235">
                  <c:v>78</c:v>
                </c:pt>
                <c:pt idx="236">
                  <c:v>78</c:v>
                </c:pt>
                <c:pt idx="237">
                  <c:v>78</c:v>
                </c:pt>
                <c:pt idx="238">
                  <c:v>78</c:v>
                </c:pt>
                <c:pt idx="239">
                  <c:v>78</c:v>
                </c:pt>
                <c:pt idx="240">
                  <c:v>78</c:v>
                </c:pt>
                <c:pt idx="241">
                  <c:v>79</c:v>
                </c:pt>
                <c:pt idx="242">
                  <c:v>79</c:v>
                </c:pt>
                <c:pt idx="243">
                  <c:v>79</c:v>
                </c:pt>
                <c:pt idx="244">
                  <c:v>79</c:v>
                </c:pt>
                <c:pt idx="245">
                  <c:v>79</c:v>
                </c:pt>
                <c:pt idx="246">
                  <c:v>79</c:v>
                </c:pt>
                <c:pt idx="247">
                  <c:v>79</c:v>
                </c:pt>
                <c:pt idx="248">
                  <c:v>79</c:v>
                </c:pt>
                <c:pt idx="249">
                  <c:v>79</c:v>
                </c:pt>
                <c:pt idx="250">
                  <c:v>79</c:v>
                </c:pt>
                <c:pt idx="251">
                  <c:v>79</c:v>
                </c:pt>
                <c:pt idx="252">
                  <c:v>79</c:v>
                </c:pt>
                <c:pt idx="253">
                  <c:v>80</c:v>
                </c:pt>
                <c:pt idx="254">
                  <c:v>80</c:v>
                </c:pt>
                <c:pt idx="255">
                  <c:v>80</c:v>
                </c:pt>
                <c:pt idx="256">
                  <c:v>80</c:v>
                </c:pt>
                <c:pt idx="257">
                  <c:v>80</c:v>
                </c:pt>
                <c:pt idx="258">
                  <c:v>80</c:v>
                </c:pt>
                <c:pt idx="259">
                  <c:v>80</c:v>
                </c:pt>
                <c:pt idx="260">
                  <c:v>80</c:v>
                </c:pt>
                <c:pt idx="261">
                  <c:v>80</c:v>
                </c:pt>
                <c:pt idx="262">
                  <c:v>81</c:v>
                </c:pt>
                <c:pt idx="263">
                  <c:v>81</c:v>
                </c:pt>
                <c:pt idx="264">
                  <c:v>81</c:v>
                </c:pt>
                <c:pt idx="265">
                  <c:v>81</c:v>
                </c:pt>
                <c:pt idx="266">
                  <c:v>81</c:v>
                </c:pt>
                <c:pt idx="267">
                  <c:v>81</c:v>
                </c:pt>
                <c:pt idx="268">
                  <c:v>81</c:v>
                </c:pt>
                <c:pt idx="269">
                  <c:v>81</c:v>
                </c:pt>
                <c:pt idx="270">
                  <c:v>81</c:v>
                </c:pt>
                <c:pt idx="271">
                  <c:v>82</c:v>
                </c:pt>
                <c:pt idx="272">
                  <c:v>82</c:v>
                </c:pt>
                <c:pt idx="273">
                  <c:v>82</c:v>
                </c:pt>
                <c:pt idx="274">
                  <c:v>82</c:v>
                </c:pt>
                <c:pt idx="275">
                  <c:v>82</c:v>
                </c:pt>
                <c:pt idx="276">
                  <c:v>82</c:v>
                </c:pt>
                <c:pt idx="277">
                  <c:v>82</c:v>
                </c:pt>
                <c:pt idx="278">
                  <c:v>82</c:v>
                </c:pt>
                <c:pt idx="279">
                  <c:v>82</c:v>
                </c:pt>
                <c:pt idx="280">
                  <c:v>82</c:v>
                </c:pt>
                <c:pt idx="281">
                  <c:v>82</c:v>
                </c:pt>
                <c:pt idx="282">
                  <c:v>83</c:v>
                </c:pt>
                <c:pt idx="283">
                  <c:v>83</c:v>
                </c:pt>
                <c:pt idx="284">
                  <c:v>83</c:v>
                </c:pt>
                <c:pt idx="285">
                  <c:v>83</c:v>
                </c:pt>
                <c:pt idx="286">
                  <c:v>83</c:v>
                </c:pt>
                <c:pt idx="287">
                  <c:v>83</c:v>
                </c:pt>
                <c:pt idx="288">
                  <c:v>84</c:v>
                </c:pt>
                <c:pt idx="289">
                  <c:v>84</c:v>
                </c:pt>
                <c:pt idx="290">
                  <c:v>84</c:v>
                </c:pt>
                <c:pt idx="291">
                  <c:v>84</c:v>
                </c:pt>
                <c:pt idx="292">
                  <c:v>84</c:v>
                </c:pt>
                <c:pt idx="293">
                  <c:v>84</c:v>
                </c:pt>
                <c:pt idx="294">
                  <c:v>84</c:v>
                </c:pt>
                <c:pt idx="295">
                  <c:v>84</c:v>
                </c:pt>
                <c:pt idx="296">
                  <c:v>84</c:v>
                </c:pt>
                <c:pt idx="297">
                  <c:v>84</c:v>
                </c:pt>
                <c:pt idx="298">
                  <c:v>84</c:v>
                </c:pt>
                <c:pt idx="299">
                  <c:v>84</c:v>
                </c:pt>
                <c:pt idx="300">
                  <c:v>84</c:v>
                </c:pt>
                <c:pt idx="301">
                  <c:v>85</c:v>
                </c:pt>
                <c:pt idx="302">
                  <c:v>85</c:v>
                </c:pt>
                <c:pt idx="303">
                  <c:v>85</c:v>
                </c:pt>
                <c:pt idx="304">
                  <c:v>85</c:v>
                </c:pt>
                <c:pt idx="305">
                  <c:v>85</c:v>
                </c:pt>
                <c:pt idx="306">
                  <c:v>85</c:v>
                </c:pt>
                <c:pt idx="307">
                  <c:v>85</c:v>
                </c:pt>
                <c:pt idx="308">
                  <c:v>85</c:v>
                </c:pt>
                <c:pt idx="309">
                  <c:v>85</c:v>
                </c:pt>
                <c:pt idx="310">
                  <c:v>85</c:v>
                </c:pt>
                <c:pt idx="311">
                  <c:v>85</c:v>
                </c:pt>
                <c:pt idx="312">
                  <c:v>86</c:v>
                </c:pt>
                <c:pt idx="313">
                  <c:v>86</c:v>
                </c:pt>
                <c:pt idx="314">
                  <c:v>86</c:v>
                </c:pt>
                <c:pt idx="315">
                  <c:v>86</c:v>
                </c:pt>
                <c:pt idx="316">
                  <c:v>86</c:v>
                </c:pt>
                <c:pt idx="317">
                  <c:v>86</c:v>
                </c:pt>
                <c:pt idx="318">
                  <c:v>86</c:v>
                </c:pt>
                <c:pt idx="319">
                  <c:v>86</c:v>
                </c:pt>
                <c:pt idx="320">
                  <c:v>87</c:v>
                </c:pt>
                <c:pt idx="321">
                  <c:v>87</c:v>
                </c:pt>
                <c:pt idx="322">
                  <c:v>87</c:v>
                </c:pt>
                <c:pt idx="323">
                  <c:v>87</c:v>
                </c:pt>
                <c:pt idx="324">
                  <c:v>87</c:v>
                </c:pt>
                <c:pt idx="325">
                  <c:v>87</c:v>
                </c:pt>
                <c:pt idx="326">
                  <c:v>88</c:v>
                </c:pt>
                <c:pt idx="327">
                  <c:v>88</c:v>
                </c:pt>
                <c:pt idx="328">
                  <c:v>88</c:v>
                </c:pt>
                <c:pt idx="329">
                  <c:v>89</c:v>
                </c:pt>
                <c:pt idx="330">
                  <c:v>89</c:v>
                </c:pt>
                <c:pt idx="331">
                  <c:v>89</c:v>
                </c:pt>
                <c:pt idx="332">
                  <c:v>89</c:v>
                </c:pt>
                <c:pt idx="333">
                  <c:v>90</c:v>
                </c:pt>
                <c:pt idx="334">
                  <c:v>90</c:v>
                </c:pt>
                <c:pt idx="335">
                  <c:v>90</c:v>
                </c:pt>
                <c:pt idx="336">
                  <c:v>90</c:v>
                </c:pt>
                <c:pt idx="337">
                  <c:v>90</c:v>
                </c:pt>
                <c:pt idx="338">
                  <c:v>90</c:v>
                </c:pt>
                <c:pt idx="339">
                  <c:v>90</c:v>
                </c:pt>
                <c:pt idx="340">
                  <c:v>91</c:v>
                </c:pt>
                <c:pt idx="341">
                  <c:v>91</c:v>
                </c:pt>
                <c:pt idx="342">
                  <c:v>91</c:v>
                </c:pt>
                <c:pt idx="343">
                  <c:v>92</c:v>
                </c:pt>
                <c:pt idx="344">
                  <c:v>92</c:v>
                </c:pt>
                <c:pt idx="345">
                  <c:v>92</c:v>
                </c:pt>
                <c:pt idx="346">
                  <c:v>92</c:v>
                </c:pt>
                <c:pt idx="347">
                  <c:v>93</c:v>
                </c:pt>
                <c:pt idx="348">
                  <c:v>93</c:v>
                </c:pt>
                <c:pt idx="349">
                  <c:v>94</c:v>
                </c:pt>
                <c:pt idx="350">
                  <c:v>94</c:v>
                </c:pt>
                <c:pt idx="351">
                  <c:v>95</c:v>
                </c:pt>
                <c:pt idx="352">
                  <c:v>95</c:v>
                </c:pt>
                <c:pt idx="353">
                  <c:v>95</c:v>
                </c:pt>
                <c:pt idx="354">
                  <c:v>95</c:v>
                </c:pt>
                <c:pt idx="355">
                  <c:v>96</c:v>
                </c:pt>
                <c:pt idx="356">
                  <c:v>96</c:v>
                </c:pt>
                <c:pt idx="357">
                  <c:v>96</c:v>
                </c:pt>
                <c:pt idx="358">
                  <c:v>97</c:v>
                </c:pt>
                <c:pt idx="359">
                  <c:v>98</c:v>
                </c:pt>
                <c:pt idx="360">
                  <c:v>99</c:v>
                </c:pt>
                <c:pt idx="361">
                  <c:v>99</c:v>
                </c:pt>
                <c:pt idx="362">
                  <c:v>99</c:v>
                </c:pt>
                <c:pt idx="363">
                  <c:v>101</c:v>
                </c:pt>
                <c:pt idx="364">
                  <c:v>101</c:v>
                </c:pt>
              </c:numCache>
            </c:numRef>
          </c:cat>
          <c:val>
            <c:numRef>
              <c:f>'Probability Distribution'!$B$2:$B$366</c:f>
              <c:numCache>
                <c:formatCode>General</c:formatCode>
                <c:ptCount val="365"/>
                <c:pt idx="0">
                  <c:v>1317</c:v>
                </c:pt>
                <c:pt idx="1">
                  <c:v>1188</c:v>
                </c:pt>
                <c:pt idx="2">
                  <c:v>1882</c:v>
                </c:pt>
                <c:pt idx="3">
                  <c:v>1865</c:v>
                </c:pt>
                <c:pt idx="4">
                  <c:v>1702</c:v>
                </c:pt>
                <c:pt idx="5">
                  <c:v>1588</c:v>
                </c:pt>
                <c:pt idx="6">
                  <c:v>1907</c:v>
                </c:pt>
                <c:pt idx="7">
                  <c:v>1957</c:v>
                </c:pt>
                <c:pt idx="8">
                  <c:v>2162</c:v>
                </c:pt>
                <c:pt idx="9">
                  <c:v>2234</c:v>
                </c:pt>
                <c:pt idx="10">
                  <c:v>1923</c:v>
                </c:pt>
                <c:pt idx="11">
                  <c:v>2125</c:v>
                </c:pt>
                <c:pt idx="12">
                  <c:v>1981</c:v>
                </c:pt>
                <c:pt idx="13">
                  <c:v>2212</c:v>
                </c:pt>
                <c:pt idx="14">
                  <c:v>2422</c:v>
                </c:pt>
                <c:pt idx="15">
                  <c:v>2468</c:v>
                </c:pt>
                <c:pt idx="16">
                  <c:v>2378</c:v>
                </c:pt>
                <c:pt idx="17">
                  <c:v>2641</c:v>
                </c:pt>
                <c:pt idx="18">
                  <c:v>2501</c:v>
                </c:pt>
                <c:pt idx="19">
                  <c:v>2229</c:v>
                </c:pt>
                <c:pt idx="20">
                  <c:v>2781</c:v>
                </c:pt>
                <c:pt idx="21">
                  <c:v>2354</c:v>
                </c:pt>
                <c:pt idx="22">
                  <c:v>2289</c:v>
                </c:pt>
                <c:pt idx="23">
                  <c:v>2568</c:v>
                </c:pt>
                <c:pt idx="24">
                  <c:v>2729</c:v>
                </c:pt>
                <c:pt idx="25">
                  <c:v>2764</c:v>
                </c:pt>
                <c:pt idx="26">
                  <c:v>2731</c:v>
                </c:pt>
                <c:pt idx="27">
                  <c:v>2193</c:v>
                </c:pt>
                <c:pt idx="28">
                  <c:v>3218</c:v>
                </c:pt>
                <c:pt idx="29">
                  <c:v>3067</c:v>
                </c:pt>
                <c:pt idx="30">
                  <c:v>2805</c:v>
                </c:pt>
                <c:pt idx="31">
                  <c:v>2882</c:v>
                </c:pt>
                <c:pt idx="32">
                  <c:v>2787</c:v>
                </c:pt>
                <c:pt idx="33">
                  <c:v>2939</c:v>
                </c:pt>
                <c:pt idx="34">
                  <c:v>3260</c:v>
                </c:pt>
                <c:pt idx="35">
                  <c:v>3162</c:v>
                </c:pt>
                <c:pt idx="36">
                  <c:v>2571</c:v>
                </c:pt>
                <c:pt idx="37">
                  <c:v>2848</c:v>
                </c:pt>
                <c:pt idx="38">
                  <c:v>3009</c:v>
                </c:pt>
                <c:pt idx="39">
                  <c:v>3358</c:v>
                </c:pt>
                <c:pt idx="40">
                  <c:v>2975</c:v>
                </c:pt>
                <c:pt idx="41">
                  <c:v>3194</c:v>
                </c:pt>
                <c:pt idx="42">
                  <c:v>3371</c:v>
                </c:pt>
                <c:pt idx="43">
                  <c:v>2837</c:v>
                </c:pt>
                <c:pt idx="44">
                  <c:v>2741</c:v>
                </c:pt>
                <c:pt idx="45">
                  <c:v>2799</c:v>
                </c:pt>
                <c:pt idx="46">
                  <c:v>3037</c:v>
                </c:pt>
                <c:pt idx="47">
                  <c:v>2768</c:v>
                </c:pt>
                <c:pt idx="48">
                  <c:v>2953</c:v>
                </c:pt>
                <c:pt idx="49">
                  <c:v>3391</c:v>
                </c:pt>
                <c:pt idx="50">
                  <c:v>3419</c:v>
                </c:pt>
                <c:pt idx="51">
                  <c:v>3322</c:v>
                </c:pt>
                <c:pt idx="52">
                  <c:v>3447</c:v>
                </c:pt>
                <c:pt idx="53">
                  <c:v>3089</c:v>
                </c:pt>
                <c:pt idx="54">
                  <c:v>3580</c:v>
                </c:pt>
                <c:pt idx="55">
                  <c:v>3344</c:v>
                </c:pt>
                <c:pt idx="56">
                  <c:v>3679</c:v>
                </c:pt>
                <c:pt idx="57">
                  <c:v>3156</c:v>
                </c:pt>
                <c:pt idx="58">
                  <c:v>3513</c:v>
                </c:pt>
                <c:pt idx="59">
                  <c:v>3611</c:v>
                </c:pt>
                <c:pt idx="60">
                  <c:v>3239</c:v>
                </c:pt>
                <c:pt idx="61">
                  <c:v>3818</c:v>
                </c:pt>
                <c:pt idx="62">
                  <c:v>2969</c:v>
                </c:pt>
                <c:pt idx="63">
                  <c:v>3847</c:v>
                </c:pt>
                <c:pt idx="64">
                  <c:v>3774</c:v>
                </c:pt>
                <c:pt idx="65">
                  <c:v>3671</c:v>
                </c:pt>
                <c:pt idx="66">
                  <c:v>3229</c:v>
                </c:pt>
                <c:pt idx="67">
                  <c:v>3750</c:v>
                </c:pt>
                <c:pt idx="68">
                  <c:v>3533</c:v>
                </c:pt>
                <c:pt idx="69">
                  <c:v>3506</c:v>
                </c:pt>
                <c:pt idx="70">
                  <c:v>3625</c:v>
                </c:pt>
                <c:pt idx="71">
                  <c:v>4025</c:v>
                </c:pt>
                <c:pt idx="72">
                  <c:v>3969</c:v>
                </c:pt>
                <c:pt idx="73">
                  <c:v>4095</c:v>
                </c:pt>
                <c:pt idx="74">
                  <c:v>3796</c:v>
                </c:pt>
                <c:pt idx="75">
                  <c:v>3810</c:v>
                </c:pt>
                <c:pt idx="76">
                  <c:v>3821</c:v>
                </c:pt>
                <c:pt idx="77">
                  <c:v>3730</c:v>
                </c:pt>
                <c:pt idx="78">
                  <c:v>3953</c:v>
                </c:pt>
                <c:pt idx="79">
                  <c:v>3742</c:v>
                </c:pt>
                <c:pt idx="80">
                  <c:v>3942</c:v>
                </c:pt>
                <c:pt idx="81">
                  <c:v>3816</c:v>
                </c:pt>
                <c:pt idx="82">
                  <c:v>3766</c:v>
                </c:pt>
                <c:pt idx="83">
                  <c:v>3904</c:v>
                </c:pt>
                <c:pt idx="84">
                  <c:v>4144</c:v>
                </c:pt>
                <c:pt idx="85">
                  <c:v>4019</c:v>
                </c:pt>
                <c:pt idx="86">
                  <c:v>3793</c:v>
                </c:pt>
                <c:pt idx="87">
                  <c:v>5017</c:v>
                </c:pt>
                <c:pt idx="88">
                  <c:v>4415</c:v>
                </c:pt>
                <c:pt idx="89">
                  <c:v>4158</c:v>
                </c:pt>
                <c:pt idx="90">
                  <c:v>4059</c:v>
                </c:pt>
                <c:pt idx="91">
                  <c:v>3917</c:v>
                </c:pt>
                <c:pt idx="92">
                  <c:v>4057</c:v>
                </c:pt>
                <c:pt idx="93">
                  <c:v>4028</c:v>
                </c:pt>
                <c:pt idx="94">
                  <c:v>4121</c:v>
                </c:pt>
                <c:pt idx="95">
                  <c:v>4485</c:v>
                </c:pt>
                <c:pt idx="96">
                  <c:v>4094</c:v>
                </c:pt>
                <c:pt idx="97">
                  <c:v>4014</c:v>
                </c:pt>
                <c:pt idx="98">
                  <c:v>3857</c:v>
                </c:pt>
                <c:pt idx="99">
                  <c:v>4407</c:v>
                </c:pt>
                <c:pt idx="100">
                  <c:v>4410</c:v>
                </c:pt>
                <c:pt idx="101">
                  <c:v>4736</c:v>
                </c:pt>
                <c:pt idx="102">
                  <c:v>4538</c:v>
                </c:pt>
                <c:pt idx="103">
                  <c:v>4109</c:v>
                </c:pt>
                <c:pt idx="104">
                  <c:v>4378</c:v>
                </c:pt>
                <c:pt idx="105">
                  <c:v>4272</c:v>
                </c:pt>
                <c:pt idx="106">
                  <c:v>4210</c:v>
                </c:pt>
                <c:pt idx="107">
                  <c:v>4328</c:v>
                </c:pt>
                <c:pt idx="108">
                  <c:v>4431</c:v>
                </c:pt>
                <c:pt idx="109">
                  <c:v>4271</c:v>
                </c:pt>
                <c:pt idx="110">
                  <c:v>4303</c:v>
                </c:pt>
                <c:pt idx="111">
                  <c:v>4216</c:v>
                </c:pt>
                <c:pt idx="112">
                  <c:v>4674</c:v>
                </c:pt>
                <c:pt idx="113">
                  <c:v>4768</c:v>
                </c:pt>
                <c:pt idx="114">
                  <c:v>4448</c:v>
                </c:pt>
                <c:pt idx="115">
                  <c:v>4752</c:v>
                </c:pt>
                <c:pt idx="116">
                  <c:v>4498</c:v>
                </c:pt>
                <c:pt idx="117">
                  <c:v>4507</c:v>
                </c:pt>
                <c:pt idx="118">
                  <c:v>4542</c:v>
                </c:pt>
                <c:pt idx="119">
                  <c:v>4736</c:v>
                </c:pt>
                <c:pt idx="120">
                  <c:v>4826</c:v>
                </c:pt>
                <c:pt idx="121">
                  <c:v>5175</c:v>
                </c:pt>
                <c:pt idx="122">
                  <c:v>4505</c:v>
                </c:pt>
                <c:pt idx="123">
                  <c:v>4065</c:v>
                </c:pt>
                <c:pt idx="124">
                  <c:v>4865</c:v>
                </c:pt>
                <c:pt idx="125">
                  <c:v>4526</c:v>
                </c:pt>
                <c:pt idx="126">
                  <c:v>4604</c:v>
                </c:pt>
                <c:pt idx="127">
                  <c:v>4485</c:v>
                </c:pt>
                <c:pt idx="128">
                  <c:v>4294</c:v>
                </c:pt>
                <c:pt idx="129">
                  <c:v>5062</c:v>
                </c:pt>
                <c:pt idx="130">
                  <c:v>4565</c:v>
                </c:pt>
                <c:pt idx="131">
                  <c:v>4937</c:v>
                </c:pt>
                <c:pt idx="132">
                  <c:v>4589</c:v>
                </c:pt>
                <c:pt idx="133">
                  <c:v>5074</c:v>
                </c:pt>
                <c:pt idx="134">
                  <c:v>4717</c:v>
                </c:pt>
                <c:pt idx="135">
                  <c:v>4960</c:v>
                </c:pt>
                <c:pt idx="136">
                  <c:v>4168</c:v>
                </c:pt>
                <c:pt idx="137">
                  <c:v>4690</c:v>
                </c:pt>
                <c:pt idx="138">
                  <c:v>4735</c:v>
                </c:pt>
                <c:pt idx="139">
                  <c:v>4773</c:v>
                </c:pt>
                <c:pt idx="140">
                  <c:v>4373</c:v>
                </c:pt>
                <c:pt idx="141">
                  <c:v>4747</c:v>
                </c:pt>
                <c:pt idx="142">
                  <c:v>5138</c:v>
                </c:pt>
                <c:pt idx="143">
                  <c:v>4174</c:v>
                </c:pt>
                <c:pt idx="144">
                  <c:v>4988</c:v>
                </c:pt>
                <c:pt idx="145">
                  <c:v>4778</c:v>
                </c:pt>
                <c:pt idx="146">
                  <c:v>4250</c:v>
                </c:pt>
                <c:pt idx="147">
                  <c:v>4877</c:v>
                </c:pt>
                <c:pt idx="148">
                  <c:v>4946</c:v>
                </c:pt>
                <c:pt idx="149">
                  <c:v>5087</c:v>
                </c:pt>
                <c:pt idx="150">
                  <c:v>4912</c:v>
                </c:pt>
                <c:pt idx="151">
                  <c:v>4995</c:v>
                </c:pt>
                <c:pt idx="152">
                  <c:v>5031</c:v>
                </c:pt>
                <c:pt idx="153">
                  <c:v>4932</c:v>
                </c:pt>
                <c:pt idx="154">
                  <c:v>5267</c:v>
                </c:pt>
                <c:pt idx="155">
                  <c:v>5205</c:v>
                </c:pt>
                <c:pt idx="156">
                  <c:v>4882</c:v>
                </c:pt>
                <c:pt idx="157">
                  <c:v>5333</c:v>
                </c:pt>
                <c:pt idx="158">
                  <c:v>5459</c:v>
                </c:pt>
                <c:pt idx="159">
                  <c:v>5377</c:v>
                </c:pt>
                <c:pt idx="160">
                  <c:v>4960</c:v>
                </c:pt>
                <c:pt idx="161">
                  <c:v>5217</c:v>
                </c:pt>
                <c:pt idx="162">
                  <c:v>4674</c:v>
                </c:pt>
                <c:pt idx="163">
                  <c:v>5304</c:v>
                </c:pt>
                <c:pt idx="164">
                  <c:v>4934</c:v>
                </c:pt>
                <c:pt idx="165">
                  <c:v>5504</c:v>
                </c:pt>
                <c:pt idx="166">
                  <c:v>5718</c:v>
                </c:pt>
                <c:pt idx="167">
                  <c:v>5126</c:v>
                </c:pt>
                <c:pt idx="168">
                  <c:v>5378</c:v>
                </c:pt>
                <c:pt idx="169">
                  <c:v>5155</c:v>
                </c:pt>
                <c:pt idx="170">
                  <c:v>5001</c:v>
                </c:pt>
                <c:pt idx="171">
                  <c:v>5359</c:v>
                </c:pt>
                <c:pt idx="172">
                  <c:v>5247</c:v>
                </c:pt>
                <c:pt idx="173">
                  <c:v>4896</c:v>
                </c:pt>
                <c:pt idx="174">
                  <c:v>5357</c:v>
                </c:pt>
                <c:pt idx="175">
                  <c:v>5079</c:v>
                </c:pt>
                <c:pt idx="176">
                  <c:v>5213</c:v>
                </c:pt>
                <c:pt idx="177">
                  <c:v>5242</c:v>
                </c:pt>
                <c:pt idx="178">
                  <c:v>5467</c:v>
                </c:pt>
                <c:pt idx="179">
                  <c:v>5182</c:v>
                </c:pt>
                <c:pt idx="180">
                  <c:v>5321</c:v>
                </c:pt>
                <c:pt idx="181">
                  <c:v>5440</c:v>
                </c:pt>
                <c:pt idx="182">
                  <c:v>5501</c:v>
                </c:pt>
                <c:pt idx="183">
                  <c:v>5408</c:v>
                </c:pt>
                <c:pt idx="184">
                  <c:v>5397</c:v>
                </c:pt>
                <c:pt idx="185">
                  <c:v>5528</c:v>
                </c:pt>
                <c:pt idx="186">
                  <c:v>5436</c:v>
                </c:pt>
                <c:pt idx="187">
                  <c:v>5362</c:v>
                </c:pt>
                <c:pt idx="188">
                  <c:v>5065</c:v>
                </c:pt>
                <c:pt idx="189">
                  <c:v>5552</c:v>
                </c:pt>
                <c:pt idx="190">
                  <c:v>5861</c:v>
                </c:pt>
                <c:pt idx="191">
                  <c:v>5064</c:v>
                </c:pt>
                <c:pt idx="192">
                  <c:v>5428</c:v>
                </c:pt>
                <c:pt idx="193">
                  <c:v>5395</c:v>
                </c:pt>
                <c:pt idx="194">
                  <c:v>5344</c:v>
                </c:pt>
                <c:pt idx="195">
                  <c:v>5710</c:v>
                </c:pt>
                <c:pt idx="196">
                  <c:v>5426</c:v>
                </c:pt>
                <c:pt idx="197">
                  <c:v>5534</c:v>
                </c:pt>
                <c:pt idx="198">
                  <c:v>5371</c:v>
                </c:pt>
                <c:pt idx="199">
                  <c:v>5784</c:v>
                </c:pt>
                <c:pt idx="200">
                  <c:v>5591</c:v>
                </c:pt>
                <c:pt idx="201">
                  <c:v>5862</c:v>
                </c:pt>
                <c:pt idx="202">
                  <c:v>5885</c:v>
                </c:pt>
                <c:pt idx="203">
                  <c:v>5284</c:v>
                </c:pt>
                <c:pt idx="204">
                  <c:v>5659</c:v>
                </c:pt>
                <c:pt idx="205">
                  <c:v>5943</c:v>
                </c:pt>
                <c:pt idx="206">
                  <c:v>5969</c:v>
                </c:pt>
                <c:pt idx="207">
                  <c:v>5383</c:v>
                </c:pt>
                <c:pt idx="208">
                  <c:v>5941</c:v>
                </c:pt>
                <c:pt idx="209">
                  <c:v>5317</c:v>
                </c:pt>
                <c:pt idx="210">
                  <c:v>5348</c:v>
                </c:pt>
                <c:pt idx="211">
                  <c:v>5994</c:v>
                </c:pt>
                <c:pt idx="212">
                  <c:v>6031</c:v>
                </c:pt>
                <c:pt idx="213">
                  <c:v>6033</c:v>
                </c:pt>
                <c:pt idx="214">
                  <c:v>5382</c:v>
                </c:pt>
                <c:pt idx="215">
                  <c:v>5307</c:v>
                </c:pt>
                <c:pt idx="216">
                  <c:v>5948</c:v>
                </c:pt>
                <c:pt idx="217">
                  <c:v>5410</c:v>
                </c:pt>
                <c:pt idx="218">
                  <c:v>5633</c:v>
                </c:pt>
                <c:pt idx="219">
                  <c:v>5987</c:v>
                </c:pt>
                <c:pt idx="220">
                  <c:v>6075</c:v>
                </c:pt>
                <c:pt idx="221">
                  <c:v>5643</c:v>
                </c:pt>
                <c:pt idx="222">
                  <c:v>6086</c:v>
                </c:pt>
                <c:pt idx="223">
                  <c:v>5507</c:v>
                </c:pt>
                <c:pt idx="224">
                  <c:v>5839</c:v>
                </c:pt>
                <c:pt idx="225">
                  <c:v>5872</c:v>
                </c:pt>
                <c:pt idx="226">
                  <c:v>5752</c:v>
                </c:pt>
                <c:pt idx="227">
                  <c:v>5633</c:v>
                </c:pt>
                <c:pt idx="228">
                  <c:v>5747</c:v>
                </c:pt>
                <c:pt idx="229">
                  <c:v>5813</c:v>
                </c:pt>
                <c:pt idx="230">
                  <c:v>6046</c:v>
                </c:pt>
                <c:pt idx="231">
                  <c:v>6033</c:v>
                </c:pt>
                <c:pt idx="232">
                  <c:v>6089</c:v>
                </c:pt>
                <c:pt idx="233">
                  <c:v>6258</c:v>
                </c:pt>
                <c:pt idx="234">
                  <c:v>6122</c:v>
                </c:pt>
                <c:pt idx="235">
                  <c:v>5962</c:v>
                </c:pt>
                <c:pt idx="236">
                  <c:v>5831</c:v>
                </c:pt>
                <c:pt idx="237">
                  <c:v>5912</c:v>
                </c:pt>
                <c:pt idx="238">
                  <c:v>5793</c:v>
                </c:pt>
                <c:pt idx="239">
                  <c:v>5725</c:v>
                </c:pt>
                <c:pt idx="240">
                  <c:v>6220</c:v>
                </c:pt>
                <c:pt idx="241">
                  <c:v>5970</c:v>
                </c:pt>
                <c:pt idx="242">
                  <c:v>6482</c:v>
                </c:pt>
                <c:pt idx="243">
                  <c:v>5706</c:v>
                </c:pt>
                <c:pt idx="244">
                  <c:v>6252</c:v>
                </c:pt>
                <c:pt idx="245">
                  <c:v>5993</c:v>
                </c:pt>
                <c:pt idx="246">
                  <c:v>6171</c:v>
                </c:pt>
                <c:pt idx="247">
                  <c:v>5949</c:v>
                </c:pt>
                <c:pt idx="248">
                  <c:v>6742</c:v>
                </c:pt>
                <c:pt idx="249">
                  <c:v>5634</c:v>
                </c:pt>
                <c:pt idx="250">
                  <c:v>5969</c:v>
                </c:pt>
                <c:pt idx="251">
                  <c:v>5744</c:v>
                </c:pt>
                <c:pt idx="252">
                  <c:v>6463</c:v>
                </c:pt>
                <c:pt idx="253">
                  <c:v>5547</c:v>
                </c:pt>
                <c:pt idx="254">
                  <c:v>6122</c:v>
                </c:pt>
                <c:pt idx="255">
                  <c:v>6279</c:v>
                </c:pt>
                <c:pt idx="256">
                  <c:v>5991</c:v>
                </c:pt>
                <c:pt idx="257">
                  <c:v>6159</c:v>
                </c:pt>
                <c:pt idx="258">
                  <c:v>6346</c:v>
                </c:pt>
                <c:pt idx="259">
                  <c:v>6445</c:v>
                </c:pt>
                <c:pt idx="260">
                  <c:v>6542</c:v>
                </c:pt>
                <c:pt idx="261">
                  <c:v>6182</c:v>
                </c:pt>
                <c:pt idx="262">
                  <c:v>6436</c:v>
                </c:pt>
                <c:pt idx="263">
                  <c:v>5811</c:v>
                </c:pt>
                <c:pt idx="264">
                  <c:v>5947</c:v>
                </c:pt>
                <c:pt idx="265">
                  <c:v>6586</c:v>
                </c:pt>
                <c:pt idx="266">
                  <c:v>6152</c:v>
                </c:pt>
                <c:pt idx="267">
                  <c:v>6212</c:v>
                </c:pt>
                <c:pt idx="268">
                  <c:v>6423</c:v>
                </c:pt>
                <c:pt idx="269">
                  <c:v>6236</c:v>
                </c:pt>
                <c:pt idx="270">
                  <c:v>6232</c:v>
                </c:pt>
                <c:pt idx="271">
                  <c:v>6497</c:v>
                </c:pt>
                <c:pt idx="272">
                  <c:v>6615</c:v>
                </c:pt>
                <c:pt idx="273">
                  <c:v>6402</c:v>
                </c:pt>
                <c:pt idx="274">
                  <c:v>6341</c:v>
                </c:pt>
                <c:pt idx="275">
                  <c:v>6185</c:v>
                </c:pt>
                <c:pt idx="276">
                  <c:v>6549</c:v>
                </c:pt>
                <c:pt idx="277">
                  <c:v>6439</c:v>
                </c:pt>
                <c:pt idx="278">
                  <c:v>6606</c:v>
                </c:pt>
                <c:pt idx="279">
                  <c:v>6486</c:v>
                </c:pt>
                <c:pt idx="280">
                  <c:v>6285</c:v>
                </c:pt>
                <c:pt idx="281">
                  <c:v>6657</c:v>
                </c:pt>
                <c:pt idx="282">
                  <c:v>6554</c:v>
                </c:pt>
                <c:pt idx="283">
                  <c:v>6258</c:v>
                </c:pt>
                <c:pt idx="284">
                  <c:v>6329</c:v>
                </c:pt>
                <c:pt idx="285">
                  <c:v>6438</c:v>
                </c:pt>
                <c:pt idx="286">
                  <c:v>6078</c:v>
                </c:pt>
                <c:pt idx="287">
                  <c:v>6566</c:v>
                </c:pt>
                <c:pt idx="288">
                  <c:v>6661</c:v>
                </c:pt>
                <c:pt idx="289">
                  <c:v>6512</c:v>
                </c:pt>
                <c:pt idx="290">
                  <c:v>6313</c:v>
                </c:pt>
                <c:pt idx="291">
                  <c:v>6335</c:v>
                </c:pt>
                <c:pt idx="292">
                  <c:v>6540</c:v>
                </c:pt>
                <c:pt idx="293">
                  <c:v>6541</c:v>
                </c:pt>
                <c:pt idx="294">
                  <c:v>6828</c:v>
                </c:pt>
                <c:pt idx="295">
                  <c:v>6410</c:v>
                </c:pt>
                <c:pt idx="296">
                  <c:v>6626</c:v>
                </c:pt>
                <c:pt idx="297">
                  <c:v>6363</c:v>
                </c:pt>
                <c:pt idx="298">
                  <c:v>6758</c:v>
                </c:pt>
                <c:pt idx="299">
                  <c:v>6854</c:v>
                </c:pt>
                <c:pt idx="300">
                  <c:v>6520</c:v>
                </c:pt>
                <c:pt idx="301">
                  <c:v>6793</c:v>
                </c:pt>
                <c:pt idx="302">
                  <c:v>6788</c:v>
                </c:pt>
                <c:pt idx="303">
                  <c:v>6971</c:v>
                </c:pt>
                <c:pt idx="304">
                  <c:v>6422</c:v>
                </c:pt>
                <c:pt idx="305">
                  <c:v>6182</c:v>
                </c:pt>
                <c:pt idx="306">
                  <c:v>6828</c:v>
                </c:pt>
                <c:pt idx="307">
                  <c:v>6299</c:v>
                </c:pt>
                <c:pt idx="308">
                  <c:v>6496</c:v>
                </c:pt>
                <c:pt idx="309">
                  <c:v>6599</c:v>
                </c:pt>
                <c:pt idx="310">
                  <c:v>7030</c:v>
                </c:pt>
                <c:pt idx="311">
                  <c:v>6431</c:v>
                </c:pt>
                <c:pt idx="312">
                  <c:v>6959</c:v>
                </c:pt>
                <c:pt idx="313">
                  <c:v>6835</c:v>
                </c:pt>
                <c:pt idx="314">
                  <c:v>6966</c:v>
                </c:pt>
                <c:pt idx="315">
                  <c:v>7146</c:v>
                </c:pt>
                <c:pt idx="316">
                  <c:v>6990</c:v>
                </c:pt>
                <c:pt idx="317">
                  <c:v>6919</c:v>
                </c:pt>
                <c:pt idx="318">
                  <c:v>6797</c:v>
                </c:pt>
                <c:pt idx="319">
                  <c:v>6485</c:v>
                </c:pt>
                <c:pt idx="320">
                  <c:v>7043</c:v>
                </c:pt>
                <c:pt idx="321">
                  <c:v>6848</c:v>
                </c:pt>
                <c:pt idx="322">
                  <c:v>7029</c:v>
                </c:pt>
                <c:pt idx="323">
                  <c:v>6519</c:v>
                </c:pt>
                <c:pt idx="324">
                  <c:v>6800</c:v>
                </c:pt>
                <c:pt idx="325">
                  <c:v>7064</c:v>
                </c:pt>
                <c:pt idx="326">
                  <c:v>6967</c:v>
                </c:pt>
                <c:pt idx="327">
                  <c:v>7469</c:v>
                </c:pt>
                <c:pt idx="328">
                  <c:v>6978</c:v>
                </c:pt>
                <c:pt idx="329">
                  <c:v>7316</c:v>
                </c:pt>
                <c:pt idx="330">
                  <c:v>7151</c:v>
                </c:pt>
                <c:pt idx="331">
                  <c:v>7332</c:v>
                </c:pt>
                <c:pt idx="332">
                  <c:v>7409</c:v>
                </c:pt>
                <c:pt idx="333">
                  <c:v>7112</c:v>
                </c:pt>
                <c:pt idx="334">
                  <c:v>6758</c:v>
                </c:pt>
                <c:pt idx="335">
                  <c:v>7739</c:v>
                </c:pt>
                <c:pt idx="336">
                  <c:v>7511</c:v>
                </c:pt>
                <c:pt idx="337">
                  <c:v>7480</c:v>
                </c:pt>
                <c:pt idx="338">
                  <c:v>7394</c:v>
                </c:pt>
                <c:pt idx="339">
                  <c:v>7594</c:v>
                </c:pt>
                <c:pt idx="340">
                  <c:v>7931</c:v>
                </c:pt>
                <c:pt idx="341">
                  <c:v>8181</c:v>
                </c:pt>
                <c:pt idx="342">
                  <c:v>7558</c:v>
                </c:pt>
                <c:pt idx="343">
                  <c:v>7820</c:v>
                </c:pt>
                <c:pt idx="344">
                  <c:v>7560</c:v>
                </c:pt>
                <c:pt idx="345">
                  <c:v>7504</c:v>
                </c:pt>
                <c:pt idx="346">
                  <c:v>7741</c:v>
                </c:pt>
                <c:pt idx="347">
                  <c:v>7976</c:v>
                </c:pt>
                <c:pt idx="348">
                  <c:v>7718</c:v>
                </c:pt>
                <c:pt idx="349">
                  <c:v>8094</c:v>
                </c:pt>
                <c:pt idx="350">
                  <c:v>7570</c:v>
                </c:pt>
                <c:pt idx="351">
                  <c:v>7820</c:v>
                </c:pt>
                <c:pt idx="352">
                  <c:v>8075</c:v>
                </c:pt>
                <c:pt idx="353">
                  <c:v>8097</c:v>
                </c:pt>
                <c:pt idx="354">
                  <c:v>8098</c:v>
                </c:pt>
                <c:pt idx="355">
                  <c:v>8002</c:v>
                </c:pt>
                <c:pt idx="356">
                  <c:v>8283</c:v>
                </c:pt>
                <c:pt idx="357">
                  <c:v>8095</c:v>
                </c:pt>
                <c:pt idx="358">
                  <c:v>8250</c:v>
                </c:pt>
                <c:pt idx="359">
                  <c:v>8412</c:v>
                </c:pt>
                <c:pt idx="360">
                  <c:v>8513</c:v>
                </c:pt>
                <c:pt idx="361">
                  <c:v>8708</c:v>
                </c:pt>
                <c:pt idx="362">
                  <c:v>8929</c:v>
                </c:pt>
                <c:pt idx="363">
                  <c:v>8191</c:v>
                </c:pt>
                <c:pt idx="364">
                  <c:v>8502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83-40C8-8E9F-4E8A3DD1E89A}"/>
            </c:ext>
          </c:extLst>
        </c:ser>
        <c:ser>
          <c:idx val="1"/>
          <c:order val="1"/>
          <c:tx>
            <c:v>Smoothing Data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'Probability Distribution'!$A$2:$A$366</c:f>
              <c:numCache>
                <c:formatCode>General</c:formatCode>
                <c:ptCount val="365"/>
                <c:pt idx="0">
                  <c:v>39</c:v>
                </c:pt>
                <c:pt idx="1">
                  <c:v>40</c:v>
                </c:pt>
                <c:pt idx="2">
                  <c:v>41</c:v>
                </c:pt>
                <c:pt idx="3">
                  <c:v>42</c:v>
                </c:pt>
                <c:pt idx="4">
                  <c:v>43</c:v>
                </c:pt>
                <c:pt idx="5">
                  <c:v>43</c:v>
                </c:pt>
                <c:pt idx="6">
                  <c:v>44</c:v>
                </c:pt>
                <c:pt idx="7">
                  <c:v>44</c:v>
                </c:pt>
                <c:pt idx="8">
                  <c:v>45</c:v>
                </c:pt>
                <c:pt idx="9">
                  <c:v>45</c:v>
                </c:pt>
                <c:pt idx="10">
                  <c:v>45</c:v>
                </c:pt>
                <c:pt idx="11">
                  <c:v>46</c:v>
                </c:pt>
                <c:pt idx="12">
                  <c:v>46</c:v>
                </c:pt>
                <c:pt idx="13">
                  <c:v>47</c:v>
                </c:pt>
                <c:pt idx="14">
                  <c:v>48</c:v>
                </c:pt>
                <c:pt idx="15">
                  <c:v>48</c:v>
                </c:pt>
                <c:pt idx="16">
                  <c:v>48</c:v>
                </c:pt>
                <c:pt idx="17">
                  <c:v>48</c:v>
                </c:pt>
                <c:pt idx="18">
                  <c:v>48</c:v>
                </c:pt>
                <c:pt idx="19">
                  <c:v>48</c:v>
                </c:pt>
                <c:pt idx="20">
                  <c:v>49</c:v>
                </c:pt>
                <c:pt idx="21">
                  <c:v>49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51</c:v>
                </c:pt>
                <c:pt idx="28">
                  <c:v>51</c:v>
                </c:pt>
                <c:pt idx="29">
                  <c:v>52</c:v>
                </c:pt>
                <c:pt idx="30">
                  <c:v>52</c:v>
                </c:pt>
                <c:pt idx="31">
                  <c:v>52</c:v>
                </c:pt>
                <c:pt idx="32">
                  <c:v>52</c:v>
                </c:pt>
                <c:pt idx="33">
                  <c:v>52</c:v>
                </c:pt>
                <c:pt idx="34">
                  <c:v>53</c:v>
                </c:pt>
                <c:pt idx="35">
                  <c:v>53</c:v>
                </c:pt>
                <c:pt idx="36">
                  <c:v>53</c:v>
                </c:pt>
                <c:pt idx="37">
                  <c:v>53</c:v>
                </c:pt>
                <c:pt idx="38">
                  <c:v>54</c:v>
                </c:pt>
                <c:pt idx="39">
                  <c:v>54</c:v>
                </c:pt>
                <c:pt idx="40">
                  <c:v>54</c:v>
                </c:pt>
                <c:pt idx="41">
                  <c:v>54</c:v>
                </c:pt>
                <c:pt idx="42">
                  <c:v>54</c:v>
                </c:pt>
                <c:pt idx="43">
                  <c:v>54</c:v>
                </c:pt>
                <c:pt idx="44">
                  <c:v>54</c:v>
                </c:pt>
                <c:pt idx="45">
                  <c:v>54</c:v>
                </c:pt>
                <c:pt idx="46">
                  <c:v>54</c:v>
                </c:pt>
                <c:pt idx="47">
                  <c:v>55</c:v>
                </c:pt>
                <c:pt idx="48">
                  <c:v>55</c:v>
                </c:pt>
                <c:pt idx="49">
                  <c:v>55</c:v>
                </c:pt>
                <c:pt idx="50">
                  <c:v>55</c:v>
                </c:pt>
                <c:pt idx="51">
                  <c:v>56</c:v>
                </c:pt>
                <c:pt idx="52">
                  <c:v>56</c:v>
                </c:pt>
                <c:pt idx="53">
                  <c:v>57</c:v>
                </c:pt>
                <c:pt idx="54">
                  <c:v>57</c:v>
                </c:pt>
                <c:pt idx="55">
                  <c:v>58</c:v>
                </c:pt>
                <c:pt idx="56">
                  <c:v>58</c:v>
                </c:pt>
                <c:pt idx="57">
                  <c:v>58</c:v>
                </c:pt>
                <c:pt idx="58">
                  <c:v>58</c:v>
                </c:pt>
                <c:pt idx="59">
                  <c:v>58</c:v>
                </c:pt>
                <c:pt idx="60">
                  <c:v>58</c:v>
                </c:pt>
                <c:pt idx="61">
                  <c:v>59</c:v>
                </c:pt>
                <c:pt idx="62">
                  <c:v>59</c:v>
                </c:pt>
                <c:pt idx="63">
                  <c:v>59</c:v>
                </c:pt>
                <c:pt idx="64">
                  <c:v>59</c:v>
                </c:pt>
                <c:pt idx="65">
                  <c:v>59</c:v>
                </c:pt>
                <c:pt idx="66">
                  <c:v>59</c:v>
                </c:pt>
                <c:pt idx="67">
                  <c:v>59</c:v>
                </c:pt>
                <c:pt idx="68">
                  <c:v>59</c:v>
                </c:pt>
                <c:pt idx="69">
                  <c:v>60</c:v>
                </c:pt>
                <c:pt idx="70">
                  <c:v>60</c:v>
                </c:pt>
                <c:pt idx="71">
                  <c:v>60</c:v>
                </c:pt>
                <c:pt idx="72">
                  <c:v>60</c:v>
                </c:pt>
                <c:pt idx="73">
                  <c:v>60</c:v>
                </c:pt>
                <c:pt idx="74">
                  <c:v>61</c:v>
                </c:pt>
                <c:pt idx="75">
                  <c:v>61</c:v>
                </c:pt>
                <c:pt idx="76">
                  <c:v>61</c:v>
                </c:pt>
                <c:pt idx="77">
                  <c:v>61</c:v>
                </c:pt>
                <c:pt idx="78">
                  <c:v>61</c:v>
                </c:pt>
                <c:pt idx="79">
                  <c:v>61</c:v>
                </c:pt>
                <c:pt idx="80">
                  <c:v>61</c:v>
                </c:pt>
                <c:pt idx="81">
                  <c:v>61</c:v>
                </c:pt>
                <c:pt idx="82">
                  <c:v>61</c:v>
                </c:pt>
                <c:pt idx="83">
                  <c:v>62</c:v>
                </c:pt>
                <c:pt idx="84">
                  <c:v>62</c:v>
                </c:pt>
                <c:pt idx="85">
                  <c:v>62</c:v>
                </c:pt>
                <c:pt idx="86">
                  <c:v>62</c:v>
                </c:pt>
                <c:pt idx="87">
                  <c:v>63</c:v>
                </c:pt>
                <c:pt idx="88">
                  <c:v>63</c:v>
                </c:pt>
                <c:pt idx="89">
                  <c:v>63</c:v>
                </c:pt>
                <c:pt idx="90">
                  <c:v>63</c:v>
                </c:pt>
                <c:pt idx="91">
                  <c:v>63</c:v>
                </c:pt>
                <c:pt idx="92">
                  <c:v>64</c:v>
                </c:pt>
                <c:pt idx="93">
                  <c:v>64</c:v>
                </c:pt>
                <c:pt idx="94">
                  <c:v>64</c:v>
                </c:pt>
                <c:pt idx="95">
                  <c:v>64</c:v>
                </c:pt>
                <c:pt idx="96">
                  <c:v>64</c:v>
                </c:pt>
                <c:pt idx="97">
                  <c:v>64</c:v>
                </c:pt>
                <c:pt idx="98">
                  <c:v>64</c:v>
                </c:pt>
                <c:pt idx="99">
                  <c:v>64</c:v>
                </c:pt>
                <c:pt idx="100">
                  <c:v>64</c:v>
                </c:pt>
                <c:pt idx="101">
                  <c:v>65</c:v>
                </c:pt>
                <c:pt idx="102">
                  <c:v>65</c:v>
                </c:pt>
                <c:pt idx="103">
                  <c:v>65</c:v>
                </c:pt>
                <c:pt idx="104">
                  <c:v>65</c:v>
                </c:pt>
                <c:pt idx="105">
                  <c:v>65</c:v>
                </c:pt>
                <c:pt idx="106">
                  <c:v>65</c:v>
                </c:pt>
                <c:pt idx="107">
                  <c:v>65</c:v>
                </c:pt>
                <c:pt idx="108">
                  <c:v>65</c:v>
                </c:pt>
                <c:pt idx="109">
                  <c:v>65</c:v>
                </c:pt>
                <c:pt idx="110">
                  <c:v>66</c:v>
                </c:pt>
                <c:pt idx="111">
                  <c:v>66</c:v>
                </c:pt>
                <c:pt idx="112">
                  <c:v>66</c:v>
                </c:pt>
                <c:pt idx="113">
                  <c:v>66</c:v>
                </c:pt>
                <c:pt idx="114">
                  <c:v>66</c:v>
                </c:pt>
                <c:pt idx="115">
                  <c:v>66</c:v>
                </c:pt>
                <c:pt idx="116">
                  <c:v>66</c:v>
                </c:pt>
                <c:pt idx="117">
                  <c:v>66</c:v>
                </c:pt>
                <c:pt idx="118">
                  <c:v>66</c:v>
                </c:pt>
                <c:pt idx="119">
                  <c:v>66</c:v>
                </c:pt>
                <c:pt idx="120">
                  <c:v>66</c:v>
                </c:pt>
                <c:pt idx="121">
                  <c:v>66</c:v>
                </c:pt>
                <c:pt idx="122">
                  <c:v>66</c:v>
                </c:pt>
                <c:pt idx="123">
                  <c:v>66</c:v>
                </c:pt>
                <c:pt idx="124">
                  <c:v>67</c:v>
                </c:pt>
                <c:pt idx="125">
                  <c:v>67</c:v>
                </c:pt>
                <c:pt idx="126">
                  <c:v>67</c:v>
                </c:pt>
                <c:pt idx="127">
                  <c:v>67</c:v>
                </c:pt>
                <c:pt idx="128">
                  <c:v>67</c:v>
                </c:pt>
                <c:pt idx="129">
                  <c:v>67</c:v>
                </c:pt>
                <c:pt idx="130">
                  <c:v>68</c:v>
                </c:pt>
                <c:pt idx="131">
                  <c:v>68</c:v>
                </c:pt>
                <c:pt idx="132">
                  <c:v>68</c:v>
                </c:pt>
                <c:pt idx="133">
                  <c:v>68</c:v>
                </c:pt>
                <c:pt idx="134">
                  <c:v>68</c:v>
                </c:pt>
                <c:pt idx="135">
                  <c:v>68</c:v>
                </c:pt>
                <c:pt idx="136">
                  <c:v>68</c:v>
                </c:pt>
                <c:pt idx="137">
                  <c:v>68</c:v>
                </c:pt>
                <c:pt idx="138">
                  <c:v>68</c:v>
                </c:pt>
                <c:pt idx="139">
                  <c:v>68</c:v>
                </c:pt>
                <c:pt idx="140">
                  <c:v>68</c:v>
                </c:pt>
                <c:pt idx="141">
                  <c:v>68</c:v>
                </c:pt>
                <c:pt idx="142">
                  <c:v>69</c:v>
                </c:pt>
                <c:pt idx="143">
                  <c:v>69</c:v>
                </c:pt>
                <c:pt idx="144">
                  <c:v>69</c:v>
                </c:pt>
                <c:pt idx="145">
                  <c:v>69</c:v>
                </c:pt>
                <c:pt idx="146">
                  <c:v>69</c:v>
                </c:pt>
                <c:pt idx="147">
                  <c:v>69</c:v>
                </c:pt>
                <c:pt idx="148">
                  <c:v>70</c:v>
                </c:pt>
                <c:pt idx="149">
                  <c:v>70</c:v>
                </c:pt>
                <c:pt idx="150">
                  <c:v>70</c:v>
                </c:pt>
                <c:pt idx="151">
                  <c:v>70</c:v>
                </c:pt>
                <c:pt idx="152">
                  <c:v>70</c:v>
                </c:pt>
                <c:pt idx="153">
                  <c:v>70</c:v>
                </c:pt>
                <c:pt idx="154">
                  <c:v>70</c:v>
                </c:pt>
                <c:pt idx="155">
                  <c:v>70</c:v>
                </c:pt>
                <c:pt idx="156">
                  <c:v>70</c:v>
                </c:pt>
                <c:pt idx="157">
                  <c:v>71</c:v>
                </c:pt>
                <c:pt idx="158">
                  <c:v>71</c:v>
                </c:pt>
                <c:pt idx="159">
                  <c:v>71</c:v>
                </c:pt>
                <c:pt idx="160">
                  <c:v>71</c:v>
                </c:pt>
                <c:pt idx="161">
                  <c:v>71</c:v>
                </c:pt>
                <c:pt idx="162">
                  <c:v>71</c:v>
                </c:pt>
                <c:pt idx="163">
                  <c:v>71</c:v>
                </c:pt>
                <c:pt idx="164">
                  <c:v>71</c:v>
                </c:pt>
                <c:pt idx="165">
                  <c:v>71</c:v>
                </c:pt>
                <c:pt idx="166">
                  <c:v>72</c:v>
                </c:pt>
                <c:pt idx="167">
                  <c:v>72</c:v>
                </c:pt>
                <c:pt idx="168">
                  <c:v>72</c:v>
                </c:pt>
                <c:pt idx="169">
                  <c:v>72</c:v>
                </c:pt>
                <c:pt idx="170">
                  <c:v>72</c:v>
                </c:pt>
                <c:pt idx="171">
                  <c:v>72</c:v>
                </c:pt>
                <c:pt idx="172">
                  <c:v>72</c:v>
                </c:pt>
                <c:pt idx="173">
                  <c:v>72</c:v>
                </c:pt>
                <c:pt idx="174">
                  <c:v>72</c:v>
                </c:pt>
                <c:pt idx="175">
                  <c:v>72</c:v>
                </c:pt>
                <c:pt idx="176">
                  <c:v>73</c:v>
                </c:pt>
                <c:pt idx="177">
                  <c:v>73</c:v>
                </c:pt>
                <c:pt idx="178">
                  <c:v>73</c:v>
                </c:pt>
                <c:pt idx="179">
                  <c:v>73</c:v>
                </c:pt>
                <c:pt idx="180">
                  <c:v>73</c:v>
                </c:pt>
                <c:pt idx="181">
                  <c:v>73</c:v>
                </c:pt>
                <c:pt idx="182">
                  <c:v>73</c:v>
                </c:pt>
                <c:pt idx="183">
                  <c:v>73</c:v>
                </c:pt>
                <c:pt idx="184">
                  <c:v>73</c:v>
                </c:pt>
                <c:pt idx="185">
                  <c:v>74</c:v>
                </c:pt>
                <c:pt idx="186">
                  <c:v>74</c:v>
                </c:pt>
                <c:pt idx="187">
                  <c:v>74</c:v>
                </c:pt>
                <c:pt idx="188">
                  <c:v>74</c:v>
                </c:pt>
                <c:pt idx="189">
                  <c:v>74</c:v>
                </c:pt>
                <c:pt idx="190">
                  <c:v>74</c:v>
                </c:pt>
                <c:pt idx="191">
                  <c:v>74</c:v>
                </c:pt>
                <c:pt idx="192">
                  <c:v>74</c:v>
                </c:pt>
                <c:pt idx="193">
                  <c:v>74</c:v>
                </c:pt>
                <c:pt idx="194">
                  <c:v>74</c:v>
                </c:pt>
                <c:pt idx="195">
                  <c:v>74</c:v>
                </c:pt>
                <c:pt idx="196">
                  <c:v>74</c:v>
                </c:pt>
                <c:pt idx="197">
                  <c:v>75</c:v>
                </c:pt>
                <c:pt idx="198">
                  <c:v>75</c:v>
                </c:pt>
                <c:pt idx="199">
                  <c:v>75</c:v>
                </c:pt>
                <c:pt idx="200">
                  <c:v>75</c:v>
                </c:pt>
                <c:pt idx="201">
                  <c:v>75</c:v>
                </c:pt>
                <c:pt idx="202">
                  <c:v>75</c:v>
                </c:pt>
                <c:pt idx="203">
                  <c:v>76</c:v>
                </c:pt>
                <c:pt idx="204">
                  <c:v>76</c:v>
                </c:pt>
                <c:pt idx="205">
                  <c:v>76</c:v>
                </c:pt>
                <c:pt idx="206">
                  <c:v>76</c:v>
                </c:pt>
                <c:pt idx="207">
                  <c:v>76</c:v>
                </c:pt>
                <c:pt idx="208">
                  <c:v>76</c:v>
                </c:pt>
                <c:pt idx="209">
                  <c:v>76</c:v>
                </c:pt>
                <c:pt idx="210">
                  <c:v>76</c:v>
                </c:pt>
                <c:pt idx="211">
                  <c:v>76</c:v>
                </c:pt>
                <c:pt idx="212">
                  <c:v>76</c:v>
                </c:pt>
                <c:pt idx="213">
                  <c:v>76</c:v>
                </c:pt>
                <c:pt idx="214">
                  <c:v>77</c:v>
                </c:pt>
                <c:pt idx="215">
                  <c:v>77</c:v>
                </c:pt>
                <c:pt idx="216">
                  <c:v>77</c:v>
                </c:pt>
                <c:pt idx="217">
                  <c:v>77</c:v>
                </c:pt>
                <c:pt idx="218">
                  <c:v>77</c:v>
                </c:pt>
                <c:pt idx="219">
                  <c:v>77</c:v>
                </c:pt>
                <c:pt idx="220">
                  <c:v>77</c:v>
                </c:pt>
                <c:pt idx="221">
                  <c:v>77</c:v>
                </c:pt>
                <c:pt idx="222">
                  <c:v>77</c:v>
                </c:pt>
                <c:pt idx="223">
                  <c:v>77</c:v>
                </c:pt>
                <c:pt idx="224">
                  <c:v>77</c:v>
                </c:pt>
                <c:pt idx="225">
                  <c:v>77</c:v>
                </c:pt>
                <c:pt idx="226">
                  <c:v>77</c:v>
                </c:pt>
                <c:pt idx="227">
                  <c:v>77</c:v>
                </c:pt>
                <c:pt idx="228">
                  <c:v>77</c:v>
                </c:pt>
                <c:pt idx="229">
                  <c:v>78</c:v>
                </c:pt>
                <c:pt idx="230">
                  <c:v>78</c:v>
                </c:pt>
                <c:pt idx="231">
                  <c:v>78</c:v>
                </c:pt>
                <c:pt idx="232">
                  <c:v>78</c:v>
                </c:pt>
                <c:pt idx="233">
                  <c:v>78</c:v>
                </c:pt>
                <c:pt idx="234">
                  <c:v>78</c:v>
                </c:pt>
                <c:pt idx="235">
                  <c:v>78</c:v>
                </c:pt>
                <c:pt idx="236">
                  <c:v>78</c:v>
                </c:pt>
                <c:pt idx="237">
                  <c:v>78</c:v>
                </c:pt>
                <c:pt idx="238">
                  <c:v>78</c:v>
                </c:pt>
                <c:pt idx="239">
                  <c:v>78</c:v>
                </c:pt>
                <c:pt idx="240">
                  <c:v>78</c:v>
                </c:pt>
                <c:pt idx="241">
                  <c:v>79</c:v>
                </c:pt>
                <c:pt idx="242">
                  <c:v>79</c:v>
                </c:pt>
                <c:pt idx="243">
                  <c:v>79</c:v>
                </c:pt>
                <c:pt idx="244">
                  <c:v>79</c:v>
                </c:pt>
                <c:pt idx="245">
                  <c:v>79</c:v>
                </c:pt>
                <c:pt idx="246">
                  <c:v>79</c:v>
                </c:pt>
                <c:pt idx="247">
                  <c:v>79</c:v>
                </c:pt>
                <c:pt idx="248">
                  <c:v>79</c:v>
                </c:pt>
                <c:pt idx="249">
                  <c:v>79</c:v>
                </c:pt>
                <c:pt idx="250">
                  <c:v>79</c:v>
                </c:pt>
                <c:pt idx="251">
                  <c:v>79</c:v>
                </c:pt>
                <c:pt idx="252">
                  <c:v>79</c:v>
                </c:pt>
                <c:pt idx="253">
                  <c:v>80</c:v>
                </c:pt>
                <c:pt idx="254">
                  <c:v>80</c:v>
                </c:pt>
                <c:pt idx="255">
                  <c:v>80</c:v>
                </c:pt>
                <c:pt idx="256">
                  <c:v>80</c:v>
                </c:pt>
                <c:pt idx="257">
                  <c:v>80</c:v>
                </c:pt>
                <c:pt idx="258">
                  <c:v>80</c:v>
                </c:pt>
                <c:pt idx="259">
                  <c:v>80</c:v>
                </c:pt>
                <c:pt idx="260">
                  <c:v>80</c:v>
                </c:pt>
                <c:pt idx="261">
                  <c:v>80</c:v>
                </c:pt>
                <c:pt idx="262">
                  <c:v>81</c:v>
                </c:pt>
                <c:pt idx="263">
                  <c:v>81</c:v>
                </c:pt>
                <c:pt idx="264">
                  <c:v>81</c:v>
                </c:pt>
                <c:pt idx="265">
                  <c:v>81</c:v>
                </c:pt>
                <c:pt idx="266">
                  <c:v>81</c:v>
                </c:pt>
                <c:pt idx="267">
                  <c:v>81</c:v>
                </c:pt>
                <c:pt idx="268">
                  <c:v>81</c:v>
                </c:pt>
                <c:pt idx="269">
                  <c:v>81</c:v>
                </c:pt>
                <c:pt idx="270">
                  <c:v>81</c:v>
                </c:pt>
                <c:pt idx="271">
                  <c:v>82</c:v>
                </c:pt>
                <c:pt idx="272">
                  <c:v>82</c:v>
                </c:pt>
                <c:pt idx="273">
                  <c:v>82</c:v>
                </c:pt>
                <c:pt idx="274">
                  <c:v>82</c:v>
                </c:pt>
                <c:pt idx="275">
                  <c:v>82</c:v>
                </c:pt>
                <c:pt idx="276">
                  <c:v>82</c:v>
                </c:pt>
                <c:pt idx="277">
                  <c:v>82</c:v>
                </c:pt>
                <c:pt idx="278">
                  <c:v>82</c:v>
                </c:pt>
                <c:pt idx="279">
                  <c:v>82</c:v>
                </c:pt>
                <c:pt idx="280">
                  <c:v>82</c:v>
                </c:pt>
                <c:pt idx="281">
                  <c:v>82</c:v>
                </c:pt>
                <c:pt idx="282">
                  <c:v>83</c:v>
                </c:pt>
                <c:pt idx="283">
                  <c:v>83</c:v>
                </c:pt>
                <c:pt idx="284">
                  <c:v>83</c:v>
                </c:pt>
                <c:pt idx="285">
                  <c:v>83</c:v>
                </c:pt>
                <c:pt idx="286">
                  <c:v>83</c:v>
                </c:pt>
                <c:pt idx="287">
                  <c:v>83</c:v>
                </c:pt>
                <c:pt idx="288">
                  <c:v>84</c:v>
                </c:pt>
                <c:pt idx="289">
                  <c:v>84</c:v>
                </c:pt>
                <c:pt idx="290">
                  <c:v>84</c:v>
                </c:pt>
                <c:pt idx="291">
                  <c:v>84</c:v>
                </c:pt>
                <c:pt idx="292">
                  <c:v>84</c:v>
                </c:pt>
                <c:pt idx="293">
                  <c:v>84</c:v>
                </c:pt>
                <c:pt idx="294">
                  <c:v>84</c:v>
                </c:pt>
                <c:pt idx="295">
                  <c:v>84</c:v>
                </c:pt>
                <c:pt idx="296">
                  <c:v>84</c:v>
                </c:pt>
                <c:pt idx="297">
                  <c:v>84</c:v>
                </c:pt>
                <c:pt idx="298">
                  <c:v>84</c:v>
                </c:pt>
                <c:pt idx="299">
                  <c:v>84</c:v>
                </c:pt>
                <c:pt idx="300">
                  <c:v>84</c:v>
                </c:pt>
                <c:pt idx="301">
                  <c:v>85</c:v>
                </c:pt>
                <c:pt idx="302">
                  <c:v>85</c:v>
                </c:pt>
                <c:pt idx="303">
                  <c:v>85</c:v>
                </c:pt>
                <c:pt idx="304">
                  <c:v>85</c:v>
                </c:pt>
                <c:pt idx="305">
                  <c:v>85</c:v>
                </c:pt>
                <c:pt idx="306">
                  <c:v>85</c:v>
                </c:pt>
                <c:pt idx="307">
                  <c:v>85</c:v>
                </c:pt>
                <c:pt idx="308">
                  <c:v>85</c:v>
                </c:pt>
                <c:pt idx="309">
                  <c:v>85</c:v>
                </c:pt>
                <c:pt idx="310">
                  <c:v>85</c:v>
                </c:pt>
                <c:pt idx="311">
                  <c:v>85</c:v>
                </c:pt>
                <c:pt idx="312">
                  <c:v>86</c:v>
                </c:pt>
                <c:pt idx="313">
                  <c:v>86</c:v>
                </c:pt>
                <c:pt idx="314">
                  <c:v>86</c:v>
                </c:pt>
                <c:pt idx="315">
                  <c:v>86</c:v>
                </c:pt>
                <c:pt idx="316">
                  <c:v>86</c:v>
                </c:pt>
                <c:pt idx="317">
                  <c:v>86</c:v>
                </c:pt>
                <c:pt idx="318">
                  <c:v>86</c:v>
                </c:pt>
                <c:pt idx="319">
                  <c:v>86</c:v>
                </c:pt>
                <c:pt idx="320">
                  <c:v>87</c:v>
                </c:pt>
                <c:pt idx="321">
                  <c:v>87</c:v>
                </c:pt>
                <c:pt idx="322">
                  <c:v>87</c:v>
                </c:pt>
                <c:pt idx="323">
                  <c:v>87</c:v>
                </c:pt>
                <c:pt idx="324">
                  <c:v>87</c:v>
                </c:pt>
                <c:pt idx="325">
                  <c:v>87</c:v>
                </c:pt>
                <c:pt idx="326">
                  <c:v>88</c:v>
                </c:pt>
                <c:pt idx="327">
                  <c:v>88</c:v>
                </c:pt>
                <c:pt idx="328">
                  <c:v>88</c:v>
                </c:pt>
                <c:pt idx="329">
                  <c:v>89</c:v>
                </c:pt>
                <c:pt idx="330">
                  <c:v>89</c:v>
                </c:pt>
                <c:pt idx="331">
                  <c:v>89</c:v>
                </c:pt>
                <c:pt idx="332">
                  <c:v>89</c:v>
                </c:pt>
                <c:pt idx="333">
                  <c:v>90</c:v>
                </c:pt>
                <c:pt idx="334">
                  <c:v>90</c:v>
                </c:pt>
                <c:pt idx="335">
                  <c:v>90</c:v>
                </c:pt>
                <c:pt idx="336">
                  <c:v>90</c:v>
                </c:pt>
                <c:pt idx="337">
                  <c:v>90</c:v>
                </c:pt>
                <c:pt idx="338">
                  <c:v>90</c:v>
                </c:pt>
                <c:pt idx="339">
                  <c:v>90</c:v>
                </c:pt>
                <c:pt idx="340">
                  <c:v>91</c:v>
                </c:pt>
                <c:pt idx="341">
                  <c:v>91</c:v>
                </c:pt>
                <c:pt idx="342">
                  <c:v>91</c:v>
                </c:pt>
                <c:pt idx="343">
                  <c:v>92</c:v>
                </c:pt>
                <c:pt idx="344">
                  <c:v>92</c:v>
                </c:pt>
                <c:pt idx="345">
                  <c:v>92</c:v>
                </c:pt>
                <c:pt idx="346">
                  <c:v>92</c:v>
                </c:pt>
                <c:pt idx="347">
                  <c:v>93</c:v>
                </c:pt>
                <c:pt idx="348">
                  <c:v>93</c:v>
                </c:pt>
                <c:pt idx="349">
                  <c:v>94</c:v>
                </c:pt>
                <c:pt idx="350">
                  <c:v>94</c:v>
                </c:pt>
                <c:pt idx="351">
                  <c:v>95</c:v>
                </c:pt>
                <c:pt idx="352">
                  <c:v>95</c:v>
                </c:pt>
                <c:pt idx="353">
                  <c:v>95</c:v>
                </c:pt>
                <c:pt idx="354">
                  <c:v>95</c:v>
                </c:pt>
                <c:pt idx="355">
                  <c:v>96</c:v>
                </c:pt>
                <c:pt idx="356">
                  <c:v>96</c:v>
                </c:pt>
                <c:pt idx="357">
                  <c:v>96</c:v>
                </c:pt>
                <c:pt idx="358">
                  <c:v>97</c:v>
                </c:pt>
                <c:pt idx="359">
                  <c:v>98</c:v>
                </c:pt>
                <c:pt idx="360">
                  <c:v>99</c:v>
                </c:pt>
                <c:pt idx="361">
                  <c:v>99</c:v>
                </c:pt>
                <c:pt idx="362">
                  <c:v>99</c:v>
                </c:pt>
                <c:pt idx="363">
                  <c:v>101</c:v>
                </c:pt>
                <c:pt idx="364">
                  <c:v>101</c:v>
                </c:pt>
              </c:numCache>
            </c:numRef>
          </c:cat>
          <c:val>
            <c:numRef>
              <c:f>'Probability Distribution'!$H$2:$H$366</c:f>
              <c:numCache>
                <c:formatCode>General</c:formatCode>
                <c:ptCount val="365"/>
                <c:pt idx="0">
                  <c:v>1317</c:v>
                </c:pt>
                <c:pt idx="1">
                  <c:v>1152.8419730824387</c:v>
                </c:pt>
                <c:pt idx="2">
                  <c:v>2012.0287756989003</c:v>
                </c:pt>
                <c:pt idx="3">
                  <c:v>2144.5382219712797</c:v>
                </c:pt>
                <c:pt idx="4">
                  <c:v>1822.7001145522327</c:v>
                </c:pt>
                <c:pt idx="5">
                  <c:v>1529.6743400568926</c:v>
                </c:pt>
                <c:pt idx="6">
                  <c:v>1890.4897188699508</c:v>
                </c:pt>
                <c:pt idx="7">
                  <c:v>2056.7212916510102</c:v>
                </c:pt>
                <c:pt idx="8">
                  <c:v>2307.7069233648213</c:v>
                </c:pt>
                <c:pt idx="9">
                  <c:v>2386.9910929954735</c:v>
                </c:pt>
                <c:pt idx="10">
                  <c:v>1930.3698406954763</c:v>
                </c:pt>
                <c:pt idx="11">
                  <c:v>2064.7772137243869</c:v>
                </c:pt>
                <c:pt idx="12">
                  <c:v>1948.5481750257316</c:v>
                </c:pt>
                <c:pt idx="13">
                  <c:v>2229.5680091777476</c:v>
                </c:pt>
                <c:pt idx="14">
                  <c:v>2560.5114457883342</c:v>
                </c:pt>
                <c:pt idx="15">
                  <c:v>2631.3304308346096</c:v>
                </c:pt>
                <c:pt idx="16">
                  <c:v>2448.234058756615</c:v>
                </c:pt>
                <c:pt idx="17">
                  <c:v>2697.9051246545309</c:v>
                </c:pt>
                <c:pt idx="18">
                  <c:v>2554.359186642851</c:v>
                </c:pt>
                <c:pt idx="19">
                  <c:v>2142.48953607868</c:v>
                </c:pt>
                <c:pt idx="20">
                  <c:v>2783.9176055181306</c:v>
                </c:pt>
                <c:pt idx="21">
                  <c:v>2405.7593591055811</c:v>
                </c:pt>
                <c:pt idx="22">
                  <c:v>2197.1588538389969</c:v>
                </c:pt>
                <c:pt idx="23">
                  <c:v>2546.8715212379634</c:v>
                </c:pt>
                <c:pt idx="24">
                  <c:v>2853.9280328737013</c:v>
                </c:pt>
                <c:pt idx="25">
                  <c:v>2911.772195488134</c:v>
                </c:pt>
                <c:pt idx="26">
                  <c:v>2806.1227386082705</c:v>
                </c:pt>
                <c:pt idx="27">
                  <c:v>2054.0197526824522</c:v>
                </c:pt>
                <c:pt idx="28">
                  <c:v>3236.8423279830613</c:v>
                </c:pt>
                <c:pt idx="29">
                  <c:v>3342.1878811308197</c:v>
                </c:pt>
                <c:pt idx="30">
                  <c:v>2889.6221627964251</c:v>
                </c:pt>
                <c:pt idx="31">
                  <c:v>2824.8759477739873</c:v>
                </c:pt>
                <c:pt idx="32">
                  <c:v>2717.5713669091956</c:v>
                </c:pt>
                <c:pt idx="33">
                  <c:v>2920.0724099648996</c:v>
                </c:pt>
                <c:pt idx="34">
                  <c:v>3391.2886868202595</c:v>
                </c:pt>
                <c:pt idx="35">
                  <c:v>3319.1788693524936</c:v>
                </c:pt>
                <c:pt idx="36">
                  <c:v>2464.653013664145</c:v>
                </c:pt>
                <c:pt idx="37">
                  <c:v>2651.6049856508066</c:v>
                </c:pt>
                <c:pt idx="38">
                  <c:v>3009.6806558554249</c:v>
                </c:pt>
                <c:pt idx="39">
                  <c:v>3546.5353043718146</c:v>
                </c:pt>
                <c:pt idx="40">
                  <c:v>3098.3304763653664</c:v>
                </c:pt>
                <c:pt idx="41">
                  <c:v>3194.805341315026</c:v>
                </c:pt>
                <c:pt idx="42">
                  <c:v>3444.7000108924094</c:v>
                </c:pt>
                <c:pt idx="43">
                  <c:v>2790.8863326872643</c:v>
                </c:pt>
                <c:pt idx="44">
                  <c:v>2523.2881668518494</c:v>
                </c:pt>
                <c:pt idx="45">
                  <c:v>2643.4610075726396</c:v>
                </c:pt>
                <c:pt idx="46">
                  <c:v>3060.4023205389967</c:v>
                </c:pt>
                <c:pt idx="47">
                  <c:v>2814.0302984440063</c:v>
                </c:pt>
                <c:pt idx="48">
                  <c:v>2960.8808928405424</c:v>
                </c:pt>
                <c:pt idx="49">
                  <c:v>3552.2389001076558</c:v>
                </c:pt>
                <c:pt idx="50">
                  <c:v>3655.7565591594162</c:v>
                </c:pt>
                <c:pt idx="51">
                  <c:v>3433.1514831869331</c:v>
                </c:pt>
                <c:pt idx="52">
                  <c:v>3475.149091967362</c:v>
                </c:pt>
                <c:pt idx="53">
                  <c:v>3015.5075344815473</c:v>
                </c:pt>
                <c:pt idx="54">
                  <c:v>3559.9571527208732</c:v>
                </c:pt>
                <c:pt idx="55">
                  <c:v>3411.8676171014044</c:v>
                </c:pt>
                <c:pt idx="56">
                  <c:v>3763.5237768397228</c:v>
                </c:pt>
                <c:pt idx="57">
                  <c:v>3144.4019382601059</c:v>
                </c:pt>
                <c:pt idx="58">
                  <c:v>3443.9045204400113</c:v>
                </c:pt>
                <c:pt idx="59">
                  <c:v>3683.2806937650416</c:v>
                </c:pt>
                <c:pt idx="60">
                  <c:v>3233.6399944944824</c:v>
                </c:pt>
                <c:pt idx="61">
                  <c:v>3856.3901521241701</c:v>
                </c:pt>
                <c:pt idx="62">
                  <c:v>2917.4719174721913</c:v>
                </c:pt>
                <c:pt idx="63">
                  <c:v>3818.0867054093783</c:v>
                </c:pt>
                <c:pt idx="64">
                  <c:v>3974.7484907775424</c:v>
                </c:pt>
                <c:pt idx="65">
                  <c:v>3777.5014697360234</c:v>
                </c:pt>
                <c:pt idx="66">
                  <c:v>3107.0367114571104</c:v>
                </c:pt>
                <c:pt idx="67">
                  <c:v>3660.6613727799663</c:v>
                </c:pt>
                <c:pt idx="68">
                  <c:v>3576.0386341535914</c:v>
                </c:pt>
                <c:pt idx="69">
                  <c:v>3496.7581486661397</c:v>
                </c:pt>
                <c:pt idx="70">
                  <c:v>3632.4995027098785</c:v>
                </c:pt>
                <c:pt idx="71">
                  <c:v>4172.8155859860026</c:v>
                </c:pt>
                <c:pt idx="72">
                  <c:v>4163.3172357596168</c:v>
                </c:pt>
                <c:pt idx="73">
                  <c:v>4217.7058096531018</c:v>
                </c:pt>
                <c:pt idx="74">
                  <c:v>3786.0104275255562</c:v>
                </c:pt>
                <c:pt idx="75">
                  <c:v>3696.9051033320084</c:v>
                </c:pt>
                <c:pt idx="76">
                  <c:v>3747.9635682791254</c:v>
                </c:pt>
                <c:pt idx="77">
                  <c:v>3684.3323994198345</c:v>
                </c:pt>
                <c:pt idx="78">
                  <c:v>3975.8853037065951</c:v>
                </c:pt>
                <c:pt idx="79">
                  <c:v>3770.9951139400864</c:v>
                </c:pt>
                <c:pt idx="80">
                  <c:v>3956.7910930161311</c:v>
                </c:pt>
                <c:pt idx="81">
                  <c:v>3836.8807584458646</c:v>
                </c:pt>
                <c:pt idx="82">
                  <c:v>3730.9570307471213</c:v>
                </c:pt>
                <c:pt idx="83">
                  <c:v>3897.6896565813313</c:v>
                </c:pt>
                <c:pt idx="84">
                  <c:v>4249.8109501683766</c:v>
                </c:pt>
                <c:pt idx="85">
                  <c:v>4125.9457665976361</c:v>
                </c:pt>
                <c:pt idx="86">
                  <c:v>3749.1929333203093</c:v>
                </c:pt>
                <c:pt idx="87">
                  <c:v>5232.158778009567</c:v>
                </c:pt>
                <c:pt idx="88">
                  <c:v>4737.0778377247225</c:v>
                </c:pt>
                <c:pt idx="89">
                  <c:v>4109.7930344648012</c:v>
                </c:pt>
                <c:pt idx="90">
                  <c:v>3846.3895185715824</c:v>
                </c:pt>
                <c:pt idx="91">
                  <c:v>3710.4277110581929</c:v>
                </c:pt>
                <c:pt idx="92">
                  <c:v>3963.2422336210302</c:v>
                </c:pt>
                <c:pt idx="93">
                  <c:v>4042.000294586775</c:v>
                </c:pt>
                <c:pt idx="94">
                  <c:v>4173.3681182592427</c:v>
                </c:pt>
                <c:pt idx="95">
                  <c:v>4642.8410810977812</c:v>
                </c:pt>
                <c:pt idx="96">
                  <c:v>4183.2826610271277</c:v>
                </c:pt>
                <c:pt idx="97">
                  <c:v>3914.4472020109438</c:v>
                </c:pt>
                <c:pt idx="98">
                  <c:v>3697.7768863094766</c:v>
                </c:pt>
                <c:pt idx="99">
                  <c:v>4426.1342984508801</c:v>
                </c:pt>
                <c:pt idx="100">
                  <c:v>4609.1350204194696</c:v>
                </c:pt>
                <c:pt idx="101">
                  <c:v>4965.516245201994</c:v>
                </c:pt>
                <c:pt idx="102">
                  <c:v>4683.9846464316415</c:v>
                </c:pt>
                <c:pt idx="103">
                  <c:v>3987.12247169906</c:v>
                </c:pt>
                <c:pt idx="104">
                  <c:v>4213.1573369715952</c:v>
                </c:pt>
                <c:pt idx="105">
                  <c:v>4224.822641079093</c:v>
                </c:pt>
                <c:pt idx="106">
                  <c:v>4174.081928706416</c:v>
                </c:pt>
                <c:pt idx="107">
                  <c:v>4330.1773109687874</c:v>
                </c:pt>
                <c:pt idx="108">
                  <c:v>4500.6745119458974</c:v>
                </c:pt>
                <c:pt idx="109">
                  <c:v>4304.2922663399695</c:v>
                </c:pt>
                <c:pt idx="110">
                  <c:v>4276.2246952901178</c:v>
                </c:pt>
                <c:pt idx="111">
                  <c:v>4172.4748962889225</c:v>
                </c:pt>
                <c:pt idx="112">
                  <c:v>4751.5035537778858</c:v>
                </c:pt>
                <c:pt idx="113">
                  <c:v>4980.3960691173479</c:v>
                </c:pt>
                <c:pt idx="114">
                  <c:v>4519.5844061519074</c:v>
                </c:pt>
                <c:pt idx="115">
                  <c:v>4748.5046351935853</c:v>
                </c:pt>
                <c:pt idx="116">
                  <c:v>4486.6594438025386</c:v>
                </c:pt>
                <c:pt idx="117">
                  <c:v>4436.0719116933587</c:v>
                </c:pt>
                <c:pt idx="118">
                  <c:v>4505.230398785402</c:v>
                </c:pt>
                <c:pt idx="119">
                  <c:v>4789.6663052432505</c:v>
                </c:pt>
                <c:pt idx="120">
                  <c:v>4949.5688900727855</c:v>
                </c:pt>
                <c:pt idx="121">
                  <c:v>5369.4552866078084</c:v>
                </c:pt>
                <c:pt idx="122">
                  <c:v>4522.4662725874459</c:v>
                </c:pt>
                <c:pt idx="123">
                  <c:v>3733.0287389569676</c:v>
                </c:pt>
                <c:pt idx="124">
                  <c:v>4722.5981752598645</c:v>
                </c:pt>
                <c:pt idx="125">
                  <c:v>4624.3292772571795</c:v>
                </c:pt>
                <c:pt idx="126">
                  <c:v>4645.6731526429285</c:v>
                </c:pt>
                <c:pt idx="127">
                  <c:v>4477.5972225285459</c:v>
                </c:pt>
                <c:pt idx="128">
                  <c:v>4194.7840936038028</c:v>
                </c:pt>
                <c:pt idx="129">
                  <c:v>5151.4023055170373</c:v>
                </c:pt>
                <c:pt idx="130">
                  <c:v>4720.0586889173519</c:v>
                </c:pt>
                <c:pt idx="131">
                  <c:v>4998.7198914563696</c:v>
                </c:pt>
                <c:pt idx="132">
                  <c:v>4595.4584077449645</c:v>
                </c:pt>
                <c:pt idx="133">
                  <c:v>5104.3543226459606</c:v>
                </c:pt>
                <c:pt idx="134">
                  <c:v>4766.204487777849</c:v>
                </c:pt>
                <c:pt idx="135">
                  <c:v>4961.3099440077976</c:v>
                </c:pt>
                <c:pt idx="136">
                  <c:v>4003.4858286166018</c:v>
                </c:pt>
                <c:pt idx="137">
                  <c:v>4506.3297681108897</c:v>
                </c:pt>
                <c:pt idx="138">
                  <c:v>4792.1458880814444</c:v>
                </c:pt>
                <c:pt idx="139">
                  <c:v>4884.3820735778227</c:v>
                </c:pt>
                <c:pt idx="140">
                  <c:v>4340.030617808372</c:v>
                </c:pt>
                <c:pt idx="141">
                  <c:v>4691.9878716526864</c:v>
                </c:pt>
                <c:pt idx="142">
                  <c:v>5310.3573250844756</c:v>
                </c:pt>
                <c:pt idx="143">
                  <c:v>4152.6144209099084</c:v>
                </c:pt>
                <c:pt idx="144">
                  <c:v>4898.8398782188906</c:v>
                </c:pt>
                <c:pt idx="145">
                  <c:v>4873.1060846649925</c:v>
                </c:pt>
                <c:pt idx="146">
                  <c:v>4143.8646116990258</c:v>
                </c:pt>
                <c:pt idx="147">
                  <c:v>4808.6678336869227</c:v>
                </c:pt>
                <c:pt idx="148">
                  <c:v>5105.7119338690682</c:v>
                </c:pt>
                <c:pt idx="149">
                  <c:v>5277.3184934310239</c:v>
                </c:pt>
                <c:pt idx="150">
                  <c:v>4997.8884493418818</c:v>
                </c:pt>
                <c:pt idx="151">
                  <c:v>4985.118414850499</c:v>
                </c:pt>
                <c:pt idx="152">
                  <c:v>5032.8721157402651</c:v>
                </c:pt>
                <c:pt idx="153">
                  <c:v>4918.3093545424872</c:v>
                </c:pt>
                <c:pt idx="154">
                  <c:v>5322.1157447515461</c:v>
                </c:pt>
                <c:pt idx="155">
                  <c:v>5318.8562543810031</c:v>
                </c:pt>
                <c:pt idx="156">
                  <c:v>4846.344114616667</c:v>
                </c:pt>
                <c:pt idx="157">
                  <c:v>5316.3960676861088</c:v>
                </c:pt>
                <c:pt idx="158">
                  <c:v>5607.7922792101317</c:v>
                </c:pt>
                <c:pt idx="159">
                  <c:v>5499.9685173882153</c:v>
                </c:pt>
                <c:pt idx="160">
                  <c:v>4875.7979692201652</c:v>
                </c:pt>
                <c:pt idx="161">
                  <c:v>5085.3983266564692</c:v>
                </c:pt>
                <c:pt idx="162">
                  <c:v>4518.9871845628868</c:v>
                </c:pt>
                <c:pt idx="163">
                  <c:v>5255.9732451807986</c:v>
                </c:pt>
                <c:pt idx="164">
                  <c:v>5002.3250731572307</c:v>
                </c:pt>
                <c:pt idx="165">
                  <c:v>5625.3399408970727</c:v>
                </c:pt>
                <c:pt idx="166">
                  <c:v>5995.0292579391662</c:v>
                </c:pt>
                <c:pt idx="167">
                  <c:v>5190.2731675479927</c:v>
                </c:pt>
                <c:pt idx="168">
                  <c:v>5267.4891653558734</c:v>
                </c:pt>
                <c:pt idx="169">
                  <c:v>5062.6400247118772</c:v>
                </c:pt>
                <c:pt idx="170">
                  <c:v>4862.5932940602852</c:v>
                </c:pt>
                <c:pt idx="171">
                  <c:v>5339.8589832126127</c:v>
                </c:pt>
                <c:pt idx="172">
                  <c:v>5331.6166753513062</c:v>
                </c:pt>
                <c:pt idx="173">
                  <c:v>4837.7491319816108</c:v>
                </c:pt>
                <c:pt idx="174">
                  <c:v>5327.0069048767637</c:v>
                </c:pt>
                <c:pt idx="175">
                  <c:v>5116.4196232948916</c:v>
                </c:pt>
                <c:pt idx="176">
                  <c:v>5212.2601185998501</c:v>
                </c:pt>
                <c:pt idx="177">
                  <c:v>5274.4764084097787</c:v>
                </c:pt>
                <c:pt idx="178">
                  <c:v>5559.6797048249391</c:v>
                </c:pt>
                <c:pt idx="179">
                  <c:v>5221.8019376426473</c:v>
                </c:pt>
                <c:pt idx="180">
                  <c:v>5289.6409364542842</c:v>
                </c:pt>
                <c:pt idx="181">
                  <c:v>5475.4117195155641</c:v>
                </c:pt>
                <c:pt idx="182">
                  <c:v>5582.4789787819927</c:v>
                </c:pt>
                <c:pt idx="183">
                  <c:v>5448.5789345562725</c:v>
                </c:pt>
                <c:pt idx="184">
                  <c:v>5378.1569305418798</c:v>
                </c:pt>
                <c:pt idx="185">
                  <c:v>5536.5850639093314</c:v>
                </c:pt>
                <c:pt idx="186">
                  <c:v>5456.1305225542656</c:v>
                </c:pt>
                <c:pt idx="187">
                  <c:v>5330.3238055833663</c:v>
                </c:pt>
                <c:pt idx="188">
                  <c:v>4936.5377650791806</c:v>
                </c:pt>
                <c:pt idx="189">
                  <c:v>5522.2934037057112</c:v>
                </c:pt>
                <c:pt idx="190">
                  <c:v>6083.625643929854</c:v>
                </c:pt>
                <c:pt idx="191">
                  <c:v>5096.7976858258917</c:v>
                </c:pt>
                <c:pt idx="192">
                  <c:v>5285.9618391552303</c:v>
                </c:pt>
                <c:pt idx="193">
                  <c:v>5368.7920113367909</c:v>
                </c:pt>
                <c:pt idx="194">
                  <c:v>5339.3850478702334</c:v>
                </c:pt>
                <c:pt idx="195">
                  <c:v>5799.9475781244437</c:v>
                </c:pt>
                <c:pt idx="196">
                  <c:v>5510.3907291087562</c:v>
                </c:pt>
                <c:pt idx="197">
                  <c:v>5527.5988966374734</c:v>
                </c:pt>
                <c:pt idx="198">
                  <c:v>5328.0573983619033</c:v>
                </c:pt>
                <c:pt idx="199">
                  <c:v>5824.605578734263</c:v>
                </c:pt>
                <c:pt idx="200">
                  <c:v>5686.4831262824018</c:v>
                </c:pt>
                <c:pt idx="201">
                  <c:v>5944.5815438010259</c:v>
                </c:pt>
                <c:pt idx="202">
                  <c:v>5996.9774075509631</c:v>
                </c:pt>
                <c:pt idx="203">
                  <c:v>5186.1693155713028</c:v>
                </c:pt>
                <c:pt idx="204">
                  <c:v>5504.6618092250537</c:v>
                </c:pt>
                <c:pt idx="205">
                  <c:v>6031.0637244653572</c:v>
                </c:pt>
                <c:pt idx="206">
                  <c:v>6154.116630071826</c:v>
                </c:pt>
                <c:pt idx="207">
                  <c:v>5341.8177420469228</c:v>
                </c:pt>
                <c:pt idx="208">
                  <c:v>5862.6302550781675</c:v>
                </c:pt>
                <c:pt idx="209">
                  <c:v>5245.7100204787266</c:v>
                </c:pt>
                <c:pt idx="210">
                  <c:v>5162.7245561227892</c:v>
                </c:pt>
                <c:pt idx="211">
                  <c:v>6061.8781246877979</c:v>
                </c:pt>
                <c:pt idx="212">
                  <c:v>6306.5941281661253</c:v>
                </c:pt>
                <c:pt idx="213">
                  <c:v>6225.9996938670556</c:v>
                </c:pt>
                <c:pt idx="214">
                  <c:v>5273.8391433702855</c:v>
                </c:pt>
                <c:pt idx="215">
                  <c:v>4988.4369771508736</c:v>
                </c:pt>
                <c:pt idx="216">
                  <c:v>5899.5808354282908</c:v>
                </c:pt>
                <c:pt idx="217">
                  <c:v>5477.6354679558071</c:v>
                </c:pt>
                <c:pt idx="218">
                  <c:v>5615.6879422145612</c:v>
                </c:pt>
                <c:pt idx="219">
                  <c:v>6111.2811649060168</c:v>
                </c:pt>
                <c:pt idx="220">
                  <c:v>6285.9341280514227</c:v>
                </c:pt>
                <c:pt idx="221">
                  <c:v>5669.2739292049218</c:v>
                </c:pt>
                <c:pt idx="222">
                  <c:v>6058.6867645492493</c:v>
                </c:pt>
                <c:pt idx="223">
                  <c:v>5437.6772629708157</c:v>
                </c:pt>
                <c:pt idx="224">
                  <c:v>5735.6163444291078</c:v>
                </c:pt>
                <c:pt idx="225">
                  <c:v>5910.130645465043</c:v>
                </c:pt>
                <c:pt idx="226">
                  <c:v>5782.4930200239296</c:v>
                </c:pt>
                <c:pt idx="227">
                  <c:v>5581.6357993193842</c:v>
                </c:pt>
                <c:pt idx="228">
                  <c:v>5701.8364437157225</c:v>
                </c:pt>
                <c:pt idx="229">
                  <c:v>5841.127967707369</c:v>
                </c:pt>
                <c:pt idx="230">
                  <c:v>6158.8668987443807</c:v>
                </c:pt>
                <c:pt idx="231">
                  <c:v>6164.8295045506602</c:v>
                </c:pt>
                <c:pt idx="232">
                  <c:v>6167.4373220233429</c:v>
                </c:pt>
                <c:pt idx="233">
                  <c:v>6341.4038606853637</c:v>
                </c:pt>
                <c:pt idx="234">
                  <c:v>6169.1532047128376</c:v>
                </c:pt>
                <c:pt idx="235">
                  <c:v>5895.6500773117523</c:v>
                </c:pt>
                <c:pt idx="236">
                  <c:v>5693.1703281302198</c:v>
                </c:pt>
                <c:pt idx="237">
                  <c:v>5817.0017692226447</c:v>
                </c:pt>
                <c:pt idx="238">
                  <c:v>5748.3559734560822</c:v>
                </c:pt>
                <c:pt idx="239">
                  <c:v>5667.7500100205616</c:v>
                </c:pt>
                <c:pt idx="240">
                  <c:v>6307.1892399678709</c:v>
                </c:pt>
                <c:pt idx="241">
                  <c:v>6108.875722826846</c:v>
                </c:pt>
                <c:pt idx="242">
                  <c:v>6634.8988722216282</c:v>
                </c:pt>
                <c:pt idx="243">
                  <c:v>5702.7464435637003</c:v>
                </c:pt>
                <c:pt idx="244">
                  <c:v>6156.927863311299</c:v>
                </c:pt>
                <c:pt idx="245">
                  <c:v>5996.0564218542177</c:v>
                </c:pt>
                <c:pt idx="246">
                  <c:v>6179.1147977770315</c:v>
                </c:pt>
                <c:pt idx="247">
                  <c:v>5939.8839865881591</c:v>
                </c:pt>
                <c:pt idx="248">
                  <c:v>6891.6651189377635</c:v>
                </c:pt>
                <c:pt idx="249">
                  <c:v>5649.4476537047503</c:v>
                </c:pt>
                <c:pt idx="250">
                  <c:v>5744.5464281500654</c:v>
                </c:pt>
                <c:pt idx="251">
                  <c:v>5602.4811131045926</c:v>
                </c:pt>
                <c:pt idx="252">
                  <c:v>6555.8673068130074</c:v>
                </c:pt>
                <c:pt idx="253">
                  <c:v>5588.6426520633377</c:v>
                </c:pt>
                <c:pt idx="254">
                  <c:v>6046.6998809387487</c:v>
                </c:pt>
                <c:pt idx="255">
                  <c:v>6405.6845265876163</c:v>
                </c:pt>
                <c:pt idx="256">
                  <c:v>6065.0632571709566</c:v>
                </c:pt>
                <c:pt idx="257">
                  <c:v>6150.847067335164</c:v>
                </c:pt>
                <c:pt idx="258">
                  <c:v>6415.4581558170057</c:v>
                </c:pt>
                <c:pt idx="259">
                  <c:v>6573.2493365500195</c:v>
                </c:pt>
                <c:pt idx="260">
                  <c:v>6669.4134329710732</c:v>
                </c:pt>
                <c:pt idx="261">
                  <c:v>6168.4475620852936</c:v>
                </c:pt>
                <c:pt idx="262">
                  <c:v>6368.6395719474212</c:v>
                </c:pt>
                <c:pt idx="263">
                  <c:v>5661.2225307600911</c:v>
                </c:pt>
                <c:pt idx="264">
                  <c:v>5730.1228463636016</c:v>
                </c:pt>
                <c:pt idx="265">
                  <c:v>6676.6881822084133</c:v>
                </c:pt>
                <c:pt idx="266">
                  <c:v>6322.2162325925601</c:v>
                </c:pt>
                <c:pt idx="267">
                  <c:v>6215.7586596971223</c:v>
                </c:pt>
                <c:pt idx="268">
                  <c:v>6454.5845835703421</c:v>
                </c:pt>
                <c:pt idx="269">
                  <c:v>6261.8936679178505</c:v>
                </c:pt>
                <c:pt idx="270">
                  <c:v>6192.9143709080072</c:v>
                </c:pt>
                <c:pt idx="271">
                  <c:v>6533.0183795195971</c:v>
                </c:pt>
                <c:pt idx="272">
                  <c:v>6752.4241471113855</c:v>
                </c:pt>
                <c:pt idx="273">
                  <c:v>6465.2337746633784</c:v>
                </c:pt>
                <c:pt idx="274">
                  <c:v>6279.2644701067811</c:v>
                </c:pt>
                <c:pt idx="275">
                  <c:v>6065.2725818928775</c:v>
                </c:pt>
                <c:pt idx="276">
                  <c:v>6536.6002660726535</c:v>
                </c:pt>
                <c:pt idx="277">
                  <c:v>6525.7691406584636</c:v>
                </c:pt>
                <c:pt idx="278">
                  <c:v>6689.2594180869282</c:v>
                </c:pt>
                <c:pt idx="279">
                  <c:v>6534.7225415750454</c:v>
                </c:pt>
                <c:pt idx="280">
                  <c:v>6212.8150011002172</c:v>
                </c:pt>
                <c:pt idx="281">
                  <c:v>6640.946583296095</c:v>
                </c:pt>
                <c:pt idx="282">
                  <c:v>6629.7380138944272</c:v>
                </c:pt>
                <c:pt idx="283">
                  <c:v>6209.8173665879776</c:v>
                </c:pt>
                <c:pt idx="284">
                  <c:v>6216.6478568793473</c:v>
                </c:pt>
                <c:pt idx="285">
                  <c:v>6416.9632842493866</c:v>
                </c:pt>
                <c:pt idx="286">
                  <c:v>6022.1328238506385</c:v>
                </c:pt>
                <c:pt idx="287">
                  <c:v>6570.2294770670187</c:v>
                </c:pt>
                <c:pt idx="288">
                  <c:v>6831.3737993666182</c:v>
                </c:pt>
                <c:pt idx="289">
                  <c:v>6618.9310916478344</c:v>
                </c:pt>
                <c:pt idx="290">
                  <c:v>6253.5145739282234</c:v>
                </c:pt>
                <c:pt idx="291">
                  <c:v>6218.1807598921932</c:v>
                </c:pt>
                <c:pt idx="292">
                  <c:v>6532.0765017274398</c:v>
                </c:pt>
                <c:pt idx="293">
                  <c:v>6619.1815397559785</c:v>
                </c:pt>
                <c:pt idx="294">
                  <c:v>6965.4136264087265</c:v>
                </c:pt>
                <c:pt idx="295">
                  <c:v>6450.3324165554413</c:v>
                </c:pt>
                <c:pt idx="296">
                  <c:v>6569.8018165363565</c:v>
                </c:pt>
                <c:pt idx="297">
                  <c:v>6296.1130329421294</c:v>
                </c:pt>
                <c:pt idx="298">
                  <c:v>6763.2285483999758</c:v>
                </c:pt>
                <c:pt idx="299">
                  <c:v>7004.0582694373461</c:v>
                </c:pt>
                <c:pt idx="300">
                  <c:v>6561.7322292832259</c:v>
                </c:pt>
                <c:pt idx="301">
                  <c:v>6771.9074552607153</c:v>
                </c:pt>
                <c:pt idx="302">
                  <c:v>6831.4229835627038</c:v>
                </c:pt>
                <c:pt idx="303">
                  <c:v>7056.6477622567418</c:v>
                </c:pt>
                <c:pt idx="304">
                  <c:v>6370.9690802622799</c:v>
                </c:pt>
                <c:pt idx="305">
                  <c:v>5914.4584914518982</c:v>
                </c:pt>
                <c:pt idx="306">
                  <c:v>6760.3057317297798</c:v>
                </c:pt>
                <c:pt idx="307">
                  <c:v>6343.1009477245279</c:v>
                </c:pt>
                <c:pt idx="308">
                  <c:v>6461.8330000761089</c:v>
                </c:pt>
                <c:pt idx="309">
                  <c:v>6641.9706379741301</c:v>
                </c:pt>
                <c:pt idx="310">
                  <c:v>7214.3886839613933</c:v>
                </c:pt>
                <c:pt idx="311">
                  <c:v>6502.7693379514703</c:v>
                </c:pt>
                <c:pt idx="312">
                  <c:v>6951.4306824232071</c:v>
                </c:pt>
                <c:pt idx="313">
                  <c:v>6914.3183052018312</c:v>
                </c:pt>
                <c:pt idx="314">
                  <c:v>7029.1318038714826</c:v>
                </c:pt>
                <c:pt idx="315">
                  <c:v>7254.4206351026742</c:v>
                </c:pt>
                <c:pt idx="316">
                  <c:v>7056.7404141077277</c:v>
                </c:pt>
                <c:pt idx="317">
                  <c:v>6879.4508847419975</c:v>
                </c:pt>
                <c:pt idx="318">
                  <c:v>6699.1669784295245</c:v>
                </c:pt>
                <c:pt idx="319">
                  <c:v>6307.360070935536</c:v>
                </c:pt>
                <c:pt idx="320">
                  <c:v>7010.1700552080547</c:v>
                </c:pt>
                <c:pt idx="321">
                  <c:v>6962.2381486545273</c:v>
                </c:pt>
                <c:pt idx="322">
                  <c:v>7119.2693991583428</c:v>
                </c:pt>
                <c:pt idx="323">
                  <c:v>6463.0283511019834</c:v>
                </c:pt>
                <c:pt idx="324">
                  <c:v>6679.7975189674162</c:v>
                </c:pt>
                <c:pt idx="325">
                  <c:v>7136.121784657159</c:v>
                </c:pt>
                <c:pt idx="326">
                  <c:v>7092.9214974983261</c:v>
                </c:pt>
                <c:pt idx="327">
                  <c:v>7653.4473382476963</c:v>
                </c:pt>
                <c:pt idx="328">
                  <c:v>7076.1394101422593</c:v>
                </c:pt>
                <c:pt idx="329">
                  <c:v>7303.8953895984841</c:v>
                </c:pt>
                <c:pt idx="330">
                  <c:v>7159.5885985965779</c:v>
                </c:pt>
                <c:pt idx="331">
                  <c:v>7347.8252910330348</c:v>
                </c:pt>
                <c:pt idx="332">
                  <c:v>7486.3249845803612</c:v>
                </c:pt>
                <c:pt idx="333">
                  <c:v>7103.2108129133849</c:v>
                </c:pt>
                <c:pt idx="334">
                  <c:v>6557.801580080305</c:v>
                </c:pt>
                <c:pt idx="335">
                  <c:v>7770.9739457966043</c:v>
                </c:pt>
                <c:pt idx="336">
                  <c:v>7779.2314963386571</c:v>
                </c:pt>
                <c:pt idx="337">
                  <c:v>7599.0848673086202</c:v>
                </c:pt>
                <c:pt idx="338">
                  <c:v>7379.3902651968401</c:v>
                </c:pt>
                <c:pt idx="339">
                  <c:v>7584.5585472390803</c:v>
                </c:pt>
                <c:pt idx="340">
                  <c:v>8071.7772172144714</c:v>
                </c:pt>
                <c:pt idx="341">
                  <c:v>8441.619882817462</c:v>
                </c:pt>
                <c:pt idx="342">
                  <c:v>7606.1935301789981</c:v>
                </c:pt>
                <c:pt idx="343">
                  <c:v>7696.7237840659573</c:v>
                </c:pt>
                <c:pt idx="344">
                  <c:v>7455.0503772235897</c:v>
                </c:pt>
                <c:pt idx="345">
                  <c:v>7376.8430627864218</c:v>
                </c:pt>
                <c:pt idx="346">
                  <c:v>7725.818332156131</c:v>
                </c:pt>
                <c:pt idx="347">
                  <c:v>8123.6843591830966</c:v>
                </c:pt>
                <c:pt idx="348">
                  <c:v>7820.16522367372</c:v>
                </c:pt>
                <c:pt idx="349">
                  <c:v>8165.3189991004074</c:v>
                </c:pt>
                <c:pt idx="350">
                  <c:v>7550.2661076513823</c:v>
                </c:pt>
                <c:pt idx="351">
                  <c:v>7718.9972101160611</c:v>
                </c:pt>
                <c:pt idx="352">
                  <c:v>8141.1540350683026</c:v>
                </c:pt>
                <c:pt idx="353">
                  <c:v>8243.6808941323088</c:v>
                </c:pt>
                <c:pt idx="354">
                  <c:v>8193.4965597643313</c:v>
                </c:pt>
                <c:pt idx="355">
                  <c:v>8007.4285102138483</c:v>
                </c:pt>
                <c:pt idx="356">
                  <c:v>8313.7444423155393</c:v>
                </c:pt>
                <c:pt idx="357">
                  <c:v>8137.7757971715946</c:v>
                </c:pt>
                <c:pt idx="358">
                  <c:v>8266.4881456101975</c:v>
                </c:pt>
                <c:pt idx="359">
                  <c:v>8497.3246530235756</c:v>
                </c:pt>
                <c:pt idx="360">
                  <c:v>8640.429938815616</c:v>
                </c:pt>
                <c:pt idx="361">
                  <c:v>8857.9212656957006</c:v>
                </c:pt>
                <c:pt idx="362">
                  <c:v>9115.8614820217554</c:v>
                </c:pt>
                <c:pt idx="363">
                  <c:v>8144.2775740266352</c:v>
                </c:pt>
                <c:pt idx="364">
                  <c:v>8312.3082761535916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83-40C8-8E9F-4E8A3DD1E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68400"/>
        <c:axId val="128868880"/>
      </c:lineChart>
      <c:catAx>
        <c:axId val="1288684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Temperature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68880"/>
        <c:crosses val="autoZero"/>
        <c:auto val="1"/>
        <c:lblAlgn val="ctr"/>
        <c:lblOffset val="100"/>
        <c:noMultiLvlLbl val="0"/>
      </c:catAx>
      <c:valAx>
        <c:axId val="128868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Ice</a:t>
                </a:r>
                <a:r>
                  <a:rPr lang="en-ID" baseline="0"/>
                  <a:t> Cream Profits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68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Probability Distribution Holt's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Actual Data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'Probability Distribution'!$A$2:$A$366</c:f>
              <c:numCache>
                <c:formatCode>General</c:formatCode>
                <c:ptCount val="365"/>
                <c:pt idx="0">
                  <c:v>39</c:v>
                </c:pt>
                <c:pt idx="1">
                  <c:v>40</c:v>
                </c:pt>
                <c:pt idx="2">
                  <c:v>41</c:v>
                </c:pt>
                <c:pt idx="3">
                  <c:v>42</c:v>
                </c:pt>
                <c:pt idx="4">
                  <c:v>43</c:v>
                </c:pt>
                <c:pt idx="5">
                  <c:v>43</c:v>
                </c:pt>
                <c:pt idx="6">
                  <c:v>44</c:v>
                </c:pt>
                <c:pt idx="7">
                  <c:v>44</c:v>
                </c:pt>
                <c:pt idx="8">
                  <c:v>45</c:v>
                </c:pt>
                <c:pt idx="9">
                  <c:v>45</c:v>
                </c:pt>
                <c:pt idx="10">
                  <c:v>45</c:v>
                </c:pt>
                <c:pt idx="11">
                  <c:v>46</c:v>
                </c:pt>
                <c:pt idx="12">
                  <c:v>46</c:v>
                </c:pt>
                <c:pt idx="13">
                  <c:v>47</c:v>
                </c:pt>
                <c:pt idx="14">
                  <c:v>48</c:v>
                </c:pt>
                <c:pt idx="15">
                  <c:v>48</c:v>
                </c:pt>
                <c:pt idx="16">
                  <c:v>48</c:v>
                </c:pt>
                <c:pt idx="17">
                  <c:v>48</c:v>
                </c:pt>
                <c:pt idx="18">
                  <c:v>48</c:v>
                </c:pt>
                <c:pt idx="19">
                  <c:v>48</c:v>
                </c:pt>
                <c:pt idx="20">
                  <c:v>49</c:v>
                </c:pt>
                <c:pt idx="21">
                  <c:v>49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51</c:v>
                </c:pt>
                <c:pt idx="28">
                  <c:v>51</c:v>
                </c:pt>
                <c:pt idx="29">
                  <c:v>52</c:v>
                </c:pt>
                <c:pt idx="30">
                  <c:v>52</c:v>
                </c:pt>
                <c:pt idx="31">
                  <c:v>52</c:v>
                </c:pt>
                <c:pt idx="32">
                  <c:v>52</c:v>
                </c:pt>
                <c:pt idx="33">
                  <c:v>52</c:v>
                </c:pt>
                <c:pt idx="34">
                  <c:v>53</c:v>
                </c:pt>
                <c:pt idx="35">
                  <c:v>53</c:v>
                </c:pt>
                <c:pt idx="36">
                  <c:v>53</c:v>
                </c:pt>
                <c:pt idx="37">
                  <c:v>53</c:v>
                </c:pt>
                <c:pt idx="38">
                  <c:v>54</c:v>
                </c:pt>
                <c:pt idx="39">
                  <c:v>54</c:v>
                </c:pt>
                <c:pt idx="40">
                  <c:v>54</c:v>
                </c:pt>
                <c:pt idx="41">
                  <c:v>54</c:v>
                </c:pt>
                <c:pt idx="42">
                  <c:v>54</c:v>
                </c:pt>
                <c:pt idx="43">
                  <c:v>54</c:v>
                </c:pt>
                <c:pt idx="44">
                  <c:v>54</c:v>
                </c:pt>
                <c:pt idx="45">
                  <c:v>54</c:v>
                </c:pt>
                <c:pt idx="46">
                  <c:v>54</c:v>
                </c:pt>
                <c:pt idx="47">
                  <c:v>55</c:v>
                </c:pt>
                <c:pt idx="48">
                  <c:v>55</c:v>
                </c:pt>
                <c:pt idx="49">
                  <c:v>55</c:v>
                </c:pt>
                <c:pt idx="50">
                  <c:v>55</c:v>
                </c:pt>
                <c:pt idx="51">
                  <c:v>56</c:v>
                </c:pt>
                <c:pt idx="52">
                  <c:v>56</c:v>
                </c:pt>
                <c:pt idx="53">
                  <c:v>57</c:v>
                </c:pt>
                <c:pt idx="54">
                  <c:v>57</c:v>
                </c:pt>
                <c:pt idx="55">
                  <c:v>58</c:v>
                </c:pt>
                <c:pt idx="56">
                  <c:v>58</c:v>
                </c:pt>
                <c:pt idx="57">
                  <c:v>58</c:v>
                </c:pt>
                <c:pt idx="58">
                  <c:v>58</c:v>
                </c:pt>
                <c:pt idx="59">
                  <c:v>58</c:v>
                </c:pt>
                <c:pt idx="60">
                  <c:v>58</c:v>
                </c:pt>
                <c:pt idx="61">
                  <c:v>59</c:v>
                </c:pt>
                <c:pt idx="62">
                  <c:v>59</c:v>
                </c:pt>
                <c:pt idx="63">
                  <c:v>59</c:v>
                </c:pt>
                <c:pt idx="64">
                  <c:v>59</c:v>
                </c:pt>
                <c:pt idx="65">
                  <c:v>59</c:v>
                </c:pt>
                <c:pt idx="66">
                  <c:v>59</c:v>
                </c:pt>
                <c:pt idx="67">
                  <c:v>59</c:v>
                </c:pt>
                <c:pt idx="68">
                  <c:v>59</c:v>
                </c:pt>
                <c:pt idx="69">
                  <c:v>60</c:v>
                </c:pt>
                <c:pt idx="70">
                  <c:v>60</c:v>
                </c:pt>
                <c:pt idx="71">
                  <c:v>60</c:v>
                </c:pt>
                <c:pt idx="72">
                  <c:v>60</c:v>
                </c:pt>
                <c:pt idx="73">
                  <c:v>60</c:v>
                </c:pt>
                <c:pt idx="74">
                  <c:v>61</c:v>
                </c:pt>
                <c:pt idx="75">
                  <c:v>61</c:v>
                </c:pt>
                <c:pt idx="76">
                  <c:v>61</c:v>
                </c:pt>
                <c:pt idx="77">
                  <c:v>61</c:v>
                </c:pt>
                <c:pt idx="78">
                  <c:v>61</c:v>
                </c:pt>
                <c:pt idx="79">
                  <c:v>61</c:v>
                </c:pt>
                <c:pt idx="80">
                  <c:v>61</c:v>
                </c:pt>
                <c:pt idx="81">
                  <c:v>61</c:v>
                </c:pt>
                <c:pt idx="82">
                  <c:v>61</c:v>
                </c:pt>
                <c:pt idx="83">
                  <c:v>62</c:v>
                </c:pt>
                <c:pt idx="84">
                  <c:v>62</c:v>
                </c:pt>
                <c:pt idx="85">
                  <c:v>62</c:v>
                </c:pt>
                <c:pt idx="86">
                  <c:v>62</c:v>
                </c:pt>
                <c:pt idx="87">
                  <c:v>63</c:v>
                </c:pt>
                <c:pt idx="88">
                  <c:v>63</c:v>
                </c:pt>
                <c:pt idx="89">
                  <c:v>63</c:v>
                </c:pt>
                <c:pt idx="90">
                  <c:v>63</c:v>
                </c:pt>
                <c:pt idx="91">
                  <c:v>63</c:v>
                </c:pt>
                <c:pt idx="92">
                  <c:v>64</c:v>
                </c:pt>
                <c:pt idx="93">
                  <c:v>64</c:v>
                </c:pt>
                <c:pt idx="94">
                  <c:v>64</c:v>
                </c:pt>
                <c:pt idx="95">
                  <c:v>64</c:v>
                </c:pt>
                <c:pt idx="96">
                  <c:v>64</c:v>
                </c:pt>
                <c:pt idx="97">
                  <c:v>64</c:v>
                </c:pt>
                <c:pt idx="98">
                  <c:v>64</c:v>
                </c:pt>
                <c:pt idx="99">
                  <c:v>64</c:v>
                </c:pt>
                <c:pt idx="100">
                  <c:v>64</c:v>
                </c:pt>
                <c:pt idx="101">
                  <c:v>65</c:v>
                </c:pt>
                <c:pt idx="102">
                  <c:v>65</c:v>
                </c:pt>
                <c:pt idx="103">
                  <c:v>65</c:v>
                </c:pt>
                <c:pt idx="104">
                  <c:v>65</c:v>
                </c:pt>
                <c:pt idx="105">
                  <c:v>65</c:v>
                </c:pt>
                <c:pt idx="106">
                  <c:v>65</c:v>
                </c:pt>
                <c:pt idx="107">
                  <c:v>65</c:v>
                </c:pt>
                <c:pt idx="108">
                  <c:v>65</c:v>
                </c:pt>
                <c:pt idx="109">
                  <c:v>65</c:v>
                </c:pt>
                <c:pt idx="110">
                  <c:v>66</c:v>
                </c:pt>
                <c:pt idx="111">
                  <c:v>66</c:v>
                </c:pt>
                <c:pt idx="112">
                  <c:v>66</c:v>
                </c:pt>
                <c:pt idx="113">
                  <c:v>66</c:v>
                </c:pt>
                <c:pt idx="114">
                  <c:v>66</c:v>
                </c:pt>
                <c:pt idx="115">
                  <c:v>66</c:v>
                </c:pt>
                <c:pt idx="116">
                  <c:v>66</c:v>
                </c:pt>
                <c:pt idx="117">
                  <c:v>66</c:v>
                </c:pt>
                <c:pt idx="118">
                  <c:v>66</c:v>
                </c:pt>
                <c:pt idx="119">
                  <c:v>66</c:v>
                </c:pt>
                <c:pt idx="120">
                  <c:v>66</c:v>
                </c:pt>
                <c:pt idx="121">
                  <c:v>66</c:v>
                </c:pt>
                <c:pt idx="122">
                  <c:v>66</c:v>
                </c:pt>
                <c:pt idx="123">
                  <c:v>66</c:v>
                </c:pt>
                <c:pt idx="124">
                  <c:v>67</c:v>
                </c:pt>
                <c:pt idx="125">
                  <c:v>67</c:v>
                </c:pt>
                <c:pt idx="126">
                  <c:v>67</c:v>
                </c:pt>
                <c:pt idx="127">
                  <c:v>67</c:v>
                </c:pt>
                <c:pt idx="128">
                  <c:v>67</c:v>
                </c:pt>
                <c:pt idx="129">
                  <c:v>67</c:v>
                </c:pt>
                <c:pt idx="130">
                  <c:v>68</c:v>
                </c:pt>
                <c:pt idx="131">
                  <c:v>68</c:v>
                </c:pt>
                <c:pt idx="132">
                  <c:v>68</c:v>
                </c:pt>
                <c:pt idx="133">
                  <c:v>68</c:v>
                </c:pt>
                <c:pt idx="134">
                  <c:v>68</c:v>
                </c:pt>
                <c:pt idx="135">
                  <c:v>68</c:v>
                </c:pt>
                <c:pt idx="136">
                  <c:v>68</c:v>
                </c:pt>
                <c:pt idx="137">
                  <c:v>68</c:v>
                </c:pt>
                <c:pt idx="138">
                  <c:v>68</c:v>
                </c:pt>
                <c:pt idx="139">
                  <c:v>68</c:v>
                </c:pt>
                <c:pt idx="140">
                  <c:v>68</c:v>
                </c:pt>
                <c:pt idx="141">
                  <c:v>68</c:v>
                </c:pt>
                <c:pt idx="142">
                  <c:v>69</c:v>
                </c:pt>
                <c:pt idx="143">
                  <c:v>69</c:v>
                </c:pt>
                <c:pt idx="144">
                  <c:v>69</c:v>
                </c:pt>
                <c:pt idx="145">
                  <c:v>69</c:v>
                </c:pt>
                <c:pt idx="146">
                  <c:v>69</c:v>
                </c:pt>
                <c:pt idx="147">
                  <c:v>69</c:v>
                </c:pt>
                <c:pt idx="148">
                  <c:v>70</c:v>
                </c:pt>
                <c:pt idx="149">
                  <c:v>70</c:v>
                </c:pt>
                <c:pt idx="150">
                  <c:v>70</c:v>
                </c:pt>
                <c:pt idx="151">
                  <c:v>70</c:v>
                </c:pt>
                <c:pt idx="152">
                  <c:v>70</c:v>
                </c:pt>
                <c:pt idx="153">
                  <c:v>70</c:v>
                </c:pt>
                <c:pt idx="154">
                  <c:v>70</c:v>
                </c:pt>
                <c:pt idx="155">
                  <c:v>70</c:v>
                </c:pt>
                <c:pt idx="156">
                  <c:v>70</c:v>
                </c:pt>
                <c:pt idx="157">
                  <c:v>71</c:v>
                </c:pt>
                <c:pt idx="158">
                  <c:v>71</c:v>
                </c:pt>
                <c:pt idx="159">
                  <c:v>71</c:v>
                </c:pt>
                <c:pt idx="160">
                  <c:v>71</c:v>
                </c:pt>
                <c:pt idx="161">
                  <c:v>71</c:v>
                </c:pt>
                <c:pt idx="162">
                  <c:v>71</c:v>
                </c:pt>
                <c:pt idx="163">
                  <c:v>71</c:v>
                </c:pt>
                <c:pt idx="164">
                  <c:v>71</c:v>
                </c:pt>
                <c:pt idx="165">
                  <c:v>71</c:v>
                </c:pt>
                <c:pt idx="166">
                  <c:v>72</c:v>
                </c:pt>
                <c:pt idx="167">
                  <c:v>72</c:v>
                </c:pt>
                <c:pt idx="168">
                  <c:v>72</c:v>
                </c:pt>
                <c:pt idx="169">
                  <c:v>72</c:v>
                </c:pt>
                <c:pt idx="170">
                  <c:v>72</c:v>
                </c:pt>
                <c:pt idx="171">
                  <c:v>72</c:v>
                </c:pt>
                <c:pt idx="172">
                  <c:v>72</c:v>
                </c:pt>
                <c:pt idx="173">
                  <c:v>72</c:v>
                </c:pt>
                <c:pt idx="174">
                  <c:v>72</c:v>
                </c:pt>
                <c:pt idx="175">
                  <c:v>72</c:v>
                </c:pt>
                <c:pt idx="176">
                  <c:v>73</c:v>
                </c:pt>
                <c:pt idx="177">
                  <c:v>73</c:v>
                </c:pt>
                <c:pt idx="178">
                  <c:v>73</c:v>
                </c:pt>
                <c:pt idx="179">
                  <c:v>73</c:v>
                </c:pt>
                <c:pt idx="180">
                  <c:v>73</c:v>
                </c:pt>
                <c:pt idx="181">
                  <c:v>73</c:v>
                </c:pt>
                <c:pt idx="182">
                  <c:v>73</c:v>
                </c:pt>
                <c:pt idx="183">
                  <c:v>73</c:v>
                </c:pt>
                <c:pt idx="184">
                  <c:v>73</c:v>
                </c:pt>
                <c:pt idx="185">
                  <c:v>74</c:v>
                </c:pt>
                <c:pt idx="186">
                  <c:v>74</c:v>
                </c:pt>
                <c:pt idx="187">
                  <c:v>74</c:v>
                </c:pt>
                <c:pt idx="188">
                  <c:v>74</c:v>
                </c:pt>
                <c:pt idx="189">
                  <c:v>74</c:v>
                </c:pt>
                <c:pt idx="190">
                  <c:v>74</c:v>
                </c:pt>
                <c:pt idx="191">
                  <c:v>74</c:v>
                </c:pt>
                <c:pt idx="192">
                  <c:v>74</c:v>
                </c:pt>
                <c:pt idx="193">
                  <c:v>74</c:v>
                </c:pt>
                <c:pt idx="194">
                  <c:v>74</c:v>
                </c:pt>
                <c:pt idx="195">
                  <c:v>74</c:v>
                </c:pt>
                <c:pt idx="196">
                  <c:v>74</c:v>
                </c:pt>
                <c:pt idx="197">
                  <c:v>75</c:v>
                </c:pt>
                <c:pt idx="198">
                  <c:v>75</c:v>
                </c:pt>
                <c:pt idx="199">
                  <c:v>75</c:v>
                </c:pt>
                <c:pt idx="200">
                  <c:v>75</c:v>
                </c:pt>
                <c:pt idx="201">
                  <c:v>75</c:v>
                </c:pt>
                <c:pt idx="202">
                  <c:v>75</c:v>
                </c:pt>
                <c:pt idx="203">
                  <c:v>76</c:v>
                </c:pt>
                <c:pt idx="204">
                  <c:v>76</c:v>
                </c:pt>
                <c:pt idx="205">
                  <c:v>76</c:v>
                </c:pt>
                <c:pt idx="206">
                  <c:v>76</c:v>
                </c:pt>
                <c:pt idx="207">
                  <c:v>76</c:v>
                </c:pt>
                <c:pt idx="208">
                  <c:v>76</c:v>
                </c:pt>
                <c:pt idx="209">
                  <c:v>76</c:v>
                </c:pt>
                <c:pt idx="210">
                  <c:v>76</c:v>
                </c:pt>
                <c:pt idx="211">
                  <c:v>76</c:v>
                </c:pt>
                <c:pt idx="212">
                  <c:v>76</c:v>
                </c:pt>
                <c:pt idx="213">
                  <c:v>76</c:v>
                </c:pt>
                <c:pt idx="214">
                  <c:v>77</c:v>
                </c:pt>
                <c:pt idx="215">
                  <c:v>77</c:v>
                </c:pt>
                <c:pt idx="216">
                  <c:v>77</c:v>
                </c:pt>
                <c:pt idx="217">
                  <c:v>77</c:v>
                </c:pt>
                <c:pt idx="218">
                  <c:v>77</c:v>
                </c:pt>
                <c:pt idx="219">
                  <c:v>77</c:v>
                </c:pt>
                <c:pt idx="220">
                  <c:v>77</c:v>
                </c:pt>
                <c:pt idx="221">
                  <c:v>77</c:v>
                </c:pt>
                <c:pt idx="222">
                  <c:v>77</c:v>
                </c:pt>
                <c:pt idx="223">
                  <c:v>77</c:v>
                </c:pt>
                <c:pt idx="224">
                  <c:v>77</c:v>
                </c:pt>
                <c:pt idx="225">
                  <c:v>77</c:v>
                </c:pt>
                <c:pt idx="226">
                  <c:v>77</c:v>
                </c:pt>
                <c:pt idx="227">
                  <c:v>77</c:v>
                </c:pt>
                <c:pt idx="228">
                  <c:v>77</c:v>
                </c:pt>
                <c:pt idx="229">
                  <c:v>78</c:v>
                </c:pt>
                <c:pt idx="230">
                  <c:v>78</c:v>
                </c:pt>
                <c:pt idx="231">
                  <c:v>78</c:v>
                </c:pt>
                <c:pt idx="232">
                  <c:v>78</c:v>
                </c:pt>
                <c:pt idx="233">
                  <c:v>78</c:v>
                </c:pt>
                <c:pt idx="234">
                  <c:v>78</c:v>
                </c:pt>
                <c:pt idx="235">
                  <c:v>78</c:v>
                </c:pt>
                <c:pt idx="236">
                  <c:v>78</c:v>
                </c:pt>
                <c:pt idx="237">
                  <c:v>78</c:v>
                </c:pt>
                <c:pt idx="238">
                  <c:v>78</c:v>
                </c:pt>
                <c:pt idx="239">
                  <c:v>78</c:v>
                </c:pt>
                <c:pt idx="240">
                  <c:v>78</c:v>
                </c:pt>
                <c:pt idx="241">
                  <c:v>79</c:v>
                </c:pt>
                <c:pt idx="242">
                  <c:v>79</c:v>
                </c:pt>
                <c:pt idx="243">
                  <c:v>79</c:v>
                </c:pt>
                <c:pt idx="244">
                  <c:v>79</c:v>
                </c:pt>
                <c:pt idx="245">
                  <c:v>79</c:v>
                </c:pt>
                <c:pt idx="246">
                  <c:v>79</c:v>
                </c:pt>
                <c:pt idx="247">
                  <c:v>79</c:v>
                </c:pt>
                <c:pt idx="248">
                  <c:v>79</c:v>
                </c:pt>
                <c:pt idx="249">
                  <c:v>79</c:v>
                </c:pt>
                <c:pt idx="250">
                  <c:v>79</c:v>
                </c:pt>
                <c:pt idx="251">
                  <c:v>79</c:v>
                </c:pt>
                <c:pt idx="252">
                  <c:v>79</c:v>
                </c:pt>
                <c:pt idx="253">
                  <c:v>80</c:v>
                </c:pt>
                <c:pt idx="254">
                  <c:v>80</c:v>
                </c:pt>
                <c:pt idx="255">
                  <c:v>80</c:v>
                </c:pt>
                <c:pt idx="256">
                  <c:v>80</c:v>
                </c:pt>
                <c:pt idx="257">
                  <c:v>80</c:v>
                </c:pt>
                <c:pt idx="258">
                  <c:v>80</c:v>
                </c:pt>
                <c:pt idx="259">
                  <c:v>80</c:v>
                </c:pt>
                <c:pt idx="260">
                  <c:v>80</c:v>
                </c:pt>
                <c:pt idx="261">
                  <c:v>80</c:v>
                </c:pt>
                <c:pt idx="262">
                  <c:v>81</c:v>
                </c:pt>
                <c:pt idx="263">
                  <c:v>81</c:v>
                </c:pt>
                <c:pt idx="264">
                  <c:v>81</c:v>
                </c:pt>
                <c:pt idx="265">
                  <c:v>81</c:v>
                </c:pt>
                <c:pt idx="266">
                  <c:v>81</c:v>
                </c:pt>
                <c:pt idx="267">
                  <c:v>81</c:v>
                </c:pt>
                <c:pt idx="268">
                  <c:v>81</c:v>
                </c:pt>
                <c:pt idx="269">
                  <c:v>81</c:v>
                </c:pt>
                <c:pt idx="270">
                  <c:v>81</c:v>
                </c:pt>
                <c:pt idx="271">
                  <c:v>82</c:v>
                </c:pt>
                <c:pt idx="272">
                  <c:v>82</c:v>
                </c:pt>
                <c:pt idx="273">
                  <c:v>82</c:v>
                </c:pt>
                <c:pt idx="274">
                  <c:v>82</c:v>
                </c:pt>
                <c:pt idx="275">
                  <c:v>82</c:v>
                </c:pt>
                <c:pt idx="276">
                  <c:v>82</c:v>
                </c:pt>
                <c:pt idx="277">
                  <c:v>82</c:v>
                </c:pt>
                <c:pt idx="278">
                  <c:v>82</c:v>
                </c:pt>
                <c:pt idx="279">
                  <c:v>82</c:v>
                </c:pt>
                <c:pt idx="280">
                  <c:v>82</c:v>
                </c:pt>
                <c:pt idx="281">
                  <c:v>82</c:v>
                </c:pt>
                <c:pt idx="282">
                  <c:v>83</c:v>
                </c:pt>
                <c:pt idx="283">
                  <c:v>83</c:v>
                </c:pt>
                <c:pt idx="284">
                  <c:v>83</c:v>
                </c:pt>
                <c:pt idx="285">
                  <c:v>83</c:v>
                </c:pt>
                <c:pt idx="286">
                  <c:v>83</c:v>
                </c:pt>
                <c:pt idx="287">
                  <c:v>83</c:v>
                </c:pt>
                <c:pt idx="288">
                  <c:v>84</c:v>
                </c:pt>
                <c:pt idx="289">
                  <c:v>84</c:v>
                </c:pt>
                <c:pt idx="290">
                  <c:v>84</c:v>
                </c:pt>
                <c:pt idx="291">
                  <c:v>84</c:v>
                </c:pt>
                <c:pt idx="292">
                  <c:v>84</c:v>
                </c:pt>
                <c:pt idx="293">
                  <c:v>84</c:v>
                </c:pt>
                <c:pt idx="294">
                  <c:v>84</c:v>
                </c:pt>
                <c:pt idx="295">
                  <c:v>84</c:v>
                </c:pt>
                <c:pt idx="296">
                  <c:v>84</c:v>
                </c:pt>
                <c:pt idx="297">
                  <c:v>84</c:v>
                </c:pt>
                <c:pt idx="298">
                  <c:v>84</c:v>
                </c:pt>
                <c:pt idx="299">
                  <c:v>84</c:v>
                </c:pt>
                <c:pt idx="300">
                  <c:v>84</c:v>
                </c:pt>
                <c:pt idx="301">
                  <c:v>85</c:v>
                </c:pt>
                <c:pt idx="302">
                  <c:v>85</c:v>
                </c:pt>
                <c:pt idx="303">
                  <c:v>85</c:v>
                </c:pt>
                <c:pt idx="304">
                  <c:v>85</c:v>
                </c:pt>
                <c:pt idx="305">
                  <c:v>85</c:v>
                </c:pt>
                <c:pt idx="306">
                  <c:v>85</c:v>
                </c:pt>
                <c:pt idx="307">
                  <c:v>85</c:v>
                </c:pt>
                <c:pt idx="308">
                  <c:v>85</c:v>
                </c:pt>
                <c:pt idx="309">
                  <c:v>85</c:v>
                </c:pt>
                <c:pt idx="310">
                  <c:v>85</c:v>
                </c:pt>
                <c:pt idx="311">
                  <c:v>85</c:v>
                </c:pt>
                <c:pt idx="312">
                  <c:v>86</c:v>
                </c:pt>
                <c:pt idx="313">
                  <c:v>86</c:v>
                </c:pt>
                <c:pt idx="314">
                  <c:v>86</c:v>
                </c:pt>
                <c:pt idx="315">
                  <c:v>86</c:v>
                </c:pt>
                <c:pt idx="316">
                  <c:v>86</c:v>
                </c:pt>
                <c:pt idx="317">
                  <c:v>86</c:v>
                </c:pt>
                <c:pt idx="318">
                  <c:v>86</c:v>
                </c:pt>
                <c:pt idx="319">
                  <c:v>86</c:v>
                </c:pt>
                <c:pt idx="320">
                  <c:v>87</c:v>
                </c:pt>
                <c:pt idx="321">
                  <c:v>87</c:v>
                </c:pt>
                <c:pt idx="322">
                  <c:v>87</c:v>
                </c:pt>
                <c:pt idx="323">
                  <c:v>87</c:v>
                </c:pt>
                <c:pt idx="324">
                  <c:v>87</c:v>
                </c:pt>
                <c:pt idx="325">
                  <c:v>87</c:v>
                </c:pt>
                <c:pt idx="326">
                  <c:v>88</c:v>
                </c:pt>
                <c:pt idx="327">
                  <c:v>88</c:v>
                </c:pt>
                <c:pt idx="328">
                  <c:v>88</c:v>
                </c:pt>
                <c:pt idx="329">
                  <c:v>89</c:v>
                </c:pt>
                <c:pt idx="330">
                  <c:v>89</c:v>
                </c:pt>
                <c:pt idx="331">
                  <c:v>89</c:v>
                </c:pt>
                <c:pt idx="332">
                  <c:v>89</c:v>
                </c:pt>
                <c:pt idx="333">
                  <c:v>90</c:v>
                </c:pt>
                <c:pt idx="334">
                  <c:v>90</c:v>
                </c:pt>
                <c:pt idx="335">
                  <c:v>90</c:v>
                </c:pt>
                <c:pt idx="336">
                  <c:v>90</c:v>
                </c:pt>
                <c:pt idx="337">
                  <c:v>90</c:v>
                </c:pt>
                <c:pt idx="338">
                  <c:v>90</c:v>
                </c:pt>
                <c:pt idx="339">
                  <c:v>90</c:v>
                </c:pt>
                <c:pt idx="340">
                  <c:v>91</c:v>
                </c:pt>
                <c:pt idx="341">
                  <c:v>91</c:v>
                </c:pt>
                <c:pt idx="342">
                  <c:v>91</c:v>
                </c:pt>
                <c:pt idx="343">
                  <c:v>92</c:v>
                </c:pt>
                <c:pt idx="344">
                  <c:v>92</c:v>
                </c:pt>
                <c:pt idx="345">
                  <c:v>92</c:v>
                </c:pt>
                <c:pt idx="346">
                  <c:v>92</c:v>
                </c:pt>
                <c:pt idx="347">
                  <c:v>93</c:v>
                </c:pt>
                <c:pt idx="348">
                  <c:v>93</c:v>
                </c:pt>
                <c:pt idx="349">
                  <c:v>94</c:v>
                </c:pt>
                <c:pt idx="350">
                  <c:v>94</c:v>
                </c:pt>
                <c:pt idx="351">
                  <c:v>95</c:v>
                </c:pt>
                <c:pt idx="352">
                  <c:v>95</c:v>
                </c:pt>
                <c:pt idx="353">
                  <c:v>95</c:v>
                </c:pt>
                <c:pt idx="354">
                  <c:v>95</c:v>
                </c:pt>
                <c:pt idx="355">
                  <c:v>96</c:v>
                </c:pt>
                <c:pt idx="356">
                  <c:v>96</c:v>
                </c:pt>
                <c:pt idx="357">
                  <c:v>96</c:v>
                </c:pt>
                <c:pt idx="358">
                  <c:v>97</c:v>
                </c:pt>
                <c:pt idx="359">
                  <c:v>98</c:v>
                </c:pt>
                <c:pt idx="360">
                  <c:v>99</c:v>
                </c:pt>
                <c:pt idx="361">
                  <c:v>99</c:v>
                </c:pt>
                <c:pt idx="362">
                  <c:v>99</c:v>
                </c:pt>
                <c:pt idx="363">
                  <c:v>101</c:v>
                </c:pt>
                <c:pt idx="364">
                  <c:v>101</c:v>
                </c:pt>
              </c:numCache>
            </c:numRef>
          </c:cat>
          <c:val>
            <c:numRef>
              <c:f>'Probability Distribution'!$B$2:$B$366</c:f>
              <c:numCache>
                <c:formatCode>General</c:formatCode>
                <c:ptCount val="365"/>
                <c:pt idx="0">
                  <c:v>1317</c:v>
                </c:pt>
                <c:pt idx="1">
                  <c:v>1188</c:v>
                </c:pt>
                <c:pt idx="2">
                  <c:v>1882</c:v>
                </c:pt>
                <c:pt idx="3">
                  <c:v>1865</c:v>
                </c:pt>
                <c:pt idx="4">
                  <c:v>1702</c:v>
                </c:pt>
                <c:pt idx="5">
                  <c:v>1588</c:v>
                </c:pt>
                <c:pt idx="6">
                  <c:v>1907</c:v>
                </c:pt>
                <c:pt idx="7">
                  <c:v>1957</c:v>
                </c:pt>
                <c:pt idx="8">
                  <c:v>2162</c:v>
                </c:pt>
                <c:pt idx="9">
                  <c:v>2234</c:v>
                </c:pt>
                <c:pt idx="10">
                  <c:v>1923</c:v>
                </c:pt>
                <c:pt idx="11">
                  <c:v>2125</c:v>
                </c:pt>
                <c:pt idx="12">
                  <c:v>1981</c:v>
                </c:pt>
                <c:pt idx="13">
                  <c:v>2212</c:v>
                </c:pt>
                <c:pt idx="14">
                  <c:v>2422</c:v>
                </c:pt>
                <c:pt idx="15">
                  <c:v>2468</c:v>
                </c:pt>
                <c:pt idx="16">
                  <c:v>2378</c:v>
                </c:pt>
                <c:pt idx="17">
                  <c:v>2641</c:v>
                </c:pt>
                <c:pt idx="18">
                  <c:v>2501</c:v>
                </c:pt>
                <c:pt idx="19">
                  <c:v>2229</c:v>
                </c:pt>
                <c:pt idx="20">
                  <c:v>2781</c:v>
                </c:pt>
                <c:pt idx="21">
                  <c:v>2354</c:v>
                </c:pt>
                <c:pt idx="22">
                  <c:v>2289</c:v>
                </c:pt>
                <c:pt idx="23">
                  <c:v>2568</c:v>
                </c:pt>
                <c:pt idx="24">
                  <c:v>2729</c:v>
                </c:pt>
                <c:pt idx="25">
                  <c:v>2764</c:v>
                </c:pt>
                <c:pt idx="26">
                  <c:v>2731</c:v>
                </c:pt>
                <c:pt idx="27">
                  <c:v>2193</c:v>
                </c:pt>
                <c:pt idx="28">
                  <c:v>3218</c:v>
                </c:pt>
                <c:pt idx="29">
                  <c:v>3067</c:v>
                </c:pt>
                <c:pt idx="30">
                  <c:v>2805</c:v>
                </c:pt>
                <c:pt idx="31">
                  <c:v>2882</c:v>
                </c:pt>
                <c:pt idx="32">
                  <c:v>2787</c:v>
                </c:pt>
                <c:pt idx="33">
                  <c:v>2939</c:v>
                </c:pt>
                <c:pt idx="34">
                  <c:v>3260</c:v>
                </c:pt>
                <c:pt idx="35">
                  <c:v>3162</c:v>
                </c:pt>
                <c:pt idx="36">
                  <c:v>2571</c:v>
                </c:pt>
                <c:pt idx="37">
                  <c:v>2848</c:v>
                </c:pt>
                <c:pt idx="38">
                  <c:v>3009</c:v>
                </c:pt>
                <c:pt idx="39">
                  <c:v>3358</c:v>
                </c:pt>
                <c:pt idx="40">
                  <c:v>2975</c:v>
                </c:pt>
                <c:pt idx="41">
                  <c:v>3194</c:v>
                </c:pt>
                <c:pt idx="42">
                  <c:v>3371</c:v>
                </c:pt>
                <c:pt idx="43">
                  <c:v>2837</c:v>
                </c:pt>
                <c:pt idx="44">
                  <c:v>2741</c:v>
                </c:pt>
                <c:pt idx="45">
                  <c:v>2799</c:v>
                </c:pt>
                <c:pt idx="46">
                  <c:v>3037</c:v>
                </c:pt>
                <c:pt idx="47">
                  <c:v>2768</c:v>
                </c:pt>
                <c:pt idx="48">
                  <c:v>2953</c:v>
                </c:pt>
                <c:pt idx="49">
                  <c:v>3391</c:v>
                </c:pt>
                <c:pt idx="50">
                  <c:v>3419</c:v>
                </c:pt>
                <c:pt idx="51">
                  <c:v>3322</c:v>
                </c:pt>
                <c:pt idx="52">
                  <c:v>3447</c:v>
                </c:pt>
                <c:pt idx="53">
                  <c:v>3089</c:v>
                </c:pt>
                <c:pt idx="54">
                  <c:v>3580</c:v>
                </c:pt>
                <c:pt idx="55">
                  <c:v>3344</c:v>
                </c:pt>
                <c:pt idx="56">
                  <c:v>3679</c:v>
                </c:pt>
                <c:pt idx="57">
                  <c:v>3156</c:v>
                </c:pt>
                <c:pt idx="58">
                  <c:v>3513</c:v>
                </c:pt>
                <c:pt idx="59">
                  <c:v>3611</c:v>
                </c:pt>
                <c:pt idx="60">
                  <c:v>3239</c:v>
                </c:pt>
                <c:pt idx="61">
                  <c:v>3818</c:v>
                </c:pt>
                <c:pt idx="62">
                  <c:v>2969</c:v>
                </c:pt>
                <c:pt idx="63">
                  <c:v>3847</c:v>
                </c:pt>
                <c:pt idx="64">
                  <c:v>3774</c:v>
                </c:pt>
                <c:pt idx="65">
                  <c:v>3671</c:v>
                </c:pt>
                <c:pt idx="66">
                  <c:v>3229</c:v>
                </c:pt>
                <c:pt idx="67">
                  <c:v>3750</c:v>
                </c:pt>
                <c:pt idx="68">
                  <c:v>3533</c:v>
                </c:pt>
                <c:pt idx="69">
                  <c:v>3506</c:v>
                </c:pt>
                <c:pt idx="70">
                  <c:v>3625</c:v>
                </c:pt>
                <c:pt idx="71">
                  <c:v>4025</c:v>
                </c:pt>
                <c:pt idx="72">
                  <c:v>3969</c:v>
                </c:pt>
                <c:pt idx="73">
                  <c:v>4095</c:v>
                </c:pt>
                <c:pt idx="74">
                  <c:v>3796</c:v>
                </c:pt>
                <c:pt idx="75">
                  <c:v>3810</c:v>
                </c:pt>
                <c:pt idx="76">
                  <c:v>3821</c:v>
                </c:pt>
                <c:pt idx="77">
                  <c:v>3730</c:v>
                </c:pt>
                <c:pt idx="78">
                  <c:v>3953</c:v>
                </c:pt>
                <c:pt idx="79">
                  <c:v>3742</c:v>
                </c:pt>
                <c:pt idx="80">
                  <c:v>3942</c:v>
                </c:pt>
                <c:pt idx="81">
                  <c:v>3816</c:v>
                </c:pt>
                <c:pt idx="82">
                  <c:v>3766</c:v>
                </c:pt>
                <c:pt idx="83">
                  <c:v>3904</c:v>
                </c:pt>
                <c:pt idx="84">
                  <c:v>4144</c:v>
                </c:pt>
                <c:pt idx="85">
                  <c:v>4019</c:v>
                </c:pt>
                <c:pt idx="86">
                  <c:v>3793</c:v>
                </c:pt>
                <c:pt idx="87">
                  <c:v>5017</c:v>
                </c:pt>
                <c:pt idx="88">
                  <c:v>4415</c:v>
                </c:pt>
                <c:pt idx="89">
                  <c:v>4158</c:v>
                </c:pt>
                <c:pt idx="90">
                  <c:v>4059</c:v>
                </c:pt>
                <c:pt idx="91">
                  <c:v>3917</c:v>
                </c:pt>
                <c:pt idx="92">
                  <c:v>4057</c:v>
                </c:pt>
                <c:pt idx="93">
                  <c:v>4028</c:v>
                </c:pt>
                <c:pt idx="94">
                  <c:v>4121</c:v>
                </c:pt>
                <c:pt idx="95">
                  <c:v>4485</c:v>
                </c:pt>
                <c:pt idx="96">
                  <c:v>4094</c:v>
                </c:pt>
                <c:pt idx="97">
                  <c:v>4014</c:v>
                </c:pt>
                <c:pt idx="98">
                  <c:v>3857</c:v>
                </c:pt>
                <c:pt idx="99">
                  <c:v>4407</c:v>
                </c:pt>
                <c:pt idx="100">
                  <c:v>4410</c:v>
                </c:pt>
                <c:pt idx="101">
                  <c:v>4736</c:v>
                </c:pt>
                <c:pt idx="102">
                  <c:v>4538</c:v>
                </c:pt>
                <c:pt idx="103">
                  <c:v>4109</c:v>
                </c:pt>
                <c:pt idx="104">
                  <c:v>4378</c:v>
                </c:pt>
                <c:pt idx="105">
                  <c:v>4272</c:v>
                </c:pt>
                <c:pt idx="106">
                  <c:v>4210</c:v>
                </c:pt>
                <c:pt idx="107">
                  <c:v>4328</c:v>
                </c:pt>
                <c:pt idx="108">
                  <c:v>4431</c:v>
                </c:pt>
                <c:pt idx="109">
                  <c:v>4271</c:v>
                </c:pt>
                <c:pt idx="110">
                  <c:v>4303</c:v>
                </c:pt>
                <c:pt idx="111">
                  <c:v>4216</c:v>
                </c:pt>
                <c:pt idx="112">
                  <c:v>4674</c:v>
                </c:pt>
                <c:pt idx="113">
                  <c:v>4768</c:v>
                </c:pt>
                <c:pt idx="114">
                  <c:v>4448</c:v>
                </c:pt>
                <c:pt idx="115">
                  <c:v>4752</c:v>
                </c:pt>
                <c:pt idx="116">
                  <c:v>4498</c:v>
                </c:pt>
                <c:pt idx="117">
                  <c:v>4507</c:v>
                </c:pt>
                <c:pt idx="118">
                  <c:v>4542</c:v>
                </c:pt>
                <c:pt idx="119">
                  <c:v>4736</c:v>
                </c:pt>
                <c:pt idx="120">
                  <c:v>4826</c:v>
                </c:pt>
                <c:pt idx="121">
                  <c:v>5175</c:v>
                </c:pt>
                <c:pt idx="122">
                  <c:v>4505</c:v>
                </c:pt>
                <c:pt idx="123">
                  <c:v>4065</c:v>
                </c:pt>
                <c:pt idx="124">
                  <c:v>4865</c:v>
                </c:pt>
                <c:pt idx="125">
                  <c:v>4526</c:v>
                </c:pt>
                <c:pt idx="126">
                  <c:v>4604</c:v>
                </c:pt>
                <c:pt idx="127">
                  <c:v>4485</c:v>
                </c:pt>
                <c:pt idx="128">
                  <c:v>4294</c:v>
                </c:pt>
                <c:pt idx="129">
                  <c:v>5062</c:v>
                </c:pt>
                <c:pt idx="130">
                  <c:v>4565</c:v>
                </c:pt>
                <c:pt idx="131">
                  <c:v>4937</c:v>
                </c:pt>
                <c:pt idx="132">
                  <c:v>4589</c:v>
                </c:pt>
                <c:pt idx="133">
                  <c:v>5074</c:v>
                </c:pt>
                <c:pt idx="134">
                  <c:v>4717</c:v>
                </c:pt>
                <c:pt idx="135">
                  <c:v>4960</c:v>
                </c:pt>
                <c:pt idx="136">
                  <c:v>4168</c:v>
                </c:pt>
                <c:pt idx="137">
                  <c:v>4690</c:v>
                </c:pt>
                <c:pt idx="138">
                  <c:v>4735</c:v>
                </c:pt>
                <c:pt idx="139">
                  <c:v>4773</c:v>
                </c:pt>
                <c:pt idx="140">
                  <c:v>4373</c:v>
                </c:pt>
                <c:pt idx="141">
                  <c:v>4747</c:v>
                </c:pt>
                <c:pt idx="142">
                  <c:v>5138</c:v>
                </c:pt>
                <c:pt idx="143">
                  <c:v>4174</c:v>
                </c:pt>
                <c:pt idx="144">
                  <c:v>4988</c:v>
                </c:pt>
                <c:pt idx="145">
                  <c:v>4778</c:v>
                </c:pt>
                <c:pt idx="146">
                  <c:v>4250</c:v>
                </c:pt>
                <c:pt idx="147">
                  <c:v>4877</c:v>
                </c:pt>
                <c:pt idx="148">
                  <c:v>4946</c:v>
                </c:pt>
                <c:pt idx="149">
                  <c:v>5087</c:v>
                </c:pt>
                <c:pt idx="150">
                  <c:v>4912</c:v>
                </c:pt>
                <c:pt idx="151">
                  <c:v>4995</c:v>
                </c:pt>
                <c:pt idx="152">
                  <c:v>5031</c:v>
                </c:pt>
                <c:pt idx="153">
                  <c:v>4932</c:v>
                </c:pt>
                <c:pt idx="154">
                  <c:v>5267</c:v>
                </c:pt>
                <c:pt idx="155">
                  <c:v>5205</c:v>
                </c:pt>
                <c:pt idx="156">
                  <c:v>4882</c:v>
                </c:pt>
                <c:pt idx="157">
                  <c:v>5333</c:v>
                </c:pt>
                <c:pt idx="158">
                  <c:v>5459</c:v>
                </c:pt>
                <c:pt idx="159">
                  <c:v>5377</c:v>
                </c:pt>
                <c:pt idx="160">
                  <c:v>4960</c:v>
                </c:pt>
                <c:pt idx="161">
                  <c:v>5217</c:v>
                </c:pt>
                <c:pt idx="162">
                  <c:v>4674</c:v>
                </c:pt>
                <c:pt idx="163">
                  <c:v>5304</c:v>
                </c:pt>
                <c:pt idx="164">
                  <c:v>4934</c:v>
                </c:pt>
                <c:pt idx="165">
                  <c:v>5504</c:v>
                </c:pt>
                <c:pt idx="166">
                  <c:v>5718</c:v>
                </c:pt>
                <c:pt idx="167">
                  <c:v>5126</c:v>
                </c:pt>
                <c:pt idx="168">
                  <c:v>5378</c:v>
                </c:pt>
                <c:pt idx="169">
                  <c:v>5155</c:v>
                </c:pt>
                <c:pt idx="170">
                  <c:v>5001</c:v>
                </c:pt>
                <c:pt idx="171">
                  <c:v>5359</c:v>
                </c:pt>
                <c:pt idx="172">
                  <c:v>5247</c:v>
                </c:pt>
                <c:pt idx="173">
                  <c:v>4896</c:v>
                </c:pt>
                <c:pt idx="174">
                  <c:v>5357</c:v>
                </c:pt>
                <c:pt idx="175">
                  <c:v>5079</c:v>
                </c:pt>
                <c:pt idx="176">
                  <c:v>5213</c:v>
                </c:pt>
                <c:pt idx="177">
                  <c:v>5242</c:v>
                </c:pt>
                <c:pt idx="178">
                  <c:v>5467</c:v>
                </c:pt>
                <c:pt idx="179">
                  <c:v>5182</c:v>
                </c:pt>
                <c:pt idx="180">
                  <c:v>5321</c:v>
                </c:pt>
                <c:pt idx="181">
                  <c:v>5440</c:v>
                </c:pt>
                <c:pt idx="182">
                  <c:v>5501</c:v>
                </c:pt>
                <c:pt idx="183">
                  <c:v>5408</c:v>
                </c:pt>
                <c:pt idx="184">
                  <c:v>5397</c:v>
                </c:pt>
                <c:pt idx="185">
                  <c:v>5528</c:v>
                </c:pt>
                <c:pt idx="186">
                  <c:v>5436</c:v>
                </c:pt>
                <c:pt idx="187">
                  <c:v>5362</c:v>
                </c:pt>
                <c:pt idx="188">
                  <c:v>5065</c:v>
                </c:pt>
                <c:pt idx="189">
                  <c:v>5552</c:v>
                </c:pt>
                <c:pt idx="190">
                  <c:v>5861</c:v>
                </c:pt>
                <c:pt idx="191">
                  <c:v>5064</c:v>
                </c:pt>
                <c:pt idx="192">
                  <c:v>5428</c:v>
                </c:pt>
                <c:pt idx="193">
                  <c:v>5395</c:v>
                </c:pt>
                <c:pt idx="194">
                  <c:v>5344</c:v>
                </c:pt>
                <c:pt idx="195">
                  <c:v>5710</c:v>
                </c:pt>
                <c:pt idx="196">
                  <c:v>5426</c:v>
                </c:pt>
                <c:pt idx="197">
                  <c:v>5534</c:v>
                </c:pt>
                <c:pt idx="198">
                  <c:v>5371</c:v>
                </c:pt>
                <c:pt idx="199">
                  <c:v>5784</c:v>
                </c:pt>
                <c:pt idx="200">
                  <c:v>5591</c:v>
                </c:pt>
                <c:pt idx="201">
                  <c:v>5862</c:v>
                </c:pt>
                <c:pt idx="202">
                  <c:v>5885</c:v>
                </c:pt>
                <c:pt idx="203">
                  <c:v>5284</c:v>
                </c:pt>
                <c:pt idx="204">
                  <c:v>5659</c:v>
                </c:pt>
                <c:pt idx="205">
                  <c:v>5943</c:v>
                </c:pt>
                <c:pt idx="206">
                  <c:v>5969</c:v>
                </c:pt>
                <c:pt idx="207">
                  <c:v>5383</c:v>
                </c:pt>
                <c:pt idx="208">
                  <c:v>5941</c:v>
                </c:pt>
                <c:pt idx="209">
                  <c:v>5317</c:v>
                </c:pt>
                <c:pt idx="210">
                  <c:v>5348</c:v>
                </c:pt>
                <c:pt idx="211">
                  <c:v>5994</c:v>
                </c:pt>
                <c:pt idx="212">
                  <c:v>6031</c:v>
                </c:pt>
                <c:pt idx="213">
                  <c:v>6033</c:v>
                </c:pt>
                <c:pt idx="214">
                  <c:v>5382</c:v>
                </c:pt>
                <c:pt idx="215">
                  <c:v>5307</c:v>
                </c:pt>
                <c:pt idx="216">
                  <c:v>5948</c:v>
                </c:pt>
                <c:pt idx="217">
                  <c:v>5410</c:v>
                </c:pt>
                <c:pt idx="218">
                  <c:v>5633</c:v>
                </c:pt>
                <c:pt idx="219">
                  <c:v>5987</c:v>
                </c:pt>
                <c:pt idx="220">
                  <c:v>6075</c:v>
                </c:pt>
                <c:pt idx="221">
                  <c:v>5643</c:v>
                </c:pt>
                <c:pt idx="222">
                  <c:v>6086</c:v>
                </c:pt>
                <c:pt idx="223">
                  <c:v>5507</c:v>
                </c:pt>
                <c:pt idx="224">
                  <c:v>5839</c:v>
                </c:pt>
                <c:pt idx="225">
                  <c:v>5872</c:v>
                </c:pt>
                <c:pt idx="226">
                  <c:v>5752</c:v>
                </c:pt>
                <c:pt idx="227">
                  <c:v>5633</c:v>
                </c:pt>
                <c:pt idx="228">
                  <c:v>5747</c:v>
                </c:pt>
                <c:pt idx="229">
                  <c:v>5813</c:v>
                </c:pt>
                <c:pt idx="230">
                  <c:v>6046</c:v>
                </c:pt>
                <c:pt idx="231">
                  <c:v>6033</c:v>
                </c:pt>
                <c:pt idx="232">
                  <c:v>6089</c:v>
                </c:pt>
                <c:pt idx="233">
                  <c:v>6258</c:v>
                </c:pt>
                <c:pt idx="234">
                  <c:v>6122</c:v>
                </c:pt>
                <c:pt idx="235">
                  <c:v>5962</c:v>
                </c:pt>
                <c:pt idx="236">
                  <c:v>5831</c:v>
                </c:pt>
                <c:pt idx="237">
                  <c:v>5912</c:v>
                </c:pt>
                <c:pt idx="238">
                  <c:v>5793</c:v>
                </c:pt>
                <c:pt idx="239">
                  <c:v>5725</c:v>
                </c:pt>
                <c:pt idx="240">
                  <c:v>6220</c:v>
                </c:pt>
                <c:pt idx="241">
                  <c:v>5970</c:v>
                </c:pt>
                <c:pt idx="242">
                  <c:v>6482</c:v>
                </c:pt>
                <c:pt idx="243">
                  <c:v>5706</c:v>
                </c:pt>
                <c:pt idx="244">
                  <c:v>6252</c:v>
                </c:pt>
                <c:pt idx="245">
                  <c:v>5993</c:v>
                </c:pt>
                <c:pt idx="246">
                  <c:v>6171</c:v>
                </c:pt>
                <c:pt idx="247">
                  <c:v>5949</c:v>
                </c:pt>
                <c:pt idx="248">
                  <c:v>6742</c:v>
                </c:pt>
                <c:pt idx="249">
                  <c:v>5634</c:v>
                </c:pt>
                <c:pt idx="250">
                  <c:v>5969</c:v>
                </c:pt>
                <c:pt idx="251">
                  <c:v>5744</c:v>
                </c:pt>
                <c:pt idx="252">
                  <c:v>6463</c:v>
                </c:pt>
                <c:pt idx="253">
                  <c:v>5547</c:v>
                </c:pt>
                <c:pt idx="254">
                  <c:v>6122</c:v>
                </c:pt>
                <c:pt idx="255">
                  <c:v>6279</c:v>
                </c:pt>
                <c:pt idx="256">
                  <c:v>5991</c:v>
                </c:pt>
                <c:pt idx="257">
                  <c:v>6159</c:v>
                </c:pt>
                <c:pt idx="258">
                  <c:v>6346</c:v>
                </c:pt>
                <c:pt idx="259">
                  <c:v>6445</c:v>
                </c:pt>
                <c:pt idx="260">
                  <c:v>6542</c:v>
                </c:pt>
                <c:pt idx="261">
                  <c:v>6182</c:v>
                </c:pt>
                <c:pt idx="262">
                  <c:v>6436</c:v>
                </c:pt>
                <c:pt idx="263">
                  <c:v>5811</c:v>
                </c:pt>
                <c:pt idx="264">
                  <c:v>5947</c:v>
                </c:pt>
                <c:pt idx="265">
                  <c:v>6586</c:v>
                </c:pt>
                <c:pt idx="266">
                  <c:v>6152</c:v>
                </c:pt>
                <c:pt idx="267">
                  <c:v>6212</c:v>
                </c:pt>
                <c:pt idx="268">
                  <c:v>6423</c:v>
                </c:pt>
                <c:pt idx="269">
                  <c:v>6236</c:v>
                </c:pt>
                <c:pt idx="270">
                  <c:v>6232</c:v>
                </c:pt>
                <c:pt idx="271">
                  <c:v>6497</c:v>
                </c:pt>
                <c:pt idx="272">
                  <c:v>6615</c:v>
                </c:pt>
                <c:pt idx="273">
                  <c:v>6402</c:v>
                </c:pt>
                <c:pt idx="274">
                  <c:v>6341</c:v>
                </c:pt>
                <c:pt idx="275">
                  <c:v>6185</c:v>
                </c:pt>
                <c:pt idx="276">
                  <c:v>6549</c:v>
                </c:pt>
                <c:pt idx="277">
                  <c:v>6439</c:v>
                </c:pt>
                <c:pt idx="278">
                  <c:v>6606</c:v>
                </c:pt>
                <c:pt idx="279">
                  <c:v>6486</c:v>
                </c:pt>
                <c:pt idx="280">
                  <c:v>6285</c:v>
                </c:pt>
                <c:pt idx="281">
                  <c:v>6657</c:v>
                </c:pt>
                <c:pt idx="282">
                  <c:v>6554</c:v>
                </c:pt>
                <c:pt idx="283">
                  <c:v>6258</c:v>
                </c:pt>
                <c:pt idx="284">
                  <c:v>6329</c:v>
                </c:pt>
                <c:pt idx="285">
                  <c:v>6438</c:v>
                </c:pt>
                <c:pt idx="286">
                  <c:v>6078</c:v>
                </c:pt>
                <c:pt idx="287">
                  <c:v>6566</c:v>
                </c:pt>
                <c:pt idx="288">
                  <c:v>6661</c:v>
                </c:pt>
                <c:pt idx="289">
                  <c:v>6512</c:v>
                </c:pt>
                <c:pt idx="290">
                  <c:v>6313</c:v>
                </c:pt>
                <c:pt idx="291">
                  <c:v>6335</c:v>
                </c:pt>
                <c:pt idx="292">
                  <c:v>6540</c:v>
                </c:pt>
                <c:pt idx="293">
                  <c:v>6541</c:v>
                </c:pt>
                <c:pt idx="294">
                  <c:v>6828</c:v>
                </c:pt>
                <c:pt idx="295">
                  <c:v>6410</c:v>
                </c:pt>
                <c:pt idx="296">
                  <c:v>6626</c:v>
                </c:pt>
                <c:pt idx="297">
                  <c:v>6363</c:v>
                </c:pt>
                <c:pt idx="298">
                  <c:v>6758</c:v>
                </c:pt>
                <c:pt idx="299">
                  <c:v>6854</c:v>
                </c:pt>
                <c:pt idx="300">
                  <c:v>6520</c:v>
                </c:pt>
                <c:pt idx="301">
                  <c:v>6793</c:v>
                </c:pt>
                <c:pt idx="302">
                  <c:v>6788</c:v>
                </c:pt>
                <c:pt idx="303">
                  <c:v>6971</c:v>
                </c:pt>
                <c:pt idx="304">
                  <c:v>6422</c:v>
                </c:pt>
                <c:pt idx="305">
                  <c:v>6182</c:v>
                </c:pt>
                <c:pt idx="306">
                  <c:v>6828</c:v>
                </c:pt>
                <c:pt idx="307">
                  <c:v>6299</c:v>
                </c:pt>
                <c:pt idx="308">
                  <c:v>6496</c:v>
                </c:pt>
                <c:pt idx="309">
                  <c:v>6599</c:v>
                </c:pt>
                <c:pt idx="310">
                  <c:v>7030</c:v>
                </c:pt>
                <c:pt idx="311">
                  <c:v>6431</c:v>
                </c:pt>
                <c:pt idx="312">
                  <c:v>6959</c:v>
                </c:pt>
                <c:pt idx="313">
                  <c:v>6835</c:v>
                </c:pt>
                <c:pt idx="314">
                  <c:v>6966</c:v>
                </c:pt>
                <c:pt idx="315">
                  <c:v>7146</c:v>
                </c:pt>
                <c:pt idx="316">
                  <c:v>6990</c:v>
                </c:pt>
                <c:pt idx="317">
                  <c:v>6919</c:v>
                </c:pt>
                <c:pt idx="318">
                  <c:v>6797</c:v>
                </c:pt>
                <c:pt idx="319">
                  <c:v>6485</c:v>
                </c:pt>
                <c:pt idx="320">
                  <c:v>7043</c:v>
                </c:pt>
                <c:pt idx="321">
                  <c:v>6848</c:v>
                </c:pt>
                <c:pt idx="322">
                  <c:v>7029</c:v>
                </c:pt>
                <c:pt idx="323">
                  <c:v>6519</c:v>
                </c:pt>
                <c:pt idx="324">
                  <c:v>6800</c:v>
                </c:pt>
                <c:pt idx="325">
                  <c:v>7064</c:v>
                </c:pt>
                <c:pt idx="326">
                  <c:v>6967</c:v>
                </c:pt>
                <c:pt idx="327">
                  <c:v>7469</c:v>
                </c:pt>
                <c:pt idx="328">
                  <c:v>6978</c:v>
                </c:pt>
                <c:pt idx="329">
                  <c:v>7316</c:v>
                </c:pt>
                <c:pt idx="330">
                  <c:v>7151</c:v>
                </c:pt>
                <c:pt idx="331">
                  <c:v>7332</c:v>
                </c:pt>
                <c:pt idx="332">
                  <c:v>7409</c:v>
                </c:pt>
                <c:pt idx="333">
                  <c:v>7112</c:v>
                </c:pt>
                <c:pt idx="334">
                  <c:v>6758</c:v>
                </c:pt>
                <c:pt idx="335">
                  <c:v>7739</c:v>
                </c:pt>
                <c:pt idx="336">
                  <c:v>7511</c:v>
                </c:pt>
                <c:pt idx="337">
                  <c:v>7480</c:v>
                </c:pt>
                <c:pt idx="338">
                  <c:v>7394</c:v>
                </c:pt>
                <c:pt idx="339">
                  <c:v>7594</c:v>
                </c:pt>
                <c:pt idx="340">
                  <c:v>7931</c:v>
                </c:pt>
                <c:pt idx="341">
                  <c:v>8181</c:v>
                </c:pt>
                <c:pt idx="342">
                  <c:v>7558</c:v>
                </c:pt>
                <c:pt idx="343">
                  <c:v>7820</c:v>
                </c:pt>
                <c:pt idx="344">
                  <c:v>7560</c:v>
                </c:pt>
                <c:pt idx="345">
                  <c:v>7504</c:v>
                </c:pt>
                <c:pt idx="346">
                  <c:v>7741</c:v>
                </c:pt>
                <c:pt idx="347">
                  <c:v>7976</c:v>
                </c:pt>
                <c:pt idx="348">
                  <c:v>7718</c:v>
                </c:pt>
                <c:pt idx="349">
                  <c:v>8094</c:v>
                </c:pt>
                <c:pt idx="350">
                  <c:v>7570</c:v>
                </c:pt>
                <c:pt idx="351">
                  <c:v>7820</c:v>
                </c:pt>
                <c:pt idx="352">
                  <c:v>8075</c:v>
                </c:pt>
                <c:pt idx="353">
                  <c:v>8097</c:v>
                </c:pt>
                <c:pt idx="354">
                  <c:v>8098</c:v>
                </c:pt>
                <c:pt idx="355">
                  <c:v>8002</c:v>
                </c:pt>
                <c:pt idx="356">
                  <c:v>8283</c:v>
                </c:pt>
                <c:pt idx="357">
                  <c:v>8095</c:v>
                </c:pt>
                <c:pt idx="358">
                  <c:v>8250</c:v>
                </c:pt>
                <c:pt idx="359">
                  <c:v>8412</c:v>
                </c:pt>
                <c:pt idx="360">
                  <c:v>8513</c:v>
                </c:pt>
                <c:pt idx="361">
                  <c:v>8708</c:v>
                </c:pt>
                <c:pt idx="362">
                  <c:v>8929</c:v>
                </c:pt>
                <c:pt idx="363">
                  <c:v>8191</c:v>
                </c:pt>
                <c:pt idx="364">
                  <c:v>8502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83-40C8-8E9F-4E8A3DD1E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68400"/>
        <c:axId val="1288688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Smoothing Data</c:v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'Probability Distribution'!$A$2:$A$366</c15:sqref>
                        </c15:formulaRef>
                      </c:ext>
                    </c:extLst>
                    <c:numCache>
                      <c:formatCode>General</c:formatCode>
                      <c:ptCount val="365"/>
                      <c:pt idx="0">
                        <c:v>39</c:v>
                      </c:pt>
                      <c:pt idx="1">
                        <c:v>40</c:v>
                      </c:pt>
                      <c:pt idx="2">
                        <c:v>41</c:v>
                      </c:pt>
                      <c:pt idx="3">
                        <c:v>42</c:v>
                      </c:pt>
                      <c:pt idx="4">
                        <c:v>43</c:v>
                      </c:pt>
                      <c:pt idx="5">
                        <c:v>43</c:v>
                      </c:pt>
                      <c:pt idx="6">
                        <c:v>44</c:v>
                      </c:pt>
                      <c:pt idx="7">
                        <c:v>44</c:v>
                      </c:pt>
                      <c:pt idx="8">
                        <c:v>45</c:v>
                      </c:pt>
                      <c:pt idx="9">
                        <c:v>45</c:v>
                      </c:pt>
                      <c:pt idx="10">
                        <c:v>45</c:v>
                      </c:pt>
                      <c:pt idx="11">
                        <c:v>46</c:v>
                      </c:pt>
                      <c:pt idx="12">
                        <c:v>46</c:v>
                      </c:pt>
                      <c:pt idx="13">
                        <c:v>47</c:v>
                      </c:pt>
                      <c:pt idx="14">
                        <c:v>48</c:v>
                      </c:pt>
                      <c:pt idx="15">
                        <c:v>48</c:v>
                      </c:pt>
                      <c:pt idx="16">
                        <c:v>48</c:v>
                      </c:pt>
                      <c:pt idx="17">
                        <c:v>48</c:v>
                      </c:pt>
                      <c:pt idx="18">
                        <c:v>48</c:v>
                      </c:pt>
                      <c:pt idx="19">
                        <c:v>48</c:v>
                      </c:pt>
                      <c:pt idx="20">
                        <c:v>49</c:v>
                      </c:pt>
                      <c:pt idx="21">
                        <c:v>49</c:v>
                      </c:pt>
                      <c:pt idx="22">
                        <c:v>50</c:v>
                      </c:pt>
                      <c:pt idx="23">
                        <c:v>50</c:v>
                      </c:pt>
                      <c:pt idx="24">
                        <c:v>50</c:v>
                      </c:pt>
                      <c:pt idx="25">
                        <c:v>50</c:v>
                      </c:pt>
                      <c:pt idx="26">
                        <c:v>50</c:v>
                      </c:pt>
                      <c:pt idx="27">
                        <c:v>51</c:v>
                      </c:pt>
                      <c:pt idx="28">
                        <c:v>51</c:v>
                      </c:pt>
                      <c:pt idx="29">
                        <c:v>52</c:v>
                      </c:pt>
                      <c:pt idx="30">
                        <c:v>52</c:v>
                      </c:pt>
                      <c:pt idx="31">
                        <c:v>52</c:v>
                      </c:pt>
                      <c:pt idx="32">
                        <c:v>52</c:v>
                      </c:pt>
                      <c:pt idx="33">
                        <c:v>52</c:v>
                      </c:pt>
                      <c:pt idx="34">
                        <c:v>53</c:v>
                      </c:pt>
                      <c:pt idx="35">
                        <c:v>53</c:v>
                      </c:pt>
                      <c:pt idx="36">
                        <c:v>53</c:v>
                      </c:pt>
                      <c:pt idx="37">
                        <c:v>53</c:v>
                      </c:pt>
                      <c:pt idx="38">
                        <c:v>54</c:v>
                      </c:pt>
                      <c:pt idx="39">
                        <c:v>54</c:v>
                      </c:pt>
                      <c:pt idx="40">
                        <c:v>54</c:v>
                      </c:pt>
                      <c:pt idx="41">
                        <c:v>54</c:v>
                      </c:pt>
                      <c:pt idx="42">
                        <c:v>54</c:v>
                      </c:pt>
                      <c:pt idx="43">
                        <c:v>54</c:v>
                      </c:pt>
                      <c:pt idx="44">
                        <c:v>54</c:v>
                      </c:pt>
                      <c:pt idx="45">
                        <c:v>54</c:v>
                      </c:pt>
                      <c:pt idx="46">
                        <c:v>54</c:v>
                      </c:pt>
                      <c:pt idx="47">
                        <c:v>55</c:v>
                      </c:pt>
                      <c:pt idx="48">
                        <c:v>55</c:v>
                      </c:pt>
                      <c:pt idx="49">
                        <c:v>55</c:v>
                      </c:pt>
                      <c:pt idx="50">
                        <c:v>55</c:v>
                      </c:pt>
                      <c:pt idx="51">
                        <c:v>56</c:v>
                      </c:pt>
                      <c:pt idx="52">
                        <c:v>56</c:v>
                      </c:pt>
                      <c:pt idx="53">
                        <c:v>57</c:v>
                      </c:pt>
                      <c:pt idx="54">
                        <c:v>57</c:v>
                      </c:pt>
                      <c:pt idx="55">
                        <c:v>58</c:v>
                      </c:pt>
                      <c:pt idx="56">
                        <c:v>58</c:v>
                      </c:pt>
                      <c:pt idx="57">
                        <c:v>58</c:v>
                      </c:pt>
                      <c:pt idx="58">
                        <c:v>58</c:v>
                      </c:pt>
                      <c:pt idx="59">
                        <c:v>58</c:v>
                      </c:pt>
                      <c:pt idx="60">
                        <c:v>58</c:v>
                      </c:pt>
                      <c:pt idx="61">
                        <c:v>59</c:v>
                      </c:pt>
                      <c:pt idx="62">
                        <c:v>59</c:v>
                      </c:pt>
                      <c:pt idx="63">
                        <c:v>59</c:v>
                      </c:pt>
                      <c:pt idx="64">
                        <c:v>59</c:v>
                      </c:pt>
                      <c:pt idx="65">
                        <c:v>59</c:v>
                      </c:pt>
                      <c:pt idx="66">
                        <c:v>59</c:v>
                      </c:pt>
                      <c:pt idx="67">
                        <c:v>59</c:v>
                      </c:pt>
                      <c:pt idx="68">
                        <c:v>59</c:v>
                      </c:pt>
                      <c:pt idx="69">
                        <c:v>60</c:v>
                      </c:pt>
                      <c:pt idx="70">
                        <c:v>60</c:v>
                      </c:pt>
                      <c:pt idx="71">
                        <c:v>60</c:v>
                      </c:pt>
                      <c:pt idx="72">
                        <c:v>60</c:v>
                      </c:pt>
                      <c:pt idx="73">
                        <c:v>60</c:v>
                      </c:pt>
                      <c:pt idx="74">
                        <c:v>61</c:v>
                      </c:pt>
                      <c:pt idx="75">
                        <c:v>61</c:v>
                      </c:pt>
                      <c:pt idx="76">
                        <c:v>61</c:v>
                      </c:pt>
                      <c:pt idx="77">
                        <c:v>61</c:v>
                      </c:pt>
                      <c:pt idx="78">
                        <c:v>61</c:v>
                      </c:pt>
                      <c:pt idx="79">
                        <c:v>61</c:v>
                      </c:pt>
                      <c:pt idx="80">
                        <c:v>61</c:v>
                      </c:pt>
                      <c:pt idx="81">
                        <c:v>61</c:v>
                      </c:pt>
                      <c:pt idx="82">
                        <c:v>61</c:v>
                      </c:pt>
                      <c:pt idx="83">
                        <c:v>62</c:v>
                      </c:pt>
                      <c:pt idx="84">
                        <c:v>62</c:v>
                      </c:pt>
                      <c:pt idx="85">
                        <c:v>62</c:v>
                      </c:pt>
                      <c:pt idx="86">
                        <c:v>62</c:v>
                      </c:pt>
                      <c:pt idx="87">
                        <c:v>63</c:v>
                      </c:pt>
                      <c:pt idx="88">
                        <c:v>63</c:v>
                      </c:pt>
                      <c:pt idx="89">
                        <c:v>63</c:v>
                      </c:pt>
                      <c:pt idx="90">
                        <c:v>63</c:v>
                      </c:pt>
                      <c:pt idx="91">
                        <c:v>63</c:v>
                      </c:pt>
                      <c:pt idx="92">
                        <c:v>64</c:v>
                      </c:pt>
                      <c:pt idx="93">
                        <c:v>64</c:v>
                      </c:pt>
                      <c:pt idx="94">
                        <c:v>64</c:v>
                      </c:pt>
                      <c:pt idx="95">
                        <c:v>64</c:v>
                      </c:pt>
                      <c:pt idx="96">
                        <c:v>64</c:v>
                      </c:pt>
                      <c:pt idx="97">
                        <c:v>64</c:v>
                      </c:pt>
                      <c:pt idx="98">
                        <c:v>64</c:v>
                      </c:pt>
                      <c:pt idx="99">
                        <c:v>64</c:v>
                      </c:pt>
                      <c:pt idx="100">
                        <c:v>64</c:v>
                      </c:pt>
                      <c:pt idx="101">
                        <c:v>65</c:v>
                      </c:pt>
                      <c:pt idx="102">
                        <c:v>65</c:v>
                      </c:pt>
                      <c:pt idx="103">
                        <c:v>65</c:v>
                      </c:pt>
                      <c:pt idx="104">
                        <c:v>65</c:v>
                      </c:pt>
                      <c:pt idx="105">
                        <c:v>65</c:v>
                      </c:pt>
                      <c:pt idx="106">
                        <c:v>65</c:v>
                      </c:pt>
                      <c:pt idx="107">
                        <c:v>65</c:v>
                      </c:pt>
                      <c:pt idx="108">
                        <c:v>65</c:v>
                      </c:pt>
                      <c:pt idx="109">
                        <c:v>65</c:v>
                      </c:pt>
                      <c:pt idx="110">
                        <c:v>66</c:v>
                      </c:pt>
                      <c:pt idx="111">
                        <c:v>66</c:v>
                      </c:pt>
                      <c:pt idx="112">
                        <c:v>66</c:v>
                      </c:pt>
                      <c:pt idx="113">
                        <c:v>66</c:v>
                      </c:pt>
                      <c:pt idx="114">
                        <c:v>66</c:v>
                      </c:pt>
                      <c:pt idx="115">
                        <c:v>66</c:v>
                      </c:pt>
                      <c:pt idx="116">
                        <c:v>66</c:v>
                      </c:pt>
                      <c:pt idx="117">
                        <c:v>66</c:v>
                      </c:pt>
                      <c:pt idx="118">
                        <c:v>66</c:v>
                      </c:pt>
                      <c:pt idx="119">
                        <c:v>66</c:v>
                      </c:pt>
                      <c:pt idx="120">
                        <c:v>66</c:v>
                      </c:pt>
                      <c:pt idx="121">
                        <c:v>66</c:v>
                      </c:pt>
                      <c:pt idx="122">
                        <c:v>66</c:v>
                      </c:pt>
                      <c:pt idx="123">
                        <c:v>66</c:v>
                      </c:pt>
                      <c:pt idx="124">
                        <c:v>67</c:v>
                      </c:pt>
                      <c:pt idx="125">
                        <c:v>67</c:v>
                      </c:pt>
                      <c:pt idx="126">
                        <c:v>67</c:v>
                      </c:pt>
                      <c:pt idx="127">
                        <c:v>67</c:v>
                      </c:pt>
                      <c:pt idx="128">
                        <c:v>67</c:v>
                      </c:pt>
                      <c:pt idx="129">
                        <c:v>67</c:v>
                      </c:pt>
                      <c:pt idx="130">
                        <c:v>68</c:v>
                      </c:pt>
                      <c:pt idx="131">
                        <c:v>68</c:v>
                      </c:pt>
                      <c:pt idx="132">
                        <c:v>68</c:v>
                      </c:pt>
                      <c:pt idx="133">
                        <c:v>68</c:v>
                      </c:pt>
                      <c:pt idx="134">
                        <c:v>68</c:v>
                      </c:pt>
                      <c:pt idx="135">
                        <c:v>68</c:v>
                      </c:pt>
                      <c:pt idx="136">
                        <c:v>68</c:v>
                      </c:pt>
                      <c:pt idx="137">
                        <c:v>68</c:v>
                      </c:pt>
                      <c:pt idx="138">
                        <c:v>68</c:v>
                      </c:pt>
                      <c:pt idx="139">
                        <c:v>68</c:v>
                      </c:pt>
                      <c:pt idx="140">
                        <c:v>68</c:v>
                      </c:pt>
                      <c:pt idx="141">
                        <c:v>68</c:v>
                      </c:pt>
                      <c:pt idx="142">
                        <c:v>69</c:v>
                      </c:pt>
                      <c:pt idx="143">
                        <c:v>69</c:v>
                      </c:pt>
                      <c:pt idx="144">
                        <c:v>69</c:v>
                      </c:pt>
                      <c:pt idx="145">
                        <c:v>69</c:v>
                      </c:pt>
                      <c:pt idx="146">
                        <c:v>69</c:v>
                      </c:pt>
                      <c:pt idx="147">
                        <c:v>69</c:v>
                      </c:pt>
                      <c:pt idx="148">
                        <c:v>70</c:v>
                      </c:pt>
                      <c:pt idx="149">
                        <c:v>70</c:v>
                      </c:pt>
                      <c:pt idx="150">
                        <c:v>70</c:v>
                      </c:pt>
                      <c:pt idx="151">
                        <c:v>70</c:v>
                      </c:pt>
                      <c:pt idx="152">
                        <c:v>70</c:v>
                      </c:pt>
                      <c:pt idx="153">
                        <c:v>70</c:v>
                      </c:pt>
                      <c:pt idx="154">
                        <c:v>70</c:v>
                      </c:pt>
                      <c:pt idx="155">
                        <c:v>70</c:v>
                      </c:pt>
                      <c:pt idx="156">
                        <c:v>70</c:v>
                      </c:pt>
                      <c:pt idx="157">
                        <c:v>71</c:v>
                      </c:pt>
                      <c:pt idx="158">
                        <c:v>71</c:v>
                      </c:pt>
                      <c:pt idx="159">
                        <c:v>71</c:v>
                      </c:pt>
                      <c:pt idx="160">
                        <c:v>71</c:v>
                      </c:pt>
                      <c:pt idx="161">
                        <c:v>71</c:v>
                      </c:pt>
                      <c:pt idx="162">
                        <c:v>71</c:v>
                      </c:pt>
                      <c:pt idx="163">
                        <c:v>71</c:v>
                      </c:pt>
                      <c:pt idx="164">
                        <c:v>71</c:v>
                      </c:pt>
                      <c:pt idx="165">
                        <c:v>71</c:v>
                      </c:pt>
                      <c:pt idx="166">
                        <c:v>72</c:v>
                      </c:pt>
                      <c:pt idx="167">
                        <c:v>72</c:v>
                      </c:pt>
                      <c:pt idx="168">
                        <c:v>72</c:v>
                      </c:pt>
                      <c:pt idx="169">
                        <c:v>72</c:v>
                      </c:pt>
                      <c:pt idx="170">
                        <c:v>72</c:v>
                      </c:pt>
                      <c:pt idx="171">
                        <c:v>72</c:v>
                      </c:pt>
                      <c:pt idx="172">
                        <c:v>72</c:v>
                      </c:pt>
                      <c:pt idx="173">
                        <c:v>72</c:v>
                      </c:pt>
                      <c:pt idx="174">
                        <c:v>72</c:v>
                      </c:pt>
                      <c:pt idx="175">
                        <c:v>72</c:v>
                      </c:pt>
                      <c:pt idx="176">
                        <c:v>73</c:v>
                      </c:pt>
                      <c:pt idx="177">
                        <c:v>73</c:v>
                      </c:pt>
                      <c:pt idx="178">
                        <c:v>73</c:v>
                      </c:pt>
                      <c:pt idx="179">
                        <c:v>73</c:v>
                      </c:pt>
                      <c:pt idx="180">
                        <c:v>73</c:v>
                      </c:pt>
                      <c:pt idx="181">
                        <c:v>73</c:v>
                      </c:pt>
                      <c:pt idx="182">
                        <c:v>73</c:v>
                      </c:pt>
                      <c:pt idx="183">
                        <c:v>73</c:v>
                      </c:pt>
                      <c:pt idx="184">
                        <c:v>73</c:v>
                      </c:pt>
                      <c:pt idx="185">
                        <c:v>74</c:v>
                      </c:pt>
                      <c:pt idx="186">
                        <c:v>74</c:v>
                      </c:pt>
                      <c:pt idx="187">
                        <c:v>74</c:v>
                      </c:pt>
                      <c:pt idx="188">
                        <c:v>74</c:v>
                      </c:pt>
                      <c:pt idx="189">
                        <c:v>74</c:v>
                      </c:pt>
                      <c:pt idx="190">
                        <c:v>74</c:v>
                      </c:pt>
                      <c:pt idx="191">
                        <c:v>74</c:v>
                      </c:pt>
                      <c:pt idx="192">
                        <c:v>74</c:v>
                      </c:pt>
                      <c:pt idx="193">
                        <c:v>74</c:v>
                      </c:pt>
                      <c:pt idx="194">
                        <c:v>74</c:v>
                      </c:pt>
                      <c:pt idx="195">
                        <c:v>74</c:v>
                      </c:pt>
                      <c:pt idx="196">
                        <c:v>74</c:v>
                      </c:pt>
                      <c:pt idx="197">
                        <c:v>75</c:v>
                      </c:pt>
                      <c:pt idx="198">
                        <c:v>75</c:v>
                      </c:pt>
                      <c:pt idx="199">
                        <c:v>75</c:v>
                      </c:pt>
                      <c:pt idx="200">
                        <c:v>75</c:v>
                      </c:pt>
                      <c:pt idx="201">
                        <c:v>75</c:v>
                      </c:pt>
                      <c:pt idx="202">
                        <c:v>75</c:v>
                      </c:pt>
                      <c:pt idx="203">
                        <c:v>76</c:v>
                      </c:pt>
                      <c:pt idx="204">
                        <c:v>76</c:v>
                      </c:pt>
                      <c:pt idx="205">
                        <c:v>76</c:v>
                      </c:pt>
                      <c:pt idx="206">
                        <c:v>76</c:v>
                      </c:pt>
                      <c:pt idx="207">
                        <c:v>76</c:v>
                      </c:pt>
                      <c:pt idx="208">
                        <c:v>76</c:v>
                      </c:pt>
                      <c:pt idx="209">
                        <c:v>76</c:v>
                      </c:pt>
                      <c:pt idx="210">
                        <c:v>76</c:v>
                      </c:pt>
                      <c:pt idx="211">
                        <c:v>76</c:v>
                      </c:pt>
                      <c:pt idx="212">
                        <c:v>76</c:v>
                      </c:pt>
                      <c:pt idx="213">
                        <c:v>76</c:v>
                      </c:pt>
                      <c:pt idx="214">
                        <c:v>77</c:v>
                      </c:pt>
                      <c:pt idx="215">
                        <c:v>77</c:v>
                      </c:pt>
                      <c:pt idx="216">
                        <c:v>77</c:v>
                      </c:pt>
                      <c:pt idx="217">
                        <c:v>77</c:v>
                      </c:pt>
                      <c:pt idx="218">
                        <c:v>77</c:v>
                      </c:pt>
                      <c:pt idx="219">
                        <c:v>77</c:v>
                      </c:pt>
                      <c:pt idx="220">
                        <c:v>77</c:v>
                      </c:pt>
                      <c:pt idx="221">
                        <c:v>77</c:v>
                      </c:pt>
                      <c:pt idx="222">
                        <c:v>77</c:v>
                      </c:pt>
                      <c:pt idx="223">
                        <c:v>77</c:v>
                      </c:pt>
                      <c:pt idx="224">
                        <c:v>77</c:v>
                      </c:pt>
                      <c:pt idx="225">
                        <c:v>77</c:v>
                      </c:pt>
                      <c:pt idx="226">
                        <c:v>77</c:v>
                      </c:pt>
                      <c:pt idx="227">
                        <c:v>77</c:v>
                      </c:pt>
                      <c:pt idx="228">
                        <c:v>77</c:v>
                      </c:pt>
                      <c:pt idx="229">
                        <c:v>78</c:v>
                      </c:pt>
                      <c:pt idx="230">
                        <c:v>78</c:v>
                      </c:pt>
                      <c:pt idx="231">
                        <c:v>78</c:v>
                      </c:pt>
                      <c:pt idx="232">
                        <c:v>78</c:v>
                      </c:pt>
                      <c:pt idx="233">
                        <c:v>78</c:v>
                      </c:pt>
                      <c:pt idx="234">
                        <c:v>78</c:v>
                      </c:pt>
                      <c:pt idx="235">
                        <c:v>78</c:v>
                      </c:pt>
                      <c:pt idx="236">
                        <c:v>78</c:v>
                      </c:pt>
                      <c:pt idx="237">
                        <c:v>78</c:v>
                      </c:pt>
                      <c:pt idx="238">
                        <c:v>78</c:v>
                      </c:pt>
                      <c:pt idx="239">
                        <c:v>78</c:v>
                      </c:pt>
                      <c:pt idx="240">
                        <c:v>78</c:v>
                      </c:pt>
                      <c:pt idx="241">
                        <c:v>79</c:v>
                      </c:pt>
                      <c:pt idx="242">
                        <c:v>79</c:v>
                      </c:pt>
                      <c:pt idx="243">
                        <c:v>79</c:v>
                      </c:pt>
                      <c:pt idx="244">
                        <c:v>79</c:v>
                      </c:pt>
                      <c:pt idx="245">
                        <c:v>79</c:v>
                      </c:pt>
                      <c:pt idx="246">
                        <c:v>79</c:v>
                      </c:pt>
                      <c:pt idx="247">
                        <c:v>79</c:v>
                      </c:pt>
                      <c:pt idx="248">
                        <c:v>79</c:v>
                      </c:pt>
                      <c:pt idx="249">
                        <c:v>79</c:v>
                      </c:pt>
                      <c:pt idx="250">
                        <c:v>79</c:v>
                      </c:pt>
                      <c:pt idx="251">
                        <c:v>79</c:v>
                      </c:pt>
                      <c:pt idx="252">
                        <c:v>79</c:v>
                      </c:pt>
                      <c:pt idx="253">
                        <c:v>80</c:v>
                      </c:pt>
                      <c:pt idx="254">
                        <c:v>80</c:v>
                      </c:pt>
                      <c:pt idx="255">
                        <c:v>80</c:v>
                      </c:pt>
                      <c:pt idx="256">
                        <c:v>80</c:v>
                      </c:pt>
                      <c:pt idx="257">
                        <c:v>80</c:v>
                      </c:pt>
                      <c:pt idx="258">
                        <c:v>80</c:v>
                      </c:pt>
                      <c:pt idx="259">
                        <c:v>80</c:v>
                      </c:pt>
                      <c:pt idx="260">
                        <c:v>80</c:v>
                      </c:pt>
                      <c:pt idx="261">
                        <c:v>80</c:v>
                      </c:pt>
                      <c:pt idx="262">
                        <c:v>81</c:v>
                      </c:pt>
                      <c:pt idx="263">
                        <c:v>81</c:v>
                      </c:pt>
                      <c:pt idx="264">
                        <c:v>81</c:v>
                      </c:pt>
                      <c:pt idx="265">
                        <c:v>81</c:v>
                      </c:pt>
                      <c:pt idx="266">
                        <c:v>81</c:v>
                      </c:pt>
                      <c:pt idx="267">
                        <c:v>81</c:v>
                      </c:pt>
                      <c:pt idx="268">
                        <c:v>81</c:v>
                      </c:pt>
                      <c:pt idx="269">
                        <c:v>81</c:v>
                      </c:pt>
                      <c:pt idx="270">
                        <c:v>81</c:v>
                      </c:pt>
                      <c:pt idx="271">
                        <c:v>82</c:v>
                      </c:pt>
                      <c:pt idx="272">
                        <c:v>82</c:v>
                      </c:pt>
                      <c:pt idx="273">
                        <c:v>82</c:v>
                      </c:pt>
                      <c:pt idx="274">
                        <c:v>82</c:v>
                      </c:pt>
                      <c:pt idx="275">
                        <c:v>82</c:v>
                      </c:pt>
                      <c:pt idx="276">
                        <c:v>82</c:v>
                      </c:pt>
                      <c:pt idx="277">
                        <c:v>82</c:v>
                      </c:pt>
                      <c:pt idx="278">
                        <c:v>82</c:v>
                      </c:pt>
                      <c:pt idx="279">
                        <c:v>82</c:v>
                      </c:pt>
                      <c:pt idx="280">
                        <c:v>82</c:v>
                      </c:pt>
                      <c:pt idx="281">
                        <c:v>82</c:v>
                      </c:pt>
                      <c:pt idx="282">
                        <c:v>83</c:v>
                      </c:pt>
                      <c:pt idx="283">
                        <c:v>83</c:v>
                      </c:pt>
                      <c:pt idx="284">
                        <c:v>83</c:v>
                      </c:pt>
                      <c:pt idx="285">
                        <c:v>83</c:v>
                      </c:pt>
                      <c:pt idx="286">
                        <c:v>83</c:v>
                      </c:pt>
                      <c:pt idx="287">
                        <c:v>83</c:v>
                      </c:pt>
                      <c:pt idx="288">
                        <c:v>84</c:v>
                      </c:pt>
                      <c:pt idx="289">
                        <c:v>84</c:v>
                      </c:pt>
                      <c:pt idx="290">
                        <c:v>84</c:v>
                      </c:pt>
                      <c:pt idx="291">
                        <c:v>84</c:v>
                      </c:pt>
                      <c:pt idx="292">
                        <c:v>84</c:v>
                      </c:pt>
                      <c:pt idx="293">
                        <c:v>84</c:v>
                      </c:pt>
                      <c:pt idx="294">
                        <c:v>84</c:v>
                      </c:pt>
                      <c:pt idx="295">
                        <c:v>84</c:v>
                      </c:pt>
                      <c:pt idx="296">
                        <c:v>84</c:v>
                      </c:pt>
                      <c:pt idx="297">
                        <c:v>84</c:v>
                      </c:pt>
                      <c:pt idx="298">
                        <c:v>84</c:v>
                      </c:pt>
                      <c:pt idx="299">
                        <c:v>84</c:v>
                      </c:pt>
                      <c:pt idx="300">
                        <c:v>84</c:v>
                      </c:pt>
                      <c:pt idx="301">
                        <c:v>85</c:v>
                      </c:pt>
                      <c:pt idx="302">
                        <c:v>85</c:v>
                      </c:pt>
                      <c:pt idx="303">
                        <c:v>85</c:v>
                      </c:pt>
                      <c:pt idx="304">
                        <c:v>85</c:v>
                      </c:pt>
                      <c:pt idx="305">
                        <c:v>85</c:v>
                      </c:pt>
                      <c:pt idx="306">
                        <c:v>85</c:v>
                      </c:pt>
                      <c:pt idx="307">
                        <c:v>85</c:v>
                      </c:pt>
                      <c:pt idx="308">
                        <c:v>85</c:v>
                      </c:pt>
                      <c:pt idx="309">
                        <c:v>85</c:v>
                      </c:pt>
                      <c:pt idx="310">
                        <c:v>85</c:v>
                      </c:pt>
                      <c:pt idx="311">
                        <c:v>85</c:v>
                      </c:pt>
                      <c:pt idx="312">
                        <c:v>86</c:v>
                      </c:pt>
                      <c:pt idx="313">
                        <c:v>86</c:v>
                      </c:pt>
                      <c:pt idx="314">
                        <c:v>86</c:v>
                      </c:pt>
                      <c:pt idx="315">
                        <c:v>86</c:v>
                      </c:pt>
                      <c:pt idx="316">
                        <c:v>86</c:v>
                      </c:pt>
                      <c:pt idx="317">
                        <c:v>86</c:v>
                      </c:pt>
                      <c:pt idx="318">
                        <c:v>86</c:v>
                      </c:pt>
                      <c:pt idx="319">
                        <c:v>86</c:v>
                      </c:pt>
                      <c:pt idx="320">
                        <c:v>87</c:v>
                      </c:pt>
                      <c:pt idx="321">
                        <c:v>87</c:v>
                      </c:pt>
                      <c:pt idx="322">
                        <c:v>87</c:v>
                      </c:pt>
                      <c:pt idx="323">
                        <c:v>87</c:v>
                      </c:pt>
                      <c:pt idx="324">
                        <c:v>87</c:v>
                      </c:pt>
                      <c:pt idx="325">
                        <c:v>87</c:v>
                      </c:pt>
                      <c:pt idx="326">
                        <c:v>88</c:v>
                      </c:pt>
                      <c:pt idx="327">
                        <c:v>88</c:v>
                      </c:pt>
                      <c:pt idx="328">
                        <c:v>88</c:v>
                      </c:pt>
                      <c:pt idx="329">
                        <c:v>89</c:v>
                      </c:pt>
                      <c:pt idx="330">
                        <c:v>89</c:v>
                      </c:pt>
                      <c:pt idx="331">
                        <c:v>89</c:v>
                      </c:pt>
                      <c:pt idx="332">
                        <c:v>89</c:v>
                      </c:pt>
                      <c:pt idx="333">
                        <c:v>90</c:v>
                      </c:pt>
                      <c:pt idx="334">
                        <c:v>90</c:v>
                      </c:pt>
                      <c:pt idx="335">
                        <c:v>90</c:v>
                      </c:pt>
                      <c:pt idx="336">
                        <c:v>90</c:v>
                      </c:pt>
                      <c:pt idx="337">
                        <c:v>90</c:v>
                      </c:pt>
                      <c:pt idx="338">
                        <c:v>90</c:v>
                      </c:pt>
                      <c:pt idx="339">
                        <c:v>90</c:v>
                      </c:pt>
                      <c:pt idx="340">
                        <c:v>91</c:v>
                      </c:pt>
                      <c:pt idx="341">
                        <c:v>91</c:v>
                      </c:pt>
                      <c:pt idx="342">
                        <c:v>91</c:v>
                      </c:pt>
                      <c:pt idx="343">
                        <c:v>92</c:v>
                      </c:pt>
                      <c:pt idx="344">
                        <c:v>92</c:v>
                      </c:pt>
                      <c:pt idx="345">
                        <c:v>92</c:v>
                      </c:pt>
                      <c:pt idx="346">
                        <c:v>92</c:v>
                      </c:pt>
                      <c:pt idx="347">
                        <c:v>93</c:v>
                      </c:pt>
                      <c:pt idx="348">
                        <c:v>93</c:v>
                      </c:pt>
                      <c:pt idx="349">
                        <c:v>94</c:v>
                      </c:pt>
                      <c:pt idx="350">
                        <c:v>94</c:v>
                      </c:pt>
                      <c:pt idx="351">
                        <c:v>95</c:v>
                      </c:pt>
                      <c:pt idx="352">
                        <c:v>95</c:v>
                      </c:pt>
                      <c:pt idx="353">
                        <c:v>95</c:v>
                      </c:pt>
                      <c:pt idx="354">
                        <c:v>95</c:v>
                      </c:pt>
                      <c:pt idx="355">
                        <c:v>96</c:v>
                      </c:pt>
                      <c:pt idx="356">
                        <c:v>96</c:v>
                      </c:pt>
                      <c:pt idx="357">
                        <c:v>96</c:v>
                      </c:pt>
                      <c:pt idx="358">
                        <c:v>97</c:v>
                      </c:pt>
                      <c:pt idx="359">
                        <c:v>98</c:v>
                      </c:pt>
                      <c:pt idx="360">
                        <c:v>99</c:v>
                      </c:pt>
                      <c:pt idx="361">
                        <c:v>99</c:v>
                      </c:pt>
                      <c:pt idx="362">
                        <c:v>99</c:v>
                      </c:pt>
                      <c:pt idx="363">
                        <c:v>101</c:v>
                      </c:pt>
                      <c:pt idx="364">
                        <c:v>101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'Probability Distribution'!$H$2:$H$366</c15:sqref>
                        </c15:formulaRef>
                      </c:ext>
                    </c:extLst>
                    <c:numCache>
                      <c:formatCode>General</c:formatCode>
                      <c:ptCount val="365"/>
                      <c:pt idx="0">
                        <c:v>1317</c:v>
                      </c:pt>
                      <c:pt idx="1">
                        <c:v>1152.8419730824387</c:v>
                      </c:pt>
                      <c:pt idx="2">
                        <c:v>2012.0287756989003</c:v>
                      </c:pt>
                      <c:pt idx="3">
                        <c:v>2144.5382219712797</c:v>
                      </c:pt>
                      <c:pt idx="4">
                        <c:v>1822.7001145522327</c:v>
                      </c:pt>
                      <c:pt idx="5">
                        <c:v>1529.6743400568926</c:v>
                      </c:pt>
                      <c:pt idx="6">
                        <c:v>1890.4897188699508</c:v>
                      </c:pt>
                      <c:pt idx="7">
                        <c:v>2056.7212916510102</c:v>
                      </c:pt>
                      <c:pt idx="8">
                        <c:v>2307.7069233648213</c:v>
                      </c:pt>
                      <c:pt idx="9">
                        <c:v>2386.9910929954735</c:v>
                      </c:pt>
                      <c:pt idx="10">
                        <c:v>1930.3698406954763</c:v>
                      </c:pt>
                      <c:pt idx="11">
                        <c:v>2064.7772137243869</c:v>
                      </c:pt>
                      <c:pt idx="12">
                        <c:v>1948.5481750257316</c:v>
                      </c:pt>
                      <c:pt idx="13">
                        <c:v>2229.5680091777476</c:v>
                      </c:pt>
                      <c:pt idx="14">
                        <c:v>2560.5114457883342</c:v>
                      </c:pt>
                      <c:pt idx="15">
                        <c:v>2631.3304308346096</c:v>
                      </c:pt>
                      <c:pt idx="16">
                        <c:v>2448.234058756615</c:v>
                      </c:pt>
                      <c:pt idx="17">
                        <c:v>2697.9051246545309</c:v>
                      </c:pt>
                      <c:pt idx="18">
                        <c:v>2554.359186642851</c:v>
                      </c:pt>
                      <c:pt idx="19">
                        <c:v>2142.48953607868</c:v>
                      </c:pt>
                      <c:pt idx="20">
                        <c:v>2783.9176055181306</c:v>
                      </c:pt>
                      <c:pt idx="21">
                        <c:v>2405.7593591055811</c:v>
                      </c:pt>
                      <c:pt idx="22">
                        <c:v>2197.1588538389969</c:v>
                      </c:pt>
                      <c:pt idx="23">
                        <c:v>2546.8715212379634</c:v>
                      </c:pt>
                      <c:pt idx="24">
                        <c:v>2853.9280328737013</c:v>
                      </c:pt>
                      <c:pt idx="25">
                        <c:v>2911.772195488134</c:v>
                      </c:pt>
                      <c:pt idx="26">
                        <c:v>2806.1227386082705</c:v>
                      </c:pt>
                      <c:pt idx="27">
                        <c:v>2054.0197526824522</c:v>
                      </c:pt>
                      <c:pt idx="28">
                        <c:v>3236.8423279830613</c:v>
                      </c:pt>
                      <c:pt idx="29">
                        <c:v>3342.1878811308197</c:v>
                      </c:pt>
                      <c:pt idx="30">
                        <c:v>2889.6221627964251</c:v>
                      </c:pt>
                      <c:pt idx="31">
                        <c:v>2824.8759477739873</c:v>
                      </c:pt>
                      <c:pt idx="32">
                        <c:v>2717.5713669091956</c:v>
                      </c:pt>
                      <c:pt idx="33">
                        <c:v>2920.0724099648996</c:v>
                      </c:pt>
                      <c:pt idx="34">
                        <c:v>3391.2886868202595</c:v>
                      </c:pt>
                      <c:pt idx="35">
                        <c:v>3319.1788693524936</c:v>
                      </c:pt>
                      <c:pt idx="36">
                        <c:v>2464.653013664145</c:v>
                      </c:pt>
                      <c:pt idx="37">
                        <c:v>2651.6049856508066</c:v>
                      </c:pt>
                      <c:pt idx="38">
                        <c:v>3009.6806558554249</c:v>
                      </c:pt>
                      <c:pt idx="39">
                        <c:v>3546.5353043718146</c:v>
                      </c:pt>
                      <c:pt idx="40">
                        <c:v>3098.3304763653664</c:v>
                      </c:pt>
                      <c:pt idx="41">
                        <c:v>3194.805341315026</c:v>
                      </c:pt>
                      <c:pt idx="42">
                        <c:v>3444.7000108924094</c:v>
                      </c:pt>
                      <c:pt idx="43">
                        <c:v>2790.8863326872643</c:v>
                      </c:pt>
                      <c:pt idx="44">
                        <c:v>2523.2881668518494</c:v>
                      </c:pt>
                      <c:pt idx="45">
                        <c:v>2643.4610075726396</c:v>
                      </c:pt>
                      <c:pt idx="46">
                        <c:v>3060.4023205389967</c:v>
                      </c:pt>
                      <c:pt idx="47">
                        <c:v>2814.0302984440063</c:v>
                      </c:pt>
                      <c:pt idx="48">
                        <c:v>2960.8808928405424</c:v>
                      </c:pt>
                      <c:pt idx="49">
                        <c:v>3552.2389001076558</c:v>
                      </c:pt>
                      <c:pt idx="50">
                        <c:v>3655.7565591594162</c:v>
                      </c:pt>
                      <c:pt idx="51">
                        <c:v>3433.1514831869331</c:v>
                      </c:pt>
                      <c:pt idx="52">
                        <c:v>3475.149091967362</c:v>
                      </c:pt>
                      <c:pt idx="53">
                        <c:v>3015.5075344815473</c:v>
                      </c:pt>
                      <c:pt idx="54">
                        <c:v>3559.9571527208732</c:v>
                      </c:pt>
                      <c:pt idx="55">
                        <c:v>3411.8676171014044</c:v>
                      </c:pt>
                      <c:pt idx="56">
                        <c:v>3763.5237768397228</c:v>
                      </c:pt>
                      <c:pt idx="57">
                        <c:v>3144.4019382601059</c:v>
                      </c:pt>
                      <c:pt idx="58">
                        <c:v>3443.9045204400113</c:v>
                      </c:pt>
                      <c:pt idx="59">
                        <c:v>3683.2806937650416</c:v>
                      </c:pt>
                      <c:pt idx="60">
                        <c:v>3233.6399944944824</c:v>
                      </c:pt>
                      <c:pt idx="61">
                        <c:v>3856.3901521241701</c:v>
                      </c:pt>
                      <c:pt idx="62">
                        <c:v>2917.4719174721913</c:v>
                      </c:pt>
                      <c:pt idx="63">
                        <c:v>3818.0867054093783</c:v>
                      </c:pt>
                      <c:pt idx="64">
                        <c:v>3974.7484907775424</c:v>
                      </c:pt>
                      <c:pt idx="65">
                        <c:v>3777.5014697360234</c:v>
                      </c:pt>
                      <c:pt idx="66">
                        <c:v>3107.0367114571104</c:v>
                      </c:pt>
                      <c:pt idx="67">
                        <c:v>3660.6613727799663</c:v>
                      </c:pt>
                      <c:pt idx="68">
                        <c:v>3576.0386341535914</c:v>
                      </c:pt>
                      <c:pt idx="69">
                        <c:v>3496.7581486661397</c:v>
                      </c:pt>
                      <c:pt idx="70">
                        <c:v>3632.4995027098785</c:v>
                      </c:pt>
                      <c:pt idx="71">
                        <c:v>4172.8155859860026</c:v>
                      </c:pt>
                      <c:pt idx="72">
                        <c:v>4163.3172357596168</c:v>
                      </c:pt>
                      <c:pt idx="73">
                        <c:v>4217.7058096531018</c:v>
                      </c:pt>
                      <c:pt idx="74">
                        <c:v>3786.0104275255562</c:v>
                      </c:pt>
                      <c:pt idx="75">
                        <c:v>3696.9051033320084</c:v>
                      </c:pt>
                      <c:pt idx="76">
                        <c:v>3747.9635682791254</c:v>
                      </c:pt>
                      <c:pt idx="77">
                        <c:v>3684.3323994198345</c:v>
                      </c:pt>
                      <c:pt idx="78">
                        <c:v>3975.8853037065951</c:v>
                      </c:pt>
                      <c:pt idx="79">
                        <c:v>3770.9951139400864</c:v>
                      </c:pt>
                      <c:pt idx="80">
                        <c:v>3956.7910930161311</c:v>
                      </c:pt>
                      <c:pt idx="81">
                        <c:v>3836.8807584458646</c:v>
                      </c:pt>
                      <c:pt idx="82">
                        <c:v>3730.9570307471213</c:v>
                      </c:pt>
                      <c:pt idx="83">
                        <c:v>3897.6896565813313</c:v>
                      </c:pt>
                      <c:pt idx="84">
                        <c:v>4249.8109501683766</c:v>
                      </c:pt>
                      <c:pt idx="85">
                        <c:v>4125.9457665976361</c:v>
                      </c:pt>
                      <c:pt idx="86">
                        <c:v>3749.1929333203093</c:v>
                      </c:pt>
                      <c:pt idx="87">
                        <c:v>5232.158778009567</c:v>
                      </c:pt>
                      <c:pt idx="88">
                        <c:v>4737.0778377247225</c:v>
                      </c:pt>
                      <c:pt idx="89">
                        <c:v>4109.7930344648012</c:v>
                      </c:pt>
                      <c:pt idx="90">
                        <c:v>3846.3895185715824</c:v>
                      </c:pt>
                      <c:pt idx="91">
                        <c:v>3710.4277110581929</c:v>
                      </c:pt>
                      <c:pt idx="92">
                        <c:v>3963.2422336210302</c:v>
                      </c:pt>
                      <c:pt idx="93">
                        <c:v>4042.000294586775</c:v>
                      </c:pt>
                      <c:pt idx="94">
                        <c:v>4173.3681182592427</c:v>
                      </c:pt>
                      <c:pt idx="95">
                        <c:v>4642.8410810977812</c:v>
                      </c:pt>
                      <c:pt idx="96">
                        <c:v>4183.2826610271277</c:v>
                      </c:pt>
                      <c:pt idx="97">
                        <c:v>3914.4472020109438</c:v>
                      </c:pt>
                      <c:pt idx="98">
                        <c:v>3697.7768863094766</c:v>
                      </c:pt>
                      <c:pt idx="99">
                        <c:v>4426.1342984508801</c:v>
                      </c:pt>
                      <c:pt idx="100">
                        <c:v>4609.1350204194696</c:v>
                      </c:pt>
                      <c:pt idx="101">
                        <c:v>4965.516245201994</c:v>
                      </c:pt>
                      <c:pt idx="102">
                        <c:v>4683.9846464316415</c:v>
                      </c:pt>
                      <c:pt idx="103">
                        <c:v>3987.12247169906</c:v>
                      </c:pt>
                      <c:pt idx="104">
                        <c:v>4213.1573369715952</c:v>
                      </c:pt>
                      <c:pt idx="105">
                        <c:v>4224.822641079093</c:v>
                      </c:pt>
                      <c:pt idx="106">
                        <c:v>4174.081928706416</c:v>
                      </c:pt>
                      <c:pt idx="107">
                        <c:v>4330.1773109687874</c:v>
                      </c:pt>
                      <c:pt idx="108">
                        <c:v>4500.6745119458974</c:v>
                      </c:pt>
                      <c:pt idx="109">
                        <c:v>4304.2922663399695</c:v>
                      </c:pt>
                      <c:pt idx="110">
                        <c:v>4276.2246952901178</c:v>
                      </c:pt>
                      <c:pt idx="111">
                        <c:v>4172.4748962889225</c:v>
                      </c:pt>
                      <c:pt idx="112">
                        <c:v>4751.5035537778858</c:v>
                      </c:pt>
                      <c:pt idx="113">
                        <c:v>4980.3960691173479</c:v>
                      </c:pt>
                      <c:pt idx="114">
                        <c:v>4519.5844061519074</c:v>
                      </c:pt>
                      <c:pt idx="115">
                        <c:v>4748.5046351935853</c:v>
                      </c:pt>
                      <c:pt idx="116">
                        <c:v>4486.6594438025386</c:v>
                      </c:pt>
                      <c:pt idx="117">
                        <c:v>4436.0719116933587</c:v>
                      </c:pt>
                      <c:pt idx="118">
                        <c:v>4505.230398785402</c:v>
                      </c:pt>
                      <c:pt idx="119">
                        <c:v>4789.6663052432505</c:v>
                      </c:pt>
                      <c:pt idx="120">
                        <c:v>4949.5688900727855</c:v>
                      </c:pt>
                      <c:pt idx="121">
                        <c:v>5369.4552866078084</c:v>
                      </c:pt>
                      <c:pt idx="122">
                        <c:v>4522.4662725874459</c:v>
                      </c:pt>
                      <c:pt idx="123">
                        <c:v>3733.0287389569676</c:v>
                      </c:pt>
                      <c:pt idx="124">
                        <c:v>4722.5981752598645</c:v>
                      </c:pt>
                      <c:pt idx="125">
                        <c:v>4624.3292772571795</c:v>
                      </c:pt>
                      <c:pt idx="126">
                        <c:v>4645.6731526429285</c:v>
                      </c:pt>
                      <c:pt idx="127">
                        <c:v>4477.5972225285459</c:v>
                      </c:pt>
                      <c:pt idx="128">
                        <c:v>4194.7840936038028</c:v>
                      </c:pt>
                      <c:pt idx="129">
                        <c:v>5151.4023055170373</c:v>
                      </c:pt>
                      <c:pt idx="130">
                        <c:v>4720.0586889173519</c:v>
                      </c:pt>
                      <c:pt idx="131">
                        <c:v>4998.7198914563696</c:v>
                      </c:pt>
                      <c:pt idx="132">
                        <c:v>4595.4584077449645</c:v>
                      </c:pt>
                      <c:pt idx="133">
                        <c:v>5104.3543226459606</c:v>
                      </c:pt>
                      <c:pt idx="134">
                        <c:v>4766.204487777849</c:v>
                      </c:pt>
                      <c:pt idx="135">
                        <c:v>4961.3099440077976</c:v>
                      </c:pt>
                      <c:pt idx="136">
                        <c:v>4003.4858286166018</c:v>
                      </c:pt>
                      <c:pt idx="137">
                        <c:v>4506.3297681108897</c:v>
                      </c:pt>
                      <c:pt idx="138">
                        <c:v>4792.1458880814444</c:v>
                      </c:pt>
                      <c:pt idx="139">
                        <c:v>4884.3820735778227</c:v>
                      </c:pt>
                      <c:pt idx="140">
                        <c:v>4340.030617808372</c:v>
                      </c:pt>
                      <c:pt idx="141">
                        <c:v>4691.9878716526864</c:v>
                      </c:pt>
                      <c:pt idx="142">
                        <c:v>5310.3573250844756</c:v>
                      </c:pt>
                      <c:pt idx="143">
                        <c:v>4152.6144209099084</c:v>
                      </c:pt>
                      <c:pt idx="144">
                        <c:v>4898.8398782188906</c:v>
                      </c:pt>
                      <c:pt idx="145">
                        <c:v>4873.1060846649925</c:v>
                      </c:pt>
                      <c:pt idx="146">
                        <c:v>4143.8646116990258</c:v>
                      </c:pt>
                      <c:pt idx="147">
                        <c:v>4808.6678336869227</c:v>
                      </c:pt>
                      <c:pt idx="148">
                        <c:v>5105.7119338690682</c:v>
                      </c:pt>
                      <c:pt idx="149">
                        <c:v>5277.3184934310239</c:v>
                      </c:pt>
                      <c:pt idx="150">
                        <c:v>4997.8884493418818</c:v>
                      </c:pt>
                      <c:pt idx="151">
                        <c:v>4985.118414850499</c:v>
                      </c:pt>
                      <c:pt idx="152">
                        <c:v>5032.8721157402651</c:v>
                      </c:pt>
                      <c:pt idx="153">
                        <c:v>4918.3093545424872</c:v>
                      </c:pt>
                      <c:pt idx="154">
                        <c:v>5322.1157447515461</c:v>
                      </c:pt>
                      <c:pt idx="155">
                        <c:v>5318.8562543810031</c:v>
                      </c:pt>
                      <c:pt idx="156">
                        <c:v>4846.344114616667</c:v>
                      </c:pt>
                      <c:pt idx="157">
                        <c:v>5316.3960676861088</c:v>
                      </c:pt>
                      <c:pt idx="158">
                        <c:v>5607.7922792101317</c:v>
                      </c:pt>
                      <c:pt idx="159">
                        <c:v>5499.9685173882153</c:v>
                      </c:pt>
                      <c:pt idx="160">
                        <c:v>4875.7979692201652</c:v>
                      </c:pt>
                      <c:pt idx="161">
                        <c:v>5085.3983266564692</c:v>
                      </c:pt>
                      <c:pt idx="162">
                        <c:v>4518.9871845628868</c:v>
                      </c:pt>
                      <c:pt idx="163">
                        <c:v>5255.9732451807986</c:v>
                      </c:pt>
                      <c:pt idx="164">
                        <c:v>5002.3250731572307</c:v>
                      </c:pt>
                      <c:pt idx="165">
                        <c:v>5625.3399408970727</c:v>
                      </c:pt>
                      <c:pt idx="166">
                        <c:v>5995.0292579391662</c:v>
                      </c:pt>
                      <c:pt idx="167">
                        <c:v>5190.2731675479927</c:v>
                      </c:pt>
                      <c:pt idx="168">
                        <c:v>5267.4891653558734</c:v>
                      </c:pt>
                      <c:pt idx="169">
                        <c:v>5062.6400247118772</c:v>
                      </c:pt>
                      <c:pt idx="170">
                        <c:v>4862.5932940602852</c:v>
                      </c:pt>
                      <c:pt idx="171">
                        <c:v>5339.8589832126127</c:v>
                      </c:pt>
                      <c:pt idx="172">
                        <c:v>5331.6166753513062</c:v>
                      </c:pt>
                      <c:pt idx="173">
                        <c:v>4837.7491319816108</c:v>
                      </c:pt>
                      <c:pt idx="174">
                        <c:v>5327.0069048767637</c:v>
                      </c:pt>
                      <c:pt idx="175">
                        <c:v>5116.4196232948916</c:v>
                      </c:pt>
                      <c:pt idx="176">
                        <c:v>5212.2601185998501</c:v>
                      </c:pt>
                      <c:pt idx="177">
                        <c:v>5274.4764084097787</c:v>
                      </c:pt>
                      <c:pt idx="178">
                        <c:v>5559.6797048249391</c:v>
                      </c:pt>
                      <c:pt idx="179">
                        <c:v>5221.8019376426473</c:v>
                      </c:pt>
                      <c:pt idx="180">
                        <c:v>5289.6409364542842</c:v>
                      </c:pt>
                      <c:pt idx="181">
                        <c:v>5475.4117195155641</c:v>
                      </c:pt>
                      <c:pt idx="182">
                        <c:v>5582.4789787819927</c:v>
                      </c:pt>
                      <c:pt idx="183">
                        <c:v>5448.5789345562725</c:v>
                      </c:pt>
                      <c:pt idx="184">
                        <c:v>5378.1569305418798</c:v>
                      </c:pt>
                      <c:pt idx="185">
                        <c:v>5536.5850639093314</c:v>
                      </c:pt>
                      <c:pt idx="186">
                        <c:v>5456.1305225542656</c:v>
                      </c:pt>
                      <c:pt idx="187">
                        <c:v>5330.3238055833663</c:v>
                      </c:pt>
                      <c:pt idx="188">
                        <c:v>4936.5377650791806</c:v>
                      </c:pt>
                      <c:pt idx="189">
                        <c:v>5522.2934037057112</c:v>
                      </c:pt>
                      <c:pt idx="190">
                        <c:v>6083.625643929854</c:v>
                      </c:pt>
                      <c:pt idx="191">
                        <c:v>5096.7976858258917</c:v>
                      </c:pt>
                      <c:pt idx="192">
                        <c:v>5285.9618391552303</c:v>
                      </c:pt>
                      <c:pt idx="193">
                        <c:v>5368.7920113367909</c:v>
                      </c:pt>
                      <c:pt idx="194">
                        <c:v>5339.3850478702334</c:v>
                      </c:pt>
                      <c:pt idx="195">
                        <c:v>5799.9475781244437</c:v>
                      </c:pt>
                      <c:pt idx="196">
                        <c:v>5510.3907291087562</c:v>
                      </c:pt>
                      <c:pt idx="197">
                        <c:v>5527.5988966374734</c:v>
                      </c:pt>
                      <c:pt idx="198">
                        <c:v>5328.0573983619033</c:v>
                      </c:pt>
                      <c:pt idx="199">
                        <c:v>5824.605578734263</c:v>
                      </c:pt>
                      <c:pt idx="200">
                        <c:v>5686.4831262824018</c:v>
                      </c:pt>
                      <c:pt idx="201">
                        <c:v>5944.5815438010259</c:v>
                      </c:pt>
                      <c:pt idx="202">
                        <c:v>5996.9774075509631</c:v>
                      </c:pt>
                      <c:pt idx="203">
                        <c:v>5186.1693155713028</c:v>
                      </c:pt>
                      <c:pt idx="204">
                        <c:v>5504.6618092250537</c:v>
                      </c:pt>
                      <c:pt idx="205">
                        <c:v>6031.0637244653572</c:v>
                      </c:pt>
                      <c:pt idx="206">
                        <c:v>6154.116630071826</c:v>
                      </c:pt>
                      <c:pt idx="207">
                        <c:v>5341.8177420469228</c:v>
                      </c:pt>
                      <c:pt idx="208">
                        <c:v>5862.6302550781675</c:v>
                      </c:pt>
                      <c:pt idx="209">
                        <c:v>5245.7100204787266</c:v>
                      </c:pt>
                      <c:pt idx="210">
                        <c:v>5162.7245561227892</c:v>
                      </c:pt>
                      <c:pt idx="211">
                        <c:v>6061.8781246877979</c:v>
                      </c:pt>
                      <c:pt idx="212">
                        <c:v>6306.5941281661253</c:v>
                      </c:pt>
                      <c:pt idx="213">
                        <c:v>6225.9996938670556</c:v>
                      </c:pt>
                      <c:pt idx="214">
                        <c:v>5273.8391433702855</c:v>
                      </c:pt>
                      <c:pt idx="215">
                        <c:v>4988.4369771508736</c:v>
                      </c:pt>
                      <c:pt idx="216">
                        <c:v>5899.5808354282908</c:v>
                      </c:pt>
                      <c:pt idx="217">
                        <c:v>5477.6354679558071</c:v>
                      </c:pt>
                      <c:pt idx="218">
                        <c:v>5615.6879422145612</c:v>
                      </c:pt>
                      <c:pt idx="219">
                        <c:v>6111.2811649060168</c:v>
                      </c:pt>
                      <c:pt idx="220">
                        <c:v>6285.9341280514227</c:v>
                      </c:pt>
                      <c:pt idx="221">
                        <c:v>5669.2739292049218</c:v>
                      </c:pt>
                      <c:pt idx="222">
                        <c:v>6058.6867645492493</c:v>
                      </c:pt>
                      <c:pt idx="223">
                        <c:v>5437.6772629708157</c:v>
                      </c:pt>
                      <c:pt idx="224">
                        <c:v>5735.6163444291078</c:v>
                      </c:pt>
                      <c:pt idx="225">
                        <c:v>5910.130645465043</c:v>
                      </c:pt>
                      <c:pt idx="226">
                        <c:v>5782.4930200239296</c:v>
                      </c:pt>
                      <c:pt idx="227">
                        <c:v>5581.6357993193842</c:v>
                      </c:pt>
                      <c:pt idx="228">
                        <c:v>5701.8364437157225</c:v>
                      </c:pt>
                      <c:pt idx="229">
                        <c:v>5841.127967707369</c:v>
                      </c:pt>
                      <c:pt idx="230">
                        <c:v>6158.8668987443807</c:v>
                      </c:pt>
                      <c:pt idx="231">
                        <c:v>6164.8295045506602</c:v>
                      </c:pt>
                      <c:pt idx="232">
                        <c:v>6167.4373220233429</c:v>
                      </c:pt>
                      <c:pt idx="233">
                        <c:v>6341.4038606853637</c:v>
                      </c:pt>
                      <c:pt idx="234">
                        <c:v>6169.1532047128376</c:v>
                      </c:pt>
                      <c:pt idx="235">
                        <c:v>5895.6500773117523</c:v>
                      </c:pt>
                      <c:pt idx="236">
                        <c:v>5693.1703281302198</c:v>
                      </c:pt>
                      <c:pt idx="237">
                        <c:v>5817.0017692226447</c:v>
                      </c:pt>
                      <c:pt idx="238">
                        <c:v>5748.3559734560822</c:v>
                      </c:pt>
                      <c:pt idx="239">
                        <c:v>5667.7500100205616</c:v>
                      </c:pt>
                      <c:pt idx="240">
                        <c:v>6307.1892399678709</c:v>
                      </c:pt>
                      <c:pt idx="241">
                        <c:v>6108.875722826846</c:v>
                      </c:pt>
                      <c:pt idx="242">
                        <c:v>6634.8988722216282</c:v>
                      </c:pt>
                      <c:pt idx="243">
                        <c:v>5702.7464435637003</c:v>
                      </c:pt>
                      <c:pt idx="244">
                        <c:v>6156.927863311299</c:v>
                      </c:pt>
                      <c:pt idx="245">
                        <c:v>5996.0564218542177</c:v>
                      </c:pt>
                      <c:pt idx="246">
                        <c:v>6179.1147977770315</c:v>
                      </c:pt>
                      <c:pt idx="247">
                        <c:v>5939.8839865881591</c:v>
                      </c:pt>
                      <c:pt idx="248">
                        <c:v>6891.6651189377635</c:v>
                      </c:pt>
                      <c:pt idx="249">
                        <c:v>5649.4476537047503</c:v>
                      </c:pt>
                      <c:pt idx="250">
                        <c:v>5744.5464281500654</c:v>
                      </c:pt>
                      <c:pt idx="251">
                        <c:v>5602.4811131045926</c:v>
                      </c:pt>
                      <c:pt idx="252">
                        <c:v>6555.8673068130074</c:v>
                      </c:pt>
                      <c:pt idx="253">
                        <c:v>5588.6426520633377</c:v>
                      </c:pt>
                      <c:pt idx="254">
                        <c:v>6046.6998809387487</c:v>
                      </c:pt>
                      <c:pt idx="255">
                        <c:v>6405.6845265876163</c:v>
                      </c:pt>
                      <c:pt idx="256">
                        <c:v>6065.0632571709566</c:v>
                      </c:pt>
                      <c:pt idx="257">
                        <c:v>6150.847067335164</c:v>
                      </c:pt>
                      <c:pt idx="258">
                        <c:v>6415.4581558170057</c:v>
                      </c:pt>
                      <c:pt idx="259">
                        <c:v>6573.2493365500195</c:v>
                      </c:pt>
                      <c:pt idx="260">
                        <c:v>6669.4134329710732</c:v>
                      </c:pt>
                      <c:pt idx="261">
                        <c:v>6168.4475620852936</c:v>
                      </c:pt>
                      <c:pt idx="262">
                        <c:v>6368.6395719474212</c:v>
                      </c:pt>
                      <c:pt idx="263">
                        <c:v>5661.2225307600911</c:v>
                      </c:pt>
                      <c:pt idx="264">
                        <c:v>5730.1228463636016</c:v>
                      </c:pt>
                      <c:pt idx="265">
                        <c:v>6676.6881822084133</c:v>
                      </c:pt>
                      <c:pt idx="266">
                        <c:v>6322.2162325925601</c:v>
                      </c:pt>
                      <c:pt idx="267">
                        <c:v>6215.7586596971223</c:v>
                      </c:pt>
                      <c:pt idx="268">
                        <c:v>6454.5845835703421</c:v>
                      </c:pt>
                      <c:pt idx="269">
                        <c:v>6261.8936679178505</c:v>
                      </c:pt>
                      <c:pt idx="270">
                        <c:v>6192.9143709080072</c:v>
                      </c:pt>
                      <c:pt idx="271">
                        <c:v>6533.0183795195971</c:v>
                      </c:pt>
                      <c:pt idx="272">
                        <c:v>6752.4241471113855</c:v>
                      </c:pt>
                      <c:pt idx="273">
                        <c:v>6465.2337746633784</c:v>
                      </c:pt>
                      <c:pt idx="274">
                        <c:v>6279.2644701067811</c:v>
                      </c:pt>
                      <c:pt idx="275">
                        <c:v>6065.2725818928775</c:v>
                      </c:pt>
                      <c:pt idx="276">
                        <c:v>6536.6002660726535</c:v>
                      </c:pt>
                      <c:pt idx="277">
                        <c:v>6525.7691406584636</c:v>
                      </c:pt>
                      <c:pt idx="278">
                        <c:v>6689.2594180869282</c:v>
                      </c:pt>
                      <c:pt idx="279">
                        <c:v>6534.7225415750454</c:v>
                      </c:pt>
                      <c:pt idx="280">
                        <c:v>6212.8150011002172</c:v>
                      </c:pt>
                      <c:pt idx="281">
                        <c:v>6640.946583296095</c:v>
                      </c:pt>
                      <c:pt idx="282">
                        <c:v>6629.7380138944272</c:v>
                      </c:pt>
                      <c:pt idx="283">
                        <c:v>6209.8173665879776</c:v>
                      </c:pt>
                      <c:pt idx="284">
                        <c:v>6216.6478568793473</c:v>
                      </c:pt>
                      <c:pt idx="285">
                        <c:v>6416.9632842493866</c:v>
                      </c:pt>
                      <c:pt idx="286">
                        <c:v>6022.1328238506385</c:v>
                      </c:pt>
                      <c:pt idx="287">
                        <c:v>6570.2294770670187</c:v>
                      </c:pt>
                      <c:pt idx="288">
                        <c:v>6831.3737993666182</c:v>
                      </c:pt>
                      <c:pt idx="289">
                        <c:v>6618.9310916478344</c:v>
                      </c:pt>
                      <c:pt idx="290">
                        <c:v>6253.5145739282234</c:v>
                      </c:pt>
                      <c:pt idx="291">
                        <c:v>6218.1807598921932</c:v>
                      </c:pt>
                      <c:pt idx="292">
                        <c:v>6532.0765017274398</c:v>
                      </c:pt>
                      <c:pt idx="293">
                        <c:v>6619.1815397559785</c:v>
                      </c:pt>
                      <c:pt idx="294">
                        <c:v>6965.4136264087265</c:v>
                      </c:pt>
                      <c:pt idx="295">
                        <c:v>6450.3324165554413</c:v>
                      </c:pt>
                      <c:pt idx="296">
                        <c:v>6569.8018165363565</c:v>
                      </c:pt>
                      <c:pt idx="297">
                        <c:v>6296.1130329421294</c:v>
                      </c:pt>
                      <c:pt idx="298">
                        <c:v>6763.2285483999758</c:v>
                      </c:pt>
                      <c:pt idx="299">
                        <c:v>7004.0582694373461</c:v>
                      </c:pt>
                      <c:pt idx="300">
                        <c:v>6561.7322292832259</c:v>
                      </c:pt>
                      <c:pt idx="301">
                        <c:v>6771.9074552607153</c:v>
                      </c:pt>
                      <c:pt idx="302">
                        <c:v>6831.4229835627038</c:v>
                      </c:pt>
                      <c:pt idx="303">
                        <c:v>7056.6477622567418</c:v>
                      </c:pt>
                      <c:pt idx="304">
                        <c:v>6370.9690802622799</c:v>
                      </c:pt>
                      <c:pt idx="305">
                        <c:v>5914.4584914518982</c:v>
                      </c:pt>
                      <c:pt idx="306">
                        <c:v>6760.3057317297798</c:v>
                      </c:pt>
                      <c:pt idx="307">
                        <c:v>6343.1009477245279</c:v>
                      </c:pt>
                      <c:pt idx="308">
                        <c:v>6461.8330000761089</c:v>
                      </c:pt>
                      <c:pt idx="309">
                        <c:v>6641.9706379741301</c:v>
                      </c:pt>
                      <c:pt idx="310">
                        <c:v>7214.3886839613933</c:v>
                      </c:pt>
                      <c:pt idx="311">
                        <c:v>6502.7693379514703</c:v>
                      </c:pt>
                      <c:pt idx="312">
                        <c:v>6951.4306824232071</c:v>
                      </c:pt>
                      <c:pt idx="313">
                        <c:v>6914.3183052018312</c:v>
                      </c:pt>
                      <c:pt idx="314">
                        <c:v>7029.1318038714826</c:v>
                      </c:pt>
                      <c:pt idx="315">
                        <c:v>7254.4206351026742</c:v>
                      </c:pt>
                      <c:pt idx="316">
                        <c:v>7056.7404141077277</c:v>
                      </c:pt>
                      <c:pt idx="317">
                        <c:v>6879.4508847419975</c:v>
                      </c:pt>
                      <c:pt idx="318">
                        <c:v>6699.1669784295245</c:v>
                      </c:pt>
                      <c:pt idx="319">
                        <c:v>6307.360070935536</c:v>
                      </c:pt>
                      <c:pt idx="320">
                        <c:v>7010.1700552080547</c:v>
                      </c:pt>
                      <c:pt idx="321">
                        <c:v>6962.2381486545273</c:v>
                      </c:pt>
                      <c:pt idx="322">
                        <c:v>7119.2693991583428</c:v>
                      </c:pt>
                      <c:pt idx="323">
                        <c:v>6463.0283511019834</c:v>
                      </c:pt>
                      <c:pt idx="324">
                        <c:v>6679.7975189674162</c:v>
                      </c:pt>
                      <c:pt idx="325">
                        <c:v>7136.121784657159</c:v>
                      </c:pt>
                      <c:pt idx="326">
                        <c:v>7092.9214974983261</c:v>
                      </c:pt>
                      <c:pt idx="327">
                        <c:v>7653.4473382476963</c:v>
                      </c:pt>
                      <c:pt idx="328">
                        <c:v>7076.1394101422593</c:v>
                      </c:pt>
                      <c:pt idx="329">
                        <c:v>7303.8953895984841</c:v>
                      </c:pt>
                      <c:pt idx="330">
                        <c:v>7159.5885985965779</c:v>
                      </c:pt>
                      <c:pt idx="331">
                        <c:v>7347.8252910330348</c:v>
                      </c:pt>
                      <c:pt idx="332">
                        <c:v>7486.3249845803612</c:v>
                      </c:pt>
                      <c:pt idx="333">
                        <c:v>7103.2108129133849</c:v>
                      </c:pt>
                      <c:pt idx="334">
                        <c:v>6557.801580080305</c:v>
                      </c:pt>
                      <c:pt idx="335">
                        <c:v>7770.9739457966043</c:v>
                      </c:pt>
                      <c:pt idx="336">
                        <c:v>7779.2314963386571</c:v>
                      </c:pt>
                      <c:pt idx="337">
                        <c:v>7599.0848673086202</c:v>
                      </c:pt>
                      <c:pt idx="338">
                        <c:v>7379.3902651968401</c:v>
                      </c:pt>
                      <c:pt idx="339">
                        <c:v>7584.5585472390803</c:v>
                      </c:pt>
                      <c:pt idx="340">
                        <c:v>8071.7772172144714</c:v>
                      </c:pt>
                      <c:pt idx="341">
                        <c:v>8441.619882817462</c:v>
                      </c:pt>
                      <c:pt idx="342">
                        <c:v>7606.1935301789981</c:v>
                      </c:pt>
                      <c:pt idx="343">
                        <c:v>7696.7237840659573</c:v>
                      </c:pt>
                      <c:pt idx="344">
                        <c:v>7455.0503772235897</c:v>
                      </c:pt>
                      <c:pt idx="345">
                        <c:v>7376.8430627864218</c:v>
                      </c:pt>
                      <c:pt idx="346">
                        <c:v>7725.818332156131</c:v>
                      </c:pt>
                      <c:pt idx="347">
                        <c:v>8123.6843591830966</c:v>
                      </c:pt>
                      <c:pt idx="348">
                        <c:v>7820.16522367372</c:v>
                      </c:pt>
                      <c:pt idx="349">
                        <c:v>8165.3189991004074</c:v>
                      </c:pt>
                      <c:pt idx="350">
                        <c:v>7550.2661076513823</c:v>
                      </c:pt>
                      <c:pt idx="351">
                        <c:v>7718.9972101160611</c:v>
                      </c:pt>
                      <c:pt idx="352">
                        <c:v>8141.1540350683026</c:v>
                      </c:pt>
                      <c:pt idx="353">
                        <c:v>8243.6808941323088</c:v>
                      </c:pt>
                      <c:pt idx="354">
                        <c:v>8193.4965597643313</c:v>
                      </c:pt>
                      <c:pt idx="355">
                        <c:v>8007.4285102138483</c:v>
                      </c:pt>
                      <c:pt idx="356">
                        <c:v>8313.7444423155393</c:v>
                      </c:pt>
                      <c:pt idx="357">
                        <c:v>8137.7757971715946</c:v>
                      </c:pt>
                      <c:pt idx="358">
                        <c:v>8266.4881456101975</c:v>
                      </c:pt>
                      <c:pt idx="359">
                        <c:v>8497.3246530235756</c:v>
                      </c:pt>
                      <c:pt idx="360">
                        <c:v>8640.429938815616</c:v>
                      </c:pt>
                      <c:pt idx="361">
                        <c:v>8857.9212656957006</c:v>
                      </c:pt>
                      <c:pt idx="362">
                        <c:v>9115.8614820217554</c:v>
                      </c:pt>
                      <c:pt idx="363">
                        <c:v>8144.2775740266352</c:v>
                      </c:pt>
                      <c:pt idx="364">
                        <c:v>8312.3082761535916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1883-40C8-8E9F-4E8A3DD1E89A}"/>
                  </c:ext>
                </c:extLst>
              </c15:ser>
            </c15:filteredLineSeries>
          </c:ext>
        </c:extLst>
      </c:lineChart>
      <c:catAx>
        <c:axId val="1288684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Temperature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68880"/>
        <c:crosses val="autoZero"/>
        <c:auto val="1"/>
        <c:lblAlgn val="ctr"/>
        <c:lblOffset val="100"/>
        <c:noMultiLvlLbl val="0"/>
      </c:catAx>
      <c:valAx>
        <c:axId val="128868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Ice</a:t>
                </a:r>
                <a:r>
                  <a:rPr lang="en-ID" baseline="0"/>
                  <a:t> Cream Profits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68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Probability Distribution Holt's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v>Smoothing Data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'Probability Distribution'!$A$2:$A$366</c:f>
              <c:numCache>
                <c:formatCode>General</c:formatCode>
                <c:ptCount val="365"/>
                <c:pt idx="0">
                  <c:v>39</c:v>
                </c:pt>
                <c:pt idx="1">
                  <c:v>40</c:v>
                </c:pt>
                <c:pt idx="2">
                  <c:v>41</c:v>
                </c:pt>
                <c:pt idx="3">
                  <c:v>42</c:v>
                </c:pt>
                <c:pt idx="4">
                  <c:v>43</c:v>
                </c:pt>
                <c:pt idx="5">
                  <c:v>43</c:v>
                </c:pt>
                <c:pt idx="6">
                  <c:v>44</c:v>
                </c:pt>
                <c:pt idx="7">
                  <c:v>44</c:v>
                </c:pt>
                <c:pt idx="8">
                  <c:v>45</c:v>
                </c:pt>
                <c:pt idx="9">
                  <c:v>45</c:v>
                </c:pt>
                <c:pt idx="10">
                  <c:v>45</c:v>
                </c:pt>
                <c:pt idx="11">
                  <c:v>46</c:v>
                </c:pt>
                <c:pt idx="12">
                  <c:v>46</c:v>
                </c:pt>
                <c:pt idx="13">
                  <c:v>47</c:v>
                </c:pt>
                <c:pt idx="14">
                  <c:v>48</c:v>
                </c:pt>
                <c:pt idx="15">
                  <c:v>48</c:v>
                </c:pt>
                <c:pt idx="16">
                  <c:v>48</c:v>
                </c:pt>
                <c:pt idx="17">
                  <c:v>48</c:v>
                </c:pt>
                <c:pt idx="18">
                  <c:v>48</c:v>
                </c:pt>
                <c:pt idx="19">
                  <c:v>48</c:v>
                </c:pt>
                <c:pt idx="20">
                  <c:v>49</c:v>
                </c:pt>
                <c:pt idx="21">
                  <c:v>49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51</c:v>
                </c:pt>
                <c:pt idx="28">
                  <c:v>51</c:v>
                </c:pt>
                <c:pt idx="29">
                  <c:v>52</c:v>
                </c:pt>
                <c:pt idx="30">
                  <c:v>52</c:v>
                </c:pt>
                <c:pt idx="31">
                  <c:v>52</c:v>
                </c:pt>
                <c:pt idx="32">
                  <c:v>52</c:v>
                </c:pt>
                <c:pt idx="33">
                  <c:v>52</c:v>
                </c:pt>
                <c:pt idx="34">
                  <c:v>53</c:v>
                </c:pt>
                <c:pt idx="35">
                  <c:v>53</c:v>
                </c:pt>
                <c:pt idx="36">
                  <c:v>53</c:v>
                </c:pt>
                <c:pt idx="37">
                  <c:v>53</c:v>
                </c:pt>
                <c:pt idx="38">
                  <c:v>54</c:v>
                </c:pt>
                <c:pt idx="39">
                  <c:v>54</c:v>
                </c:pt>
                <c:pt idx="40">
                  <c:v>54</c:v>
                </c:pt>
                <c:pt idx="41">
                  <c:v>54</c:v>
                </c:pt>
                <c:pt idx="42">
                  <c:v>54</c:v>
                </c:pt>
                <c:pt idx="43">
                  <c:v>54</c:v>
                </c:pt>
                <c:pt idx="44">
                  <c:v>54</c:v>
                </c:pt>
                <c:pt idx="45">
                  <c:v>54</c:v>
                </c:pt>
                <c:pt idx="46">
                  <c:v>54</c:v>
                </c:pt>
                <c:pt idx="47">
                  <c:v>55</c:v>
                </c:pt>
                <c:pt idx="48">
                  <c:v>55</c:v>
                </c:pt>
                <c:pt idx="49">
                  <c:v>55</c:v>
                </c:pt>
                <c:pt idx="50">
                  <c:v>55</c:v>
                </c:pt>
                <c:pt idx="51">
                  <c:v>56</c:v>
                </c:pt>
                <c:pt idx="52">
                  <c:v>56</c:v>
                </c:pt>
                <c:pt idx="53">
                  <c:v>57</c:v>
                </c:pt>
                <c:pt idx="54">
                  <c:v>57</c:v>
                </c:pt>
                <c:pt idx="55">
                  <c:v>58</c:v>
                </c:pt>
                <c:pt idx="56">
                  <c:v>58</c:v>
                </c:pt>
                <c:pt idx="57">
                  <c:v>58</c:v>
                </c:pt>
                <c:pt idx="58">
                  <c:v>58</c:v>
                </c:pt>
                <c:pt idx="59">
                  <c:v>58</c:v>
                </c:pt>
                <c:pt idx="60">
                  <c:v>58</c:v>
                </c:pt>
                <c:pt idx="61">
                  <c:v>59</c:v>
                </c:pt>
                <c:pt idx="62">
                  <c:v>59</c:v>
                </c:pt>
                <c:pt idx="63">
                  <c:v>59</c:v>
                </c:pt>
                <c:pt idx="64">
                  <c:v>59</c:v>
                </c:pt>
                <c:pt idx="65">
                  <c:v>59</c:v>
                </c:pt>
                <c:pt idx="66">
                  <c:v>59</c:v>
                </c:pt>
                <c:pt idx="67">
                  <c:v>59</c:v>
                </c:pt>
                <c:pt idx="68">
                  <c:v>59</c:v>
                </c:pt>
                <c:pt idx="69">
                  <c:v>60</c:v>
                </c:pt>
                <c:pt idx="70">
                  <c:v>60</c:v>
                </c:pt>
                <c:pt idx="71">
                  <c:v>60</c:v>
                </c:pt>
                <c:pt idx="72">
                  <c:v>60</c:v>
                </c:pt>
                <c:pt idx="73">
                  <c:v>60</c:v>
                </c:pt>
                <c:pt idx="74">
                  <c:v>61</c:v>
                </c:pt>
                <c:pt idx="75">
                  <c:v>61</c:v>
                </c:pt>
                <c:pt idx="76">
                  <c:v>61</c:v>
                </c:pt>
                <c:pt idx="77">
                  <c:v>61</c:v>
                </c:pt>
                <c:pt idx="78">
                  <c:v>61</c:v>
                </c:pt>
                <c:pt idx="79">
                  <c:v>61</c:v>
                </c:pt>
                <c:pt idx="80">
                  <c:v>61</c:v>
                </c:pt>
                <c:pt idx="81">
                  <c:v>61</c:v>
                </c:pt>
                <c:pt idx="82">
                  <c:v>61</c:v>
                </c:pt>
                <c:pt idx="83">
                  <c:v>62</c:v>
                </c:pt>
                <c:pt idx="84">
                  <c:v>62</c:v>
                </c:pt>
                <c:pt idx="85">
                  <c:v>62</c:v>
                </c:pt>
                <c:pt idx="86">
                  <c:v>62</c:v>
                </c:pt>
                <c:pt idx="87">
                  <c:v>63</c:v>
                </c:pt>
                <c:pt idx="88">
                  <c:v>63</c:v>
                </c:pt>
                <c:pt idx="89">
                  <c:v>63</c:v>
                </c:pt>
                <c:pt idx="90">
                  <c:v>63</c:v>
                </c:pt>
                <c:pt idx="91">
                  <c:v>63</c:v>
                </c:pt>
                <c:pt idx="92">
                  <c:v>64</c:v>
                </c:pt>
                <c:pt idx="93">
                  <c:v>64</c:v>
                </c:pt>
                <c:pt idx="94">
                  <c:v>64</c:v>
                </c:pt>
                <c:pt idx="95">
                  <c:v>64</c:v>
                </c:pt>
                <c:pt idx="96">
                  <c:v>64</c:v>
                </c:pt>
                <c:pt idx="97">
                  <c:v>64</c:v>
                </c:pt>
                <c:pt idx="98">
                  <c:v>64</c:v>
                </c:pt>
                <c:pt idx="99">
                  <c:v>64</c:v>
                </c:pt>
                <c:pt idx="100">
                  <c:v>64</c:v>
                </c:pt>
                <c:pt idx="101">
                  <c:v>65</c:v>
                </c:pt>
                <c:pt idx="102">
                  <c:v>65</c:v>
                </c:pt>
                <c:pt idx="103">
                  <c:v>65</c:v>
                </c:pt>
                <c:pt idx="104">
                  <c:v>65</c:v>
                </c:pt>
                <c:pt idx="105">
                  <c:v>65</c:v>
                </c:pt>
                <c:pt idx="106">
                  <c:v>65</c:v>
                </c:pt>
                <c:pt idx="107">
                  <c:v>65</c:v>
                </c:pt>
                <c:pt idx="108">
                  <c:v>65</c:v>
                </c:pt>
                <c:pt idx="109">
                  <c:v>65</c:v>
                </c:pt>
                <c:pt idx="110">
                  <c:v>66</c:v>
                </c:pt>
                <c:pt idx="111">
                  <c:v>66</c:v>
                </c:pt>
                <c:pt idx="112">
                  <c:v>66</c:v>
                </c:pt>
                <c:pt idx="113">
                  <c:v>66</c:v>
                </c:pt>
                <c:pt idx="114">
                  <c:v>66</c:v>
                </c:pt>
                <c:pt idx="115">
                  <c:v>66</c:v>
                </c:pt>
                <c:pt idx="116">
                  <c:v>66</c:v>
                </c:pt>
                <c:pt idx="117">
                  <c:v>66</c:v>
                </c:pt>
                <c:pt idx="118">
                  <c:v>66</c:v>
                </c:pt>
                <c:pt idx="119">
                  <c:v>66</c:v>
                </c:pt>
                <c:pt idx="120">
                  <c:v>66</c:v>
                </c:pt>
                <c:pt idx="121">
                  <c:v>66</c:v>
                </c:pt>
                <c:pt idx="122">
                  <c:v>66</c:v>
                </c:pt>
                <c:pt idx="123">
                  <c:v>66</c:v>
                </c:pt>
                <c:pt idx="124">
                  <c:v>67</c:v>
                </c:pt>
                <c:pt idx="125">
                  <c:v>67</c:v>
                </c:pt>
                <c:pt idx="126">
                  <c:v>67</c:v>
                </c:pt>
                <c:pt idx="127">
                  <c:v>67</c:v>
                </c:pt>
                <c:pt idx="128">
                  <c:v>67</c:v>
                </c:pt>
                <c:pt idx="129">
                  <c:v>67</c:v>
                </c:pt>
                <c:pt idx="130">
                  <c:v>68</c:v>
                </c:pt>
                <c:pt idx="131">
                  <c:v>68</c:v>
                </c:pt>
                <c:pt idx="132">
                  <c:v>68</c:v>
                </c:pt>
                <c:pt idx="133">
                  <c:v>68</c:v>
                </c:pt>
                <c:pt idx="134">
                  <c:v>68</c:v>
                </c:pt>
                <c:pt idx="135">
                  <c:v>68</c:v>
                </c:pt>
                <c:pt idx="136">
                  <c:v>68</c:v>
                </c:pt>
                <c:pt idx="137">
                  <c:v>68</c:v>
                </c:pt>
                <c:pt idx="138">
                  <c:v>68</c:v>
                </c:pt>
                <c:pt idx="139">
                  <c:v>68</c:v>
                </c:pt>
                <c:pt idx="140">
                  <c:v>68</c:v>
                </c:pt>
                <c:pt idx="141">
                  <c:v>68</c:v>
                </c:pt>
                <c:pt idx="142">
                  <c:v>69</c:v>
                </c:pt>
                <c:pt idx="143">
                  <c:v>69</c:v>
                </c:pt>
                <c:pt idx="144">
                  <c:v>69</c:v>
                </c:pt>
                <c:pt idx="145">
                  <c:v>69</c:v>
                </c:pt>
                <c:pt idx="146">
                  <c:v>69</c:v>
                </c:pt>
                <c:pt idx="147">
                  <c:v>69</c:v>
                </c:pt>
                <c:pt idx="148">
                  <c:v>70</c:v>
                </c:pt>
                <c:pt idx="149">
                  <c:v>70</c:v>
                </c:pt>
                <c:pt idx="150">
                  <c:v>70</c:v>
                </c:pt>
                <c:pt idx="151">
                  <c:v>70</c:v>
                </c:pt>
                <c:pt idx="152">
                  <c:v>70</c:v>
                </c:pt>
                <c:pt idx="153">
                  <c:v>70</c:v>
                </c:pt>
                <c:pt idx="154">
                  <c:v>70</c:v>
                </c:pt>
                <c:pt idx="155">
                  <c:v>70</c:v>
                </c:pt>
                <c:pt idx="156">
                  <c:v>70</c:v>
                </c:pt>
                <c:pt idx="157">
                  <c:v>71</c:v>
                </c:pt>
                <c:pt idx="158">
                  <c:v>71</c:v>
                </c:pt>
                <c:pt idx="159">
                  <c:v>71</c:v>
                </c:pt>
                <c:pt idx="160">
                  <c:v>71</c:v>
                </c:pt>
                <c:pt idx="161">
                  <c:v>71</c:v>
                </c:pt>
                <c:pt idx="162">
                  <c:v>71</c:v>
                </c:pt>
                <c:pt idx="163">
                  <c:v>71</c:v>
                </c:pt>
                <c:pt idx="164">
                  <c:v>71</c:v>
                </c:pt>
                <c:pt idx="165">
                  <c:v>71</c:v>
                </c:pt>
                <c:pt idx="166">
                  <c:v>72</c:v>
                </c:pt>
                <c:pt idx="167">
                  <c:v>72</c:v>
                </c:pt>
                <c:pt idx="168">
                  <c:v>72</c:v>
                </c:pt>
                <c:pt idx="169">
                  <c:v>72</c:v>
                </c:pt>
                <c:pt idx="170">
                  <c:v>72</c:v>
                </c:pt>
                <c:pt idx="171">
                  <c:v>72</c:v>
                </c:pt>
                <c:pt idx="172">
                  <c:v>72</c:v>
                </c:pt>
                <c:pt idx="173">
                  <c:v>72</c:v>
                </c:pt>
                <c:pt idx="174">
                  <c:v>72</c:v>
                </c:pt>
                <c:pt idx="175">
                  <c:v>72</c:v>
                </c:pt>
                <c:pt idx="176">
                  <c:v>73</c:v>
                </c:pt>
                <c:pt idx="177">
                  <c:v>73</c:v>
                </c:pt>
                <c:pt idx="178">
                  <c:v>73</c:v>
                </c:pt>
                <c:pt idx="179">
                  <c:v>73</c:v>
                </c:pt>
                <c:pt idx="180">
                  <c:v>73</c:v>
                </c:pt>
                <c:pt idx="181">
                  <c:v>73</c:v>
                </c:pt>
                <c:pt idx="182">
                  <c:v>73</c:v>
                </c:pt>
                <c:pt idx="183">
                  <c:v>73</c:v>
                </c:pt>
                <c:pt idx="184">
                  <c:v>73</c:v>
                </c:pt>
                <c:pt idx="185">
                  <c:v>74</c:v>
                </c:pt>
                <c:pt idx="186">
                  <c:v>74</c:v>
                </c:pt>
                <c:pt idx="187">
                  <c:v>74</c:v>
                </c:pt>
                <c:pt idx="188">
                  <c:v>74</c:v>
                </c:pt>
                <c:pt idx="189">
                  <c:v>74</c:v>
                </c:pt>
                <c:pt idx="190">
                  <c:v>74</c:v>
                </c:pt>
                <c:pt idx="191">
                  <c:v>74</c:v>
                </c:pt>
                <c:pt idx="192">
                  <c:v>74</c:v>
                </c:pt>
                <c:pt idx="193">
                  <c:v>74</c:v>
                </c:pt>
                <c:pt idx="194">
                  <c:v>74</c:v>
                </c:pt>
                <c:pt idx="195">
                  <c:v>74</c:v>
                </c:pt>
                <c:pt idx="196">
                  <c:v>74</c:v>
                </c:pt>
                <c:pt idx="197">
                  <c:v>75</c:v>
                </c:pt>
                <c:pt idx="198">
                  <c:v>75</c:v>
                </c:pt>
                <c:pt idx="199">
                  <c:v>75</c:v>
                </c:pt>
                <c:pt idx="200">
                  <c:v>75</c:v>
                </c:pt>
                <c:pt idx="201">
                  <c:v>75</c:v>
                </c:pt>
                <c:pt idx="202">
                  <c:v>75</c:v>
                </c:pt>
                <c:pt idx="203">
                  <c:v>76</c:v>
                </c:pt>
                <c:pt idx="204">
                  <c:v>76</c:v>
                </c:pt>
                <c:pt idx="205">
                  <c:v>76</c:v>
                </c:pt>
                <c:pt idx="206">
                  <c:v>76</c:v>
                </c:pt>
                <c:pt idx="207">
                  <c:v>76</c:v>
                </c:pt>
                <c:pt idx="208">
                  <c:v>76</c:v>
                </c:pt>
                <c:pt idx="209">
                  <c:v>76</c:v>
                </c:pt>
                <c:pt idx="210">
                  <c:v>76</c:v>
                </c:pt>
                <c:pt idx="211">
                  <c:v>76</c:v>
                </c:pt>
                <c:pt idx="212">
                  <c:v>76</c:v>
                </c:pt>
                <c:pt idx="213">
                  <c:v>76</c:v>
                </c:pt>
                <c:pt idx="214">
                  <c:v>77</c:v>
                </c:pt>
                <c:pt idx="215">
                  <c:v>77</c:v>
                </c:pt>
                <c:pt idx="216">
                  <c:v>77</c:v>
                </c:pt>
                <c:pt idx="217">
                  <c:v>77</c:v>
                </c:pt>
                <c:pt idx="218">
                  <c:v>77</c:v>
                </c:pt>
                <c:pt idx="219">
                  <c:v>77</c:v>
                </c:pt>
                <c:pt idx="220">
                  <c:v>77</c:v>
                </c:pt>
                <c:pt idx="221">
                  <c:v>77</c:v>
                </c:pt>
                <c:pt idx="222">
                  <c:v>77</c:v>
                </c:pt>
                <c:pt idx="223">
                  <c:v>77</c:v>
                </c:pt>
                <c:pt idx="224">
                  <c:v>77</c:v>
                </c:pt>
                <c:pt idx="225">
                  <c:v>77</c:v>
                </c:pt>
                <c:pt idx="226">
                  <c:v>77</c:v>
                </c:pt>
                <c:pt idx="227">
                  <c:v>77</c:v>
                </c:pt>
                <c:pt idx="228">
                  <c:v>77</c:v>
                </c:pt>
                <c:pt idx="229">
                  <c:v>78</c:v>
                </c:pt>
                <c:pt idx="230">
                  <c:v>78</c:v>
                </c:pt>
                <c:pt idx="231">
                  <c:v>78</c:v>
                </c:pt>
                <c:pt idx="232">
                  <c:v>78</c:v>
                </c:pt>
                <c:pt idx="233">
                  <c:v>78</c:v>
                </c:pt>
                <c:pt idx="234">
                  <c:v>78</c:v>
                </c:pt>
                <c:pt idx="235">
                  <c:v>78</c:v>
                </c:pt>
                <c:pt idx="236">
                  <c:v>78</c:v>
                </c:pt>
                <c:pt idx="237">
                  <c:v>78</c:v>
                </c:pt>
                <c:pt idx="238">
                  <c:v>78</c:v>
                </c:pt>
                <c:pt idx="239">
                  <c:v>78</c:v>
                </c:pt>
                <c:pt idx="240">
                  <c:v>78</c:v>
                </c:pt>
                <c:pt idx="241">
                  <c:v>79</c:v>
                </c:pt>
                <c:pt idx="242">
                  <c:v>79</c:v>
                </c:pt>
                <c:pt idx="243">
                  <c:v>79</c:v>
                </c:pt>
                <c:pt idx="244">
                  <c:v>79</c:v>
                </c:pt>
                <c:pt idx="245">
                  <c:v>79</c:v>
                </c:pt>
                <c:pt idx="246">
                  <c:v>79</c:v>
                </c:pt>
                <c:pt idx="247">
                  <c:v>79</c:v>
                </c:pt>
                <c:pt idx="248">
                  <c:v>79</c:v>
                </c:pt>
                <c:pt idx="249">
                  <c:v>79</c:v>
                </c:pt>
                <c:pt idx="250">
                  <c:v>79</c:v>
                </c:pt>
                <c:pt idx="251">
                  <c:v>79</c:v>
                </c:pt>
                <c:pt idx="252">
                  <c:v>79</c:v>
                </c:pt>
                <c:pt idx="253">
                  <c:v>80</c:v>
                </c:pt>
                <c:pt idx="254">
                  <c:v>80</c:v>
                </c:pt>
                <c:pt idx="255">
                  <c:v>80</c:v>
                </c:pt>
                <c:pt idx="256">
                  <c:v>80</c:v>
                </c:pt>
                <c:pt idx="257">
                  <c:v>80</c:v>
                </c:pt>
                <c:pt idx="258">
                  <c:v>80</c:v>
                </c:pt>
                <c:pt idx="259">
                  <c:v>80</c:v>
                </c:pt>
                <c:pt idx="260">
                  <c:v>80</c:v>
                </c:pt>
                <c:pt idx="261">
                  <c:v>80</c:v>
                </c:pt>
                <c:pt idx="262">
                  <c:v>81</c:v>
                </c:pt>
                <c:pt idx="263">
                  <c:v>81</c:v>
                </c:pt>
                <c:pt idx="264">
                  <c:v>81</c:v>
                </c:pt>
                <c:pt idx="265">
                  <c:v>81</c:v>
                </c:pt>
                <c:pt idx="266">
                  <c:v>81</c:v>
                </c:pt>
                <c:pt idx="267">
                  <c:v>81</c:v>
                </c:pt>
                <c:pt idx="268">
                  <c:v>81</c:v>
                </c:pt>
                <c:pt idx="269">
                  <c:v>81</c:v>
                </c:pt>
                <c:pt idx="270">
                  <c:v>81</c:v>
                </c:pt>
                <c:pt idx="271">
                  <c:v>82</c:v>
                </c:pt>
                <c:pt idx="272">
                  <c:v>82</c:v>
                </c:pt>
                <c:pt idx="273">
                  <c:v>82</c:v>
                </c:pt>
                <c:pt idx="274">
                  <c:v>82</c:v>
                </c:pt>
                <c:pt idx="275">
                  <c:v>82</c:v>
                </c:pt>
                <c:pt idx="276">
                  <c:v>82</c:v>
                </c:pt>
                <c:pt idx="277">
                  <c:v>82</c:v>
                </c:pt>
                <c:pt idx="278">
                  <c:v>82</c:v>
                </c:pt>
                <c:pt idx="279">
                  <c:v>82</c:v>
                </c:pt>
                <c:pt idx="280">
                  <c:v>82</c:v>
                </c:pt>
                <c:pt idx="281">
                  <c:v>82</c:v>
                </c:pt>
                <c:pt idx="282">
                  <c:v>83</c:v>
                </c:pt>
                <c:pt idx="283">
                  <c:v>83</c:v>
                </c:pt>
                <c:pt idx="284">
                  <c:v>83</c:v>
                </c:pt>
                <c:pt idx="285">
                  <c:v>83</c:v>
                </c:pt>
                <c:pt idx="286">
                  <c:v>83</c:v>
                </c:pt>
                <c:pt idx="287">
                  <c:v>83</c:v>
                </c:pt>
                <c:pt idx="288">
                  <c:v>84</c:v>
                </c:pt>
                <c:pt idx="289">
                  <c:v>84</c:v>
                </c:pt>
                <c:pt idx="290">
                  <c:v>84</c:v>
                </c:pt>
                <c:pt idx="291">
                  <c:v>84</c:v>
                </c:pt>
                <c:pt idx="292">
                  <c:v>84</c:v>
                </c:pt>
                <c:pt idx="293">
                  <c:v>84</c:v>
                </c:pt>
                <c:pt idx="294">
                  <c:v>84</c:v>
                </c:pt>
                <c:pt idx="295">
                  <c:v>84</c:v>
                </c:pt>
                <c:pt idx="296">
                  <c:v>84</c:v>
                </c:pt>
                <c:pt idx="297">
                  <c:v>84</c:v>
                </c:pt>
                <c:pt idx="298">
                  <c:v>84</c:v>
                </c:pt>
                <c:pt idx="299">
                  <c:v>84</c:v>
                </c:pt>
                <c:pt idx="300">
                  <c:v>84</c:v>
                </c:pt>
                <c:pt idx="301">
                  <c:v>85</c:v>
                </c:pt>
                <c:pt idx="302">
                  <c:v>85</c:v>
                </c:pt>
                <c:pt idx="303">
                  <c:v>85</c:v>
                </c:pt>
                <c:pt idx="304">
                  <c:v>85</c:v>
                </c:pt>
                <c:pt idx="305">
                  <c:v>85</c:v>
                </c:pt>
                <c:pt idx="306">
                  <c:v>85</c:v>
                </c:pt>
                <c:pt idx="307">
                  <c:v>85</c:v>
                </c:pt>
                <c:pt idx="308">
                  <c:v>85</c:v>
                </c:pt>
                <c:pt idx="309">
                  <c:v>85</c:v>
                </c:pt>
                <c:pt idx="310">
                  <c:v>85</c:v>
                </c:pt>
                <c:pt idx="311">
                  <c:v>85</c:v>
                </c:pt>
                <c:pt idx="312">
                  <c:v>86</c:v>
                </c:pt>
                <c:pt idx="313">
                  <c:v>86</c:v>
                </c:pt>
                <c:pt idx="314">
                  <c:v>86</c:v>
                </c:pt>
                <c:pt idx="315">
                  <c:v>86</c:v>
                </c:pt>
                <c:pt idx="316">
                  <c:v>86</c:v>
                </c:pt>
                <c:pt idx="317">
                  <c:v>86</c:v>
                </c:pt>
                <c:pt idx="318">
                  <c:v>86</c:v>
                </c:pt>
                <c:pt idx="319">
                  <c:v>86</c:v>
                </c:pt>
                <c:pt idx="320">
                  <c:v>87</c:v>
                </c:pt>
                <c:pt idx="321">
                  <c:v>87</c:v>
                </c:pt>
                <c:pt idx="322">
                  <c:v>87</c:v>
                </c:pt>
                <c:pt idx="323">
                  <c:v>87</c:v>
                </c:pt>
                <c:pt idx="324">
                  <c:v>87</c:v>
                </c:pt>
                <c:pt idx="325">
                  <c:v>87</c:v>
                </c:pt>
                <c:pt idx="326">
                  <c:v>88</c:v>
                </c:pt>
                <c:pt idx="327">
                  <c:v>88</c:v>
                </c:pt>
                <c:pt idx="328">
                  <c:v>88</c:v>
                </c:pt>
                <c:pt idx="329">
                  <c:v>89</c:v>
                </c:pt>
                <c:pt idx="330">
                  <c:v>89</c:v>
                </c:pt>
                <c:pt idx="331">
                  <c:v>89</c:v>
                </c:pt>
                <c:pt idx="332">
                  <c:v>89</c:v>
                </c:pt>
                <c:pt idx="333">
                  <c:v>90</c:v>
                </c:pt>
                <c:pt idx="334">
                  <c:v>90</c:v>
                </c:pt>
                <c:pt idx="335">
                  <c:v>90</c:v>
                </c:pt>
                <c:pt idx="336">
                  <c:v>90</c:v>
                </c:pt>
                <c:pt idx="337">
                  <c:v>90</c:v>
                </c:pt>
                <c:pt idx="338">
                  <c:v>90</c:v>
                </c:pt>
                <c:pt idx="339">
                  <c:v>90</c:v>
                </c:pt>
                <c:pt idx="340">
                  <c:v>91</c:v>
                </c:pt>
                <c:pt idx="341">
                  <c:v>91</c:v>
                </c:pt>
                <c:pt idx="342">
                  <c:v>91</c:v>
                </c:pt>
                <c:pt idx="343">
                  <c:v>92</c:v>
                </c:pt>
                <c:pt idx="344">
                  <c:v>92</c:v>
                </c:pt>
                <c:pt idx="345">
                  <c:v>92</c:v>
                </c:pt>
                <c:pt idx="346">
                  <c:v>92</c:v>
                </c:pt>
                <c:pt idx="347">
                  <c:v>93</c:v>
                </c:pt>
                <c:pt idx="348">
                  <c:v>93</c:v>
                </c:pt>
                <c:pt idx="349">
                  <c:v>94</c:v>
                </c:pt>
                <c:pt idx="350">
                  <c:v>94</c:v>
                </c:pt>
                <c:pt idx="351">
                  <c:v>95</c:v>
                </c:pt>
                <c:pt idx="352">
                  <c:v>95</c:v>
                </c:pt>
                <c:pt idx="353">
                  <c:v>95</c:v>
                </c:pt>
                <c:pt idx="354">
                  <c:v>95</c:v>
                </c:pt>
                <c:pt idx="355">
                  <c:v>96</c:v>
                </c:pt>
                <c:pt idx="356">
                  <c:v>96</c:v>
                </c:pt>
                <c:pt idx="357">
                  <c:v>96</c:v>
                </c:pt>
                <c:pt idx="358">
                  <c:v>97</c:v>
                </c:pt>
                <c:pt idx="359">
                  <c:v>98</c:v>
                </c:pt>
                <c:pt idx="360">
                  <c:v>99</c:v>
                </c:pt>
                <c:pt idx="361">
                  <c:v>99</c:v>
                </c:pt>
                <c:pt idx="362">
                  <c:v>99</c:v>
                </c:pt>
                <c:pt idx="363">
                  <c:v>101</c:v>
                </c:pt>
                <c:pt idx="364">
                  <c:v>101</c:v>
                </c:pt>
              </c:numCache>
              <c:extLst xmlns:c15="http://schemas.microsoft.com/office/drawing/2012/chart"/>
            </c:numRef>
          </c:cat>
          <c:val>
            <c:numRef>
              <c:f>'Probability Distribution'!$H$2:$H$366</c:f>
              <c:numCache>
                <c:formatCode>General</c:formatCode>
                <c:ptCount val="365"/>
                <c:pt idx="0">
                  <c:v>1317</c:v>
                </c:pt>
                <c:pt idx="1">
                  <c:v>1152.8419730824387</c:v>
                </c:pt>
                <c:pt idx="2">
                  <c:v>2012.0287756989003</c:v>
                </c:pt>
                <c:pt idx="3">
                  <c:v>2144.5382219712797</c:v>
                </c:pt>
                <c:pt idx="4">
                  <c:v>1822.7001145522327</c:v>
                </c:pt>
                <c:pt idx="5">
                  <c:v>1529.6743400568926</c:v>
                </c:pt>
                <c:pt idx="6">
                  <c:v>1890.4897188699508</c:v>
                </c:pt>
                <c:pt idx="7">
                  <c:v>2056.7212916510102</c:v>
                </c:pt>
                <c:pt idx="8">
                  <c:v>2307.7069233648213</c:v>
                </c:pt>
                <c:pt idx="9">
                  <c:v>2386.9910929954735</c:v>
                </c:pt>
                <c:pt idx="10">
                  <c:v>1930.3698406954763</c:v>
                </c:pt>
                <c:pt idx="11">
                  <c:v>2064.7772137243869</c:v>
                </c:pt>
                <c:pt idx="12">
                  <c:v>1948.5481750257316</c:v>
                </c:pt>
                <c:pt idx="13">
                  <c:v>2229.5680091777476</c:v>
                </c:pt>
                <c:pt idx="14">
                  <c:v>2560.5114457883342</c:v>
                </c:pt>
                <c:pt idx="15">
                  <c:v>2631.3304308346096</c:v>
                </c:pt>
                <c:pt idx="16">
                  <c:v>2448.234058756615</c:v>
                </c:pt>
                <c:pt idx="17">
                  <c:v>2697.9051246545309</c:v>
                </c:pt>
                <c:pt idx="18">
                  <c:v>2554.359186642851</c:v>
                </c:pt>
                <c:pt idx="19">
                  <c:v>2142.48953607868</c:v>
                </c:pt>
                <c:pt idx="20">
                  <c:v>2783.9176055181306</c:v>
                </c:pt>
                <c:pt idx="21">
                  <c:v>2405.7593591055811</c:v>
                </c:pt>
                <c:pt idx="22">
                  <c:v>2197.1588538389969</c:v>
                </c:pt>
                <c:pt idx="23">
                  <c:v>2546.8715212379634</c:v>
                </c:pt>
                <c:pt idx="24">
                  <c:v>2853.9280328737013</c:v>
                </c:pt>
                <c:pt idx="25">
                  <c:v>2911.772195488134</c:v>
                </c:pt>
                <c:pt idx="26">
                  <c:v>2806.1227386082705</c:v>
                </c:pt>
                <c:pt idx="27">
                  <c:v>2054.0197526824522</c:v>
                </c:pt>
                <c:pt idx="28">
                  <c:v>3236.8423279830613</c:v>
                </c:pt>
                <c:pt idx="29">
                  <c:v>3342.1878811308197</c:v>
                </c:pt>
                <c:pt idx="30">
                  <c:v>2889.6221627964251</c:v>
                </c:pt>
                <c:pt idx="31">
                  <c:v>2824.8759477739873</c:v>
                </c:pt>
                <c:pt idx="32">
                  <c:v>2717.5713669091956</c:v>
                </c:pt>
                <c:pt idx="33">
                  <c:v>2920.0724099648996</c:v>
                </c:pt>
                <c:pt idx="34">
                  <c:v>3391.2886868202595</c:v>
                </c:pt>
                <c:pt idx="35">
                  <c:v>3319.1788693524936</c:v>
                </c:pt>
                <c:pt idx="36">
                  <c:v>2464.653013664145</c:v>
                </c:pt>
                <c:pt idx="37">
                  <c:v>2651.6049856508066</c:v>
                </c:pt>
                <c:pt idx="38">
                  <c:v>3009.6806558554249</c:v>
                </c:pt>
                <c:pt idx="39">
                  <c:v>3546.5353043718146</c:v>
                </c:pt>
                <c:pt idx="40">
                  <c:v>3098.3304763653664</c:v>
                </c:pt>
                <c:pt idx="41">
                  <c:v>3194.805341315026</c:v>
                </c:pt>
                <c:pt idx="42">
                  <c:v>3444.7000108924094</c:v>
                </c:pt>
                <c:pt idx="43">
                  <c:v>2790.8863326872643</c:v>
                </c:pt>
                <c:pt idx="44">
                  <c:v>2523.2881668518494</c:v>
                </c:pt>
                <c:pt idx="45">
                  <c:v>2643.4610075726396</c:v>
                </c:pt>
                <c:pt idx="46">
                  <c:v>3060.4023205389967</c:v>
                </c:pt>
                <c:pt idx="47">
                  <c:v>2814.0302984440063</c:v>
                </c:pt>
                <c:pt idx="48">
                  <c:v>2960.8808928405424</c:v>
                </c:pt>
                <c:pt idx="49">
                  <c:v>3552.2389001076558</c:v>
                </c:pt>
                <c:pt idx="50">
                  <c:v>3655.7565591594162</c:v>
                </c:pt>
                <c:pt idx="51">
                  <c:v>3433.1514831869331</c:v>
                </c:pt>
                <c:pt idx="52">
                  <c:v>3475.149091967362</c:v>
                </c:pt>
                <c:pt idx="53">
                  <c:v>3015.5075344815473</c:v>
                </c:pt>
                <c:pt idx="54">
                  <c:v>3559.9571527208732</c:v>
                </c:pt>
                <c:pt idx="55">
                  <c:v>3411.8676171014044</c:v>
                </c:pt>
                <c:pt idx="56">
                  <c:v>3763.5237768397228</c:v>
                </c:pt>
                <c:pt idx="57">
                  <c:v>3144.4019382601059</c:v>
                </c:pt>
                <c:pt idx="58">
                  <c:v>3443.9045204400113</c:v>
                </c:pt>
                <c:pt idx="59">
                  <c:v>3683.2806937650416</c:v>
                </c:pt>
                <c:pt idx="60">
                  <c:v>3233.6399944944824</c:v>
                </c:pt>
                <c:pt idx="61">
                  <c:v>3856.3901521241701</c:v>
                </c:pt>
                <c:pt idx="62">
                  <c:v>2917.4719174721913</c:v>
                </c:pt>
                <c:pt idx="63">
                  <c:v>3818.0867054093783</c:v>
                </c:pt>
                <c:pt idx="64">
                  <c:v>3974.7484907775424</c:v>
                </c:pt>
                <c:pt idx="65">
                  <c:v>3777.5014697360234</c:v>
                </c:pt>
                <c:pt idx="66">
                  <c:v>3107.0367114571104</c:v>
                </c:pt>
                <c:pt idx="67">
                  <c:v>3660.6613727799663</c:v>
                </c:pt>
                <c:pt idx="68">
                  <c:v>3576.0386341535914</c:v>
                </c:pt>
                <c:pt idx="69">
                  <c:v>3496.7581486661397</c:v>
                </c:pt>
                <c:pt idx="70">
                  <c:v>3632.4995027098785</c:v>
                </c:pt>
                <c:pt idx="71">
                  <c:v>4172.8155859860026</c:v>
                </c:pt>
                <c:pt idx="72">
                  <c:v>4163.3172357596168</c:v>
                </c:pt>
                <c:pt idx="73">
                  <c:v>4217.7058096531018</c:v>
                </c:pt>
                <c:pt idx="74">
                  <c:v>3786.0104275255562</c:v>
                </c:pt>
                <c:pt idx="75">
                  <c:v>3696.9051033320084</c:v>
                </c:pt>
                <c:pt idx="76">
                  <c:v>3747.9635682791254</c:v>
                </c:pt>
                <c:pt idx="77">
                  <c:v>3684.3323994198345</c:v>
                </c:pt>
                <c:pt idx="78">
                  <c:v>3975.8853037065951</c:v>
                </c:pt>
                <c:pt idx="79">
                  <c:v>3770.9951139400864</c:v>
                </c:pt>
                <c:pt idx="80">
                  <c:v>3956.7910930161311</c:v>
                </c:pt>
                <c:pt idx="81">
                  <c:v>3836.8807584458646</c:v>
                </c:pt>
                <c:pt idx="82">
                  <c:v>3730.9570307471213</c:v>
                </c:pt>
                <c:pt idx="83">
                  <c:v>3897.6896565813313</c:v>
                </c:pt>
                <c:pt idx="84">
                  <c:v>4249.8109501683766</c:v>
                </c:pt>
                <c:pt idx="85">
                  <c:v>4125.9457665976361</c:v>
                </c:pt>
                <c:pt idx="86">
                  <c:v>3749.1929333203093</c:v>
                </c:pt>
                <c:pt idx="87">
                  <c:v>5232.158778009567</c:v>
                </c:pt>
                <c:pt idx="88">
                  <c:v>4737.0778377247225</c:v>
                </c:pt>
                <c:pt idx="89">
                  <c:v>4109.7930344648012</c:v>
                </c:pt>
                <c:pt idx="90">
                  <c:v>3846.3895185715824</c:v>
                </c:pt>
                <c:pt idx="91">
                  <c:v>3710.4277110581929</c:v>
                </c:pt>
                <c:pt idx="92">
                  <c:v>3963.2422336210302</c:v>
                </c:pt>
                <c:pt idx="93">
                  <c:v>4042.000294586775</c:v>
                </c:pt>
                <c:pt idx="94">
                  <c:v>4173.3681182592427</c:v>
                </c:pt>
                <c:pt idx="95">
                  <c:v>4642.8410810977812</c:v>
                </c:pt>
                <c:pt idx="96">
                  <c:v>4183.2826610271277</c:v>
                </c:pt>
                <c:pt idx="97">
                  <c:v>3914.4472020109438</c:v>
                </c:pt>
                <c:pt idx="98">
                  <c:v>3697.7768863094766</c:v>
                </c:pt>
                <c:pt idx="99">
                  <c:v>4426.1342984508801</c:v>
                </c:pt>
                <c:pt idx="100">
                  <c:v>4609.1350204194696</c:v>
                </c:pt>
                <c:pt idx="101">
                  <c:v>4965.516245201994</c:v>
                </c:pt>
                <c:pt idx="102">
                  <c:v>4683.9846464316415</c:v>
                </c:pt>
                <c:pt idx="103">
                  <c:v>3987.12247169906</c:v>
                </c:pt>
                <c:pt idx="104">
                  <c:v>4213.1573369715952</c:v>
                </c:pt>
                <c:pt idx="105">
                  <c:v>4224.822641079093</c:v>
                </c:pt>
                <c:pt idx="106">
                  <c:v>4174.081928706416</c:v>
                </c:pt>
                <c:pt idx="107">
                  <c:v>4330.1773109687874</c:v>
                </c:pt>
                <c:pt idx="108">
                  <c:v>4500.6745119458974</c:v>
                </c:pt>
                <c:pt idx="109">
                  <c:v>4304.2922663399695</c:v>
                </c:pt>
                <c:pt idx="110">
                  <c:v>4276.2246952901178</c:v>
                </c:pt>
                <c:pt idx="111">
                  <c:v>4172.4748962889225</c:v>
                </c:pt>
                <c:pt idx="112">
                  <c:v>4751.5035537778858</c:v>
                </c:pt>
                <c:pt idx="113">
                  <c:v>4980.3960691173479</c:v>
                </c:pt>
                <c:pt idx="114">
                  <c:v>4519.5844061519074</c:v>
                </c:pt>
                <c:pt idx="115">
                  <c:v>4748.5046351935853</c:v>
                </c:pt>
                <c:pt idx="116">
                  <c:v>4486.6594438025386</c:v>
                </c:pt>
                <c:pt idx="117">
                  <c:v>4436.0719116933587</c:v>
                </c:pt>
                <c:pt idx="118">
                  <c:v>4505.230398785402</c:v>
                </c:pt>
                <c:pt idx="119">
                  <c:v>4789.6663052432505</c:v>
                </c:pt>
                <c:pt idx="120">
                  <c:v>4949.5688900727855</c:v>
                </c:pt>
                <c:pt idx="121">
                  <c:v>5369.4552866078084</c:v>
                </c:pt>
                <c:pt idx="122">
                  <c:v>4522.4662725874459</c:v>
                </c:pt>
                <c:pt idx="123">
                  <c:v>3733.0287389569676</c:v>
                </c:pt>
                <c:pt idx="124">
                  <c:v>4722.5981752598645</c:v>
                </c:pt>
                <c:pt idx="125">
                  <c:v>4624.3292772571795</c:v>
                </c:pt>
                <c:pt idx="126">
                  <c:v>4645.6731526429285</c:v>
                </c:pt>
                <c:pt idx="127">
                  <c:v>4477.5972225285459</c:v>
                </c:pt>
                <c:pt idx="128">
                  <c:v>4194.7840936038028</c:v>
                </c:pt>
                <c:pt idx="129">
                  <c:v>5151.4023055170373</c:v>
                </c:pt>
                <c:pt idx="130">
                  <c:v>4720.0586889173519</c:v>
                </c:pt>
                <c:pt idx="131">
                  <c:v>4998.7198914563696</c:v>
                </c:pt>
                <c:pt idx="132">
                  <c:v>4595.4584077449645</c:v>
                </c:pt>
                <c:pt idx="133">
                  <c:v>5104.3543226459606</c:v>
                </c:pt>
                <c:pt idx="134">
                  <c:v>4766.204487777849</c:v>
                </c:pt>
                <c:pt idx="135">
                  <c:v>4961.3099440077976</c:v>
                </c:pt>
                <c:pt idx="136">
                  <c:v>4003.4858286166018</c:v>
                </c:pt>
                <c:pt idx="137">
                  <c:v>4506.3297681108897</c:v>
                </c:pt>
                <c:pt idx="138">
                  <c:v>4792.1458880814444</c:v>
                </c:pt>
                <c:pt idx="139">
                  <c:v>4884.3820735778227</c:v>
                </c:pt>
                <c:pt idx="140">
                  <c:v>4340.030617808372</c:v>
                </c:pt>
                <c:pt idx="141">
                  <c:v>4691.9878716526864</c:v>
                </c:pt>
                <c:pt idx="142">
                  <c:v>5310.3573250844756</c:v>
                </c:pt>
                <c:pt idx="143">
                  <c:v>4152.6144209099084</c:v>
                </c:pt>
                <c:pt idx="144">
                  <c:v>4898.8398782188906</c:v>
                </c:pt>
                <c:pt idx="145">
                  <c:v>4873.1060846649925</c:v>
                </c:pt>
                <c:pt idx="146">
                  <c:v>4143.8646116990258</c:v>
                </c:pt>
                <c:pt idx="147">
                  <c:v>4808.6678336869227</c:v>
                </c:pt>
                <c:pt idx="148">
                  <c:v>5105.7119338690682</c:v>
                </c:pt>
                <c:pt idx="149">
                  <c:v>5277.3184934310239</c:v>
                </c:pt>
                <c:pt idx="150">
                  <c:v>4997.8884493418818</c:v>
                </c:pt>
                <c:pt idx="151">
                  <c:v>4985.118414850499</c:v>
                </c:pt>
                <c:pt idx="152">
                  <c:v>5032.8721157402651</c:v>
                </c:pt>
                <c:pt idx="153">
                  <c:v>4918.3093545424872</c:v>
                </c:pt>
                <c:pt idx="154">
                  <c:v>5322.1157447515461</c:v>
                </c:pt>
                <c:pt idx="155">
                  <c:v>5318.8562543810031</c:v>
                </c:pt>
                <c:pt idx="156">
                  <c:v>4846.344114616667</c:v>
                </c:pt>
                <c:pt idx="157">
                  <c:v>5316.3960676861088</c:v>
                </c:pt>
                <c:pt idx="158">
                  <c:v>5607.7922792101317</c:v>
                </c:pt>
                <c:pt idx="159">
                  <c:v>5499.9685173882153</c:v>
                </c:pt>
                <c:pt idx="160">
                  <c:v>4875.7979692201652</c:v>
                </c:pt>
                <c:pt idx="161">
                  <c:v>5085.3983266564692</c:v>
                </c:pt>
                <c:pt idx="162">
                  <c:v>4518.9871845628868</c:v>
                </c:pt>
                <c:pt idx="163">
                  <c:v>5255.9732451807986</c:v>
                </c:pt>
                <c:pt idx="164">
                  <c:v>5002.3250731572307</c:v>
                </c:pt>
                <c:pt idx="165">
                  <c:v>5625.3399408970727</c:v>
                </c:pt>
                <c:pt idx="166">
                  <c:v>5995.0292579391662</c:v>
                </c:pt>
                <c:pt idx="167">
                  <c:v>5190.2731675479927</c:v>
                </c:pt>
                <c:pt idx="168">
                  <c:v>5267.4891653558734</c:v>
                </c:pt>
                <c:pt idx="169">
                  <c:v>5062.6400247118772</c:v>
                </c:pt>
                <c:pt idx="170">
                  <c:v>4862.5932940602852</c:v>
                </c:pt>
                <c:pt idx="171">
                  <c:v>5339.8589832126127</c:v>
                </c:pt>
                <c:pt idx="172">
                  <c:v>5331.6166753513062</c:v>
                </c:pt>
                <c:pt idx="173">
                  <c:v>4837.7491319816108</c:v>
                </c:pt>
                <c:pt idx="174">
                  <c:v>5327.0069048767637</c:v>
                </c:pt>
                <c:pt idx="175">
                  <c:v>5116.4196232948916</c:v>
                </c:pt>
                <c:pt idx="176">
                  <c:v>5212.2601185998501</c:v>
                </c:pt>
                <c:pt idx="177">
                  <c:v>5274.4764084097787</c:v>
                </c:pt>
                <c:pt idx="178">
                  <c:v>5559.6797048249391</c:v>
                </c:pt>
                <c:pt idx="179">
                  <c:v>5221.8019376426473</c:v>
                </c:pt>
                <c:pt idx="180">
                  <c:v>5289.6409364542842</c:v>
                </c:pt>
                <c:pt idx="181">
                  <c:v>5475.4117195155641</c:v>
                </c:pt>
                <c:pt idx="182">
                  <c:v>5582.4789787819927</c:v>
                </c:pt>
                <c:pt idx="183">
                  <c:v>5448.5789345562725</c:v>
                </c:pt>
                <c:pt idx="184">
                  <c:v>5378.1569305418798</c:v>
                </c:pt>
                <c:pt idx="185">
                  <c:v>5536.5850639093314</c:v>
                </c:pt>
                <c:pt idx="186">
                  <c:v>5456.1305225542656</c:v>
                </c:pt>
                <c:pt idx="187">
                  <c:v>5330.3238055833663</c:v>
                </c:pt>
                <c:pt idx="188">
                  <c:v>4936.5377650791806</c:v>
                </c:pt>
                <c:pt idx="189">
                  <c:v>5522.2934037057112</c:v>
                </c:pt>
                <c:pt idx="190">
                  <c:v>6083.625643929854</c:v>
                </c:pt>
                <c:pt idx="191">
                  <c:v>5096.7976858258917</c:v>
                </c:pt>
                <c:pt idx="192">
                  <c:v>5285.9618391552303</c:v>
                </c:pt>
                <c:pt idx="193">
                  <c:v>5368.7920113367909</c:v>
                </c:pt>
                <c:pt idx="194">
                  <c:v>5339.3850478702334</c:v>
                </c:pt>
                <c:pt idx="195">
                  <c:v>5799.9475781244437</c:v>
                </c:pt>
                <c:pt idx="196">
                  <c:v>5510.3907291087562</c:v>
                </c:pt>
                <c:pt idx="197">
                  <c:v>5527.5988966374734</c:v>
                </c:pt>
                <c:pt idx="198">
                  <c:v>5328.0573983619033</c:v>
                </c:pt>
                <c:pt idx="199">
                  <c:v>5824.605578734263</c:v>
                </c:pt>
                <c:pt idx="200">
                  <c:v>5686.4831262824018</c:v>
                </c:pt>
                <c:pt idx="201">
                  <c:v>5944.5815438010259</c:v>
                </c:pt>
                <c:pt idx="202">
                  <c:v>5996.9774075509631</c:v>
                </c:pt>
                <c:pt idx="203">
                  <c:v>5186.1693155713028</c:v>
                </c:pt>
                <c:pt idx="204">
                  <c:v>5504.6618092250537</c:v>
                </c:pt>
                <c:pt idx="205">
                  <c:v>6031.0637244653572</c:v>
                </c:pt>
                <c:pt idx="206">
                  <c:v>6154.116630071826</c:v>
                </c:pt>
                <c:pt idx="207">
                  <c:v>5341.8177420469228</c:v>
                </c:pt>
                <c:pt idx="208">
                  <c:v>5862.6302550781675</c:v>
                </c:pt>
                <c:pt idx="209">
                  <c:v>5245.7100204787266</c:v>
                </c:pt>
                <c:pt idx="210">
                  <c:v>5162.7245561227892</c:v>
                </c:pt>
                <c:pt idx="211">
                  <c:v>6061.8781246877979</c:v>
                </c:pt>
                <c:pt idx="212">
                  <c:v>6306.5941281661253</c:v>
                </c:pt>
                <c:pt idx="213">
                  <c:v>6225.9996938670556</c:v>
                </c:pt>
                <c:pt idx="214">
                  <c:v>5273.8391433702855</c:v>
                </c:pt>
                <c:pt idx="215">
                  <c:v>4988.4369771508736</c:v>
                </c:pt>
                <c:pt idx="216">
                  <c:v>5899.5808354282908</c:v>
                </c:pt>
                <c:pt idx="217">
                  <c:v>5477.6354679558071</c:v>
                </c:pt>
                <c:pt idx="218">
                  <c:v>5615.6879422145612</c:v>
                </c:pt>
                <c:pt idx="219">
                  <c:v>6111.2811649060168</c:v>
                </c:pt>
                <c:pt idx="220">
                  <c:v>6285.9341280514227</c:v>
                </c:pt>
                <c:pt idx="221">
                  <c:v>5669.2739292049218</c:v>
                </c:pt>
                <c:pt idx="222">
                  <c:v>6058.6867645492493</c:v>
                </c:pt>
                <c:pt idx="223">
                  <c:v>5437.6772629708157</c:v>
                </c:pt>
                <c:pt idx="224">
                  <c:v>5735.6163444291078</c:v>
                </c:pt>
                <c:pt idx="225">
                  <c:v>5910.130645465043</c:v>
                </c:pt>
                <c:pt idx="226">
                  <c:v>5782.4930200239296</c:v>
                </c:pt>
                <c:pt idx="227">
                  <c:v>5581.6357993193842</c:v>
                </c:pt>
                <c:pt idx="228">
                  <c:v>5701.8364437157225</c:v>
                </c:pt>
                <c:pt idx="229">
                  <c:v>5841.127967707369</c:v>
                </c:pt>
                <c:pt idx="230">
                  <c:v>6158.8668987443807</c:v>
                </c:pt>
                <c:pt idx="231">
                  <c:v>6164.8295045506602</c:v>
                </c:pt>
                <c:pt idx="232">
                  <c:v>6167.4373220233429</c:v>
                </c:pt>
                <c:pt idx="233">
                  <c:v>6341.4038606853637</c:v>
                </c:pt>
                <c:pt idx="234">
                  <c:v>6169.1532047128376</c:v>
                </c:pt>
                <c:pt idx="235">
                  <c:v>5895.6500773117523</c:v>
                </c:pt>
                <c:pt idx="236">
                  <c:v>5693.1703281302198</c:v>
                </c:pt>
                <c:pt idx="237">
                  <c:v>5817.0017692226447</c:v>
                </c:pt>
                <c:pt idx="238">
                  <c:v>5748.3559734560822</c:v>
                </c:pt>
                <c:pt idx="239">
                  <c:v>5667.7500100205616</c:v>
                </c:pt>
                <c:pt idx="240">
                  <c:v>6307.1892399678709</c:v>
                </c:pt>
                <c:pt idx="241">
                  <c:v>6108.875722826846</c:v>
                </c:pt>
                <c:pt idx="242">
                  <c:v>6634.8988722216282</c:v>
                </c:pt>
                <c:pt idx="243">
                  <c:v>5702.7464435637003</c:v>
                </c:pt>
                <c:pt idx="244">
                  <c:v>6156.927863311299</c:v>
                </c:pt>
                <c:pt idx="245">
                  <c:v>5996.0564218542177</c:v>
                </c:pt>
                <c:pt idx="246">
                  <c:v>6179.1147977770315</c:v>
                </c:pt>
                <c:pt idx="247">
                  <c:v>5939.8839865881591</c:v>
                </c:pt>
                <c:pt idx="248">
                  <c:v>6891.6651189377635</c:v>
                </c:pt>
                <c:pt idx="249">
                  <c:v>5649.4476537047503</c:v>
                </c:pt>
                <c:pt idx="250">
                  <c:v>5744.5464281500654</c:v>
                </c:pt>
                <c:pt idx="251">
                  <c:v>5602.4811131045926</c:v>
                </c:pt>
                <c:pt idx="252">
                  <c:v>6555.8673068130074</c:v>
                </c:pt>
                <c:pt idx="253">
                  <c:v>5588.6426520633377</c:v>
                </c:pt>
                <c:pt idx="254">
                  <c:v>6046.6998809387487</c:v>
                </c:pt>
                <c:pt idx="255">
                  <c:v>6405.6845265876163</c:v>
                </c:pt>
                <c:pt idx="256">
                  <c:v>6065.0632571709566</c:v>
                </c:pt>
                <c:pt idx="257">
                  <c:v>6150.847067335164</c:v>
                </c:pt>
                <c:pt idx="258">
                  <c:v>6415.4581558170057</c:v>
                </c:pt>
                <c:pt idx="259">
                  <c:v>6573.2493365500195</c:v>
                </c:pt>
                <c:pt idx="260">
                  <c:v>6669.4134329710732</c:v>
                </c:pt>
                <c:pt idx="261">
                  <c:v>6168.4475620852936</c:v>
                </c:pt>
                <c:pt idx="262">
                  <c:v>6368.6395719474212</c:v>
                </c:pt>
                <c:pt idx="263">
                  <c:v>5661.2225307600911</c:v>
                </c:pt>
                <c:pt idx="264">
                  <c:v>5730.1228463636016</c:v>
                </c:pt>
                <c:pt idx="265">
                  <c:v>6676.6881822084133</c:v>
                </c:pt>
                <c:pt idx="266">
                  <c:v>6322.2162325925601</c:v>
                </c:pt>
                <c:pt idx="267">
                  <c:v>6215.7586596971223</c:v>
                </c:pt>
                <c:pt idx="268">
                  <c:v>6454.5845835703421</c:v>
                </c:pt>
                <c:pt idx="269">
                  <c:v>6261.8936679178505</c:v>
                </c:pt>
                <c:pt idx="270">
                  <c:v>6192.9143709080072</c:v>
                </c:pt>
                <c:pt idx="271">
                  <c:v>6533.0183795195971</c:v>
                </c:pt>
                <c:pt idx="272">
                  <c:v>6752.4241471113855</c:v>
                </c:pt>
                <c:pt idx="273">
                  <c:v>6465.2337746633784</c:v>
                </c:pt>
                <c:pt idx="274">
                  <c:v>6279.2644701067811</c:v>
                </c:pt>
                <c:pt idx="275">
                  <c:v>6065.2725818928775</c:v>
                </c:pt>
                <c:pt idx="276">
                  <c:v>6536.6002660726535</c:v>
                </c:pt>
                <c:pt idx="277">
                  <c:v>6525.7691406584636</c:v>
                </c:pt>
                <c:pt idx="278">
                  <c:v>6689.2594180869282</c:v>
                </c:pt>
                <c:pt idx="279">
                  <c:v>6534.7225415750454</c:v>
                </c:pt>
                <c:pt idx="280">
                  <c:v>6212.8150011002172</c:v>
                </c:pt>
                <c:pt idx="281">
                  <c:v>6640.946583296095</c:v>
                </c:pt>
                <c:pt idx="282">
                  <c:v>6629.7380138944272</c:v>
                </c:pt>
                <c:pt idx="283">
                  <c:v>6209.8173665879776</c:v>
                </c:pt>
                <c:pt idx="284">
                  <c:v>6216.6478568793473</c:v>
                </c:pt>
                <c:pt idx="285">
                  <c:v>6416.9632842493866</c:v>
                </c:pt>
                <c:pt idx="286">
                  <c:v>6022.1328238506385</c:v>
                </c:pt>
                <c:pt idx="287">
                  <c:v>6570.2294770670187</c:v>
                </c:pt>
                <c:pt idx="288">
                  <c:v>6831.3737993666182</c:v>
                </c:pt>
                <c:pt idx="289">
                  <c:v>6618.9310916478344</c:v>
                </c:pt>
                <c:pt idx="290">
                  <c:v>6253.5145739282234</c:v>
                </c:pt>
                <c:pt idx="291">
                  <c:v>6218.1807598921932</c:v>
                </c:pt>
                <c:pt idx="292">
                  <c:v>6532.0765017274398</c:v>
                </c:pt>
                <c:pt idx="293">
                  <c:v>6619.1815397559785</c:v>
                </c:pt>
                <c:pt idx="294">
                  <c:v>6965.4136264087265</c:v>
                </c:pt>
                <c:pt idx="295">
                  <c:v>6450.3324165554413</c:v>
                </c:pt>
                <c:pt idx="296">
                  <c:v>6569.8018165363565</c:v>
                </c:pt>
                <c:pt idx="297">
                  <c:v>6296.1130329421294</c:v>
                </c:pt>
                <c:pt idx="298">
                  <c:v>6763.2285483999758</c:v>
                </c:pt>
                <c:pt idx="299">
                  <c:v>7004.0582694373461</c:v>
                </c:pt>
                <c:pt idx="300">
                  <c:v>6561.7322292832259</c:v>
                </c:pt>
                <c:pt idx="301">
                  <c:v>6771.9074552607153</c:v>
                </c:pt>
                <c:pt idx="302">
                  <c:v>6831.4229835627038</c:v>
                </c:pt>
                <c:pt idx="303">
                  <c:v>7056.6477622567418</c:v>
                </c:pt>
                <c:pt idx="304">
                  <c:v>6370.9690802622799</c:v>
                </c:pt>
                <c:pt idx="305">
                  <c:v>5914.4584914518982</c:v>
                </c:pt>
                <c:pt idx="306">
                  <c:v>6760.3057317297798</c:v>
                </c:pt>
                <c:pt idx="307">
                  <c:v>6343.1009477245279</c:v>
                </c:pt>
                <c:pt idx="308">
                  <c:v>6461.8330000761089</c:v>
                </c:pt>
                <c:pt idx="309">
                  <c:v>6641.9706379741301</c:v>
                </c:pt>
                <c:pt idx="310">
                  <c:v>7214.3886839613933</c:v>
                </c:pt>
                <c:pt idx="311">
                  <c:v>6502.7693379514703</c:v>
                </c:pt>
                <c:pt idx="312">
                  <c:v>6951.4306824232071</c:v>
                </c:pt>
                <c:pt idx="313">
                  <c:v>6914.3183052018312</c:v>
                </c:pt>
                <c:pt idx="314">
                  <c:v>7029.1318038714826</c:v>
                </c:pt>
                <c:pt idx="315">
                  <c:v>7254.4206351026742</c:v>
                </c:pt>
                <c:pt idx="316">
                  <c:v>7056.7404141077277</c:v>
                </c:pt>
                <c:pt idx="317">
                  <c:v>6879.4508847419975</c:v>
                </c:pt>
                <c:pt idx="318">
                  <c:v>6699.1669784295245</c:v>
                </c:pt>
                <c:pt idx="319">
                  <c:v>6307.360070935536</c:v>
                </c:pt>
                <c:pt idx="320">
                  <c:v>7010.1700552080547</c:v>
                </c:pt>
                <c:pt idx="321">
                  <c:v>6962.2381486545273</c:v>
                </c:pt>
                <c:pt idx="322">
                  <c:v>7119.2693991583428</c:v>
                </c:pt>
                <c:pt idx="323">
                  <c:v>6463.0283511019834</c:v>
                </c:pt>
                <c:pt idx="324">
                  <c:v>6679.7975189674162</c:v>
                </c:pt>
                <c:pt idx="325">
                  <c:v>7136.121784657159</c:v>
                </c:pt>
                <c:pt idx="326">
                  <c:v>7092.9214974983261</c:v>
                </c:pt>
                <c:pt idx="327">
                  <c:v>7653.4473382476963</c:v>
                </c:pt>
                <c:pt idx="328">
                  <c:v>7076.1394101422593</c:v>
                </c:pt>
                <c:pt idx="329">
                  <c:v>7303.8953895984841</c:v>
                </c:pt>
                <c:pt idx="330">
                  <c:v>7159.5885985965779</c:v>
                </c:pt>
                <c:pt idx="331">
                  <c:v>7347.8252910330348</c:v>
                </c:pt>
                <c:pt idx="332">
                  <c:v>7486.3249845803612</c:v>
                </c:pt>
                <c:pt idx="333">
                  <c:v>7103.2108129133849</c:v>
                </c:pt>
                <c:pt idx="334">
                  <c:v>6557.801580080305</c:v>
                </c:pt>
                <c:pt idx="335">
                  <c:v>7770.9739457966043</c:v>
                </c:pt>
                <c:pt idx="336">
                  <c:v>7779.2314963386571</c:v>
                </c:pt>
                <c:pt idx="337">
                  <c:v>7599.0848673086202</c:v>
                </c:pt>
                <c:pt idx="338">
                  <c:v>7379.3902651968401</c:v>
                </c:pt>
                <c:pt idx="339">
                  <c:v>7584.5585472390803</c:v>
                </c:pt>
                <c:pt idx="340">
                  <c:v>8071.7772172144714</c:v>
                </c:pt>
                <c:pt idx="341">
                  <c:v>8441.619882817462</c:v>
                </c:pt>
                <c:pt idx="342">
                  <c:v>7606.1935301789981</c:v>
                </c:pt>
                <c:pt idx="343">
                  <c:v>7696.7237840659573</c:v>
                </c:pt>
                <c:pt idx="344">
                  <c:v>7455.0503772235897</c:v>
                </c:pt>
                <c:pt idx="345">
                  <c:v>7376.8430627864218</c:v>
                </c:pt>
                <c:pt idx="346">
                  <c:v>7725.818332156131</c:v>
                </c:pt>
                <c:pt idx="347">
                  <c:v>8123.6843591830966</c:v>
                </c:pt>
                <c:pt idx="348">
                  <c:v>7820.16522367372</c:v>
                </c:pt>
                <c:pt idx="349">
                  <c:v>8165.3189991004074</c:v>
                </c:pt>
                <c:pt idx="350">
                  <c:v>7550.2661076513823</c:v>
                </c:pt>
                <c:pt idx="351">
                  <c:v>7718.9972101160611</c:v>
                </c:pt>
                <c:pt idx="352">
                  <c:v>8141.1540350683026</c:v>
                </c:pt>
                <c:pt idx="353">
                  <c:v>8243.6808941323088</c:v>
                </c:pt>
                <c:pt idx="354">
                  <c:v>8193.4965597643313</c:v>
                </c:pt>
                <c:pt idx="355">
                  <c:v>8007.4285102138483</c:v>
                </c:pt>
                <c:pt idx="356">
                  <c:v>8313.7444423155393</c:v>
                </c:pt>
                <c:pt idx="357">
                  <c:v>8137.7757971715946</c:v>
                </c:pt>
                <c:pt idx="358">
                  <c:v>8266.4881456101975</c:v>
                </c:pt>
                <c:pt idx="359">
                  <c:v>8497.3246530235756</c:v>
                </c:pt>
                <c:pt idx="360">
                  <c:v>8640.429938815616</c:v>
                </c:pt>
                <c:pt idx="361">
                  <c:v>8857.9212656957006</c:v>
                </c:pt>
                <c:pt idx="362">
                  <c:v>9115.8614820217554</c:v>
                </c:pt>
                <c:pt idx="363">
                  <c:v>8144.2775740266352</c:v>
                </c:pt>
                <c:pt idx="364">
                  <c:v>8312.3082761535916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1883-40C8-8E9F-4E8A3DD1E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68400"/>
        <c:axId val="12886888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v>Actual Data</c:v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'Probability Distribution'!$A$2:$A$366</c15:sqref>
                        </c15:formulaRef>
                      </c:ext>
                    </c:extLst>
                    <c:numCache>
                      <c:formatCode>General</c:formatCode>
                      <c:ptCount val="365"/>
                      <c:pt idx="0">
                        <c:v>39</c:v>
                      </c:pt>
                      <c:pt idx="1">
                        <c:v>40</c:v>
                      </c:pt>
                      <c:pt idx="2">
                        <c:v>41</c:v>
                      </c:pt>
                      <c:pt idx="3">
                        <c:v>42</c:v>
                      </c:pt>
                      <c:pt idx="4">
                        <c:v>43</c:v>
                      </c:pt>
                      <c:pt idx="5">
                        <c:v>43</c:v>
                      </c:pt>
                      <c:pt idx="6">
                        <c:v>44</c:v>
                      </c:pt>
                      <c:pt idx="7">
                        <c:v>44</c:v>
                      </c:pt>
                      <c:pt idx="8">
                        <c:v>45</c:v>
                      </c:pt>
                      <c:pt idx="9">
                        <c:v>45</c:v>
                      </c:pt>
                      <c:pt idx="10">
                        <c:v>45</c:v>
                      </c:pt>
                      <c:pt idx="11">
                        <c:v>46</c:v>
                      </c:pt>
                      <c:pt idx="12">
                        <c:v>46</c:v>
                      </c:pt>
                      <c:pt idx="13">
                        <c:v>47</c:v>
                      </c:pt>
                      <c:pt idx="14">
                        <c:v>48</c:v>
                      </c:pt>
                      <c:pt idx="15">
                        <c:v>48</c:v>
                      </c:pt>
                      <c:pt idx="16">
                        <c:v>48</c:v>
                      </c:pt>
                      <c:pt idx="17">
                        <c:v>48</c:v>
                      </c:pt>
                      <c:pt idx="18">
                        <c:v>48</c:v>
                      </c:pt>
                      <c:pt idx="19">
                        <c:v>48</c:v>
                      </c:pt>
                      <c:pt idx="20">
                        <c:v>49</c:v>
                      </c:pt>
                      <c:pt idx="21">
                        <c:v>49</c:v>
                      </c:pt>
                      <c:pt idx="22">
                        <c:v>50</c:v>
                      </c:pt>
                      <c:pt idx="23">
                        <c:v>50</c:v>
                      </c:pt>
                      <c:pt idx="24">
                        <c:v>50</c:v>
                      </c:pt>
                      <c:pt idx="25">
                        <c:v>50</c:v>
                      </c:pt>
                      <c:pt idx="26">
                        <c:v>50</c:v>
                      </c:pt>
                      <c:pt idx="27">
                        <c:v>51</c:v>
                      </c:pt>
                      <c:pt idx="28">
                        <c:v>51</c:v>
                      </c:pt>
                      <c:pt idx="29">
                        <c:v>52</c:v>
                      </c:pt>
                      <c:pt idx="30">
                        <c:v>52</c:v>
                      </c:pt>
                      <c:pt idx="31">
                        <c:v>52</c:v>
                      </c:pt>
                      <c:pt idx="32">
                        <c:v>52</c:v>
                      </c:pt>
                      <c:pt idx="33">
                        <c:v>52</c:v>
                      </c:pt>
                      <c:pt idx="34">
                        <c:v>53</c:v>
                      </c:pt>
                      <c:pt idx="35">
                        <c:v>53</c:v>
                      </c:pt>
                      <c:pt idx="36">
                        <c:v>53</c:v>
                      </c:pt>
                      <c:pt idx="37">
                        <c:v>53</c:v>
                      </c:pt>
                      <c:pt idx="38">
                        <c:v>54</c:v>
                      </c:pt>
                      <c:pt idx="39">
                        <c:v>54</c:v>
                      </c:pt>
                      <c:pt idx="40">
                        <c:v>54</c:v>
                      </c:pt>
                      <c:pt idx="41">
                        <c:v>54</c:v>
                      </c:pt>
                      <c:pt idx="42">
                        <c:v>54</c:v>
                      </c:pt>
                      <c:pt idx="43">
                        <c:v>54</c:v>
                      </c:pt>
                      <c:pt idx="44">
                        <c:v>54</c:v>
                      </c:pt>
                      <c:pt idx="45">
                        <c:v>54</c:v>
                      </c:pt>
                      <c:pt idx="46">
                        <c:v>54</c:v>
                      </c:pt>
                      <c:pt idx="47">
                        <c:v>55</c:v>
                      </c:pt>
                      <c:pt idx="48">
                        <c:v>55</c:v>
                      </c:pt>
                      <c:pt idx="49">
                        <c:v>55</c:v>
                      </c:pt>
                      <c:pt idx="50">
                        <c:v>55</c:v>
                      </c:pt>
                      <c:pt idx="51">
                        <c:v>56</c:v>
                      </c:pt>
                      <c:pt idx="52">
                        <c:v>56</c:v>
                      </c:pt>
                      <c:pt idx="53">
                        <c:v>57</c:v>
                      </c:pt>
                      <c:pt idx="54">
                        <c:v>57</c:v>
                      </c:pt>
                      <c:pt idx="55">
                        <c:v>58</c:v>
                      </c:pt>
                      <c:pt idx="56">
                        <c:v>58</c:v>
                      </c:pt>
                      <c:pt idx="57">
                        <c:v>58</c:v>
                      </c:pt>
                      <c:pt idx="58">
                        <c:v>58</c:v>
                      </c:pt>
                      <c:pt idx="59">
                        <c:v>58</c:v>
                      </c:pt>
                      <c:pt idx="60">
                        <c:v>58</c:v>
                      </c:pt>
                      <c:pt idx="61">
                        <c:v>59</c:v>
                      </c:pt>
                      <c:pt idx="62">
                        <c:v>59</c:v>
                      </c:pt>
                      <c:pt idx="63">
                        <c:v>59</c:v>
                      </c:pt>
                      <c:pt idx="64">
                        <c:v>59</c:v>
                      </c:pt>
                      <c:pt idx="65">
                        <c:v>59</c:v>
                      </c:pt>
                      <c:pt idx="66">
                        <c:v>59</c:v>
                      </c:pt>
                      <c:pt idx="67">
                        <c:v>59</c:v>
                      </c:pt>
                      <c:pt idx="68">
                        <c:v>59</c:v>
                      </c:pt>
                      <c:pt idx="69">
                        <c:v>60</c:v>
                      </c:pt>
                      <c:pt idx="70">
                        <c:v>60</c:v>
                      </c:pt>
                      <c:pt idx="71">
                        <c:v>60</c:v>
                      </c:pt>
                      <c:pt idx="72">
                        <c:v>60</c:v>
                      </c:pt>
                      <c:pt idx="73">
                        <c:v>60</c:v>
                      </c:pt>
                      <c:pt idx="74">
                        <c:v>61</c:v>
                      </c:pt>
                      <c:pt idx="75">
                        <c:v>61</c:v>
                      </c:pt>
                      <c:pt idx="76">
                        <c:v>61</c:v>
                      </c:pt>
                      <c:pt idx="77">
                        <c:v>61</c:v>
                      </c:pt>
                      <c:pt idx="78">
                        <c:v>61</c:v>
                      </c:pt>
                      <c:pt idx="79">
                        <c:v>61</c:v>
                      </c:pt>
                      <c:pt idx="80">
                        <c:v>61</c:v>
                      </c:pt>
                      <c:pt idx="81">
                        <c:v>61</c:v>
                      </c:pt>
                      <c:pt idx="82">
                        <c:v>61</c:v>
                      </c:pt>
                      <c:pt idx="83">
                        <c:v>62</c:v>
                      </c:pt>
                      <c:pt idx="84">
                        <c:v>62</c:v>
                      </c:pt>
                      <c:pt idx="85">
                        <c:v>62</c:v>
                      </c:pt>
                      <c:pt idx="86">
                        <c:v>62</c:v>
                      </c:pt>
                      <c:pt idx="87">
                        <c:v>63</c:v>
                      </c:pt>
                      <c:pt idx="88">
                        <c:v>63</c:v>
                      </c:pt>
                      <c:pt idx="89">
                        <c:v>63</c:v>
                      </c:pt>
                      <c:pt idx="90">
                        <c:v>63</c:v>
                      </c:pt>
                      <c:pt idx="91">
                        <c:v>63</c:v>
                      </c:pt>
                      <c:pt idx="92">
                        <c:v>64</c:v>
                      </c:pt>
                      <c:pt idx="93">
                        <c:v>64</c:v>
                      </c:pt>
                      <c:pt idx="94">
                        <c:v>64</c:v>
                      </c:pt>
                      <c:pt idx="95">
                        <c:v>64</c:v>
                      </c:pt>
                      <c:pt idx="96">
                        <c:v>64</c:v>
                      </c:pt>
                      <c:pt idx="97">
                        <c:v>64</c:v>
                      </c:pt>
                      <c:pt idx="98">
                        <c:v>64</c:v>
                      </c:pt>
                      <c:pt idx="99">
                        <c:v>64</c:v>
                      </c:pt>
                      <c:pt idx="100">
                        <c:v>64</c:v>
                      </c:pt>
                      <c:pt idx="101">
                        <c:v>65</c:v>
                      </c:pt>
                      <c:pt idx="102">
                        <c:v>65</c:v>
                      </c:pt>
                      <c:pt idx="103">
                        <c:v>65</c:v>
                      </c:pt>
                      <c:pt idx="104">
                        <c:v>65</c:v>
                      </c:pt>
                      <c:pt idx="105">
                        <c:v>65</c:v>
                      </c:pt>
                      <c:pt idx="106">
                        <c:v>65</c:v>
                      </c:pt>
                      <c:pt idx="107">
                        <c:v>65</c:v>
                      </c:pt>
                      <c:pt idx="108">
                        <c:v>65</c:v>
                      </c:pt>
                      <c:pt idx="109">
                        <c:v>65</c:v>
                      </c:pt>
                      <c:pt idx="110">
                        <c:v>66</c:v>
                      </c:pt>
                      <c:pt idx="111">
                        <c:v>66</c:v>
                      </c:pt>
                      <c:pt idx="112">
                        <c:v>66</c:v>
                      </c:pt>
                      <c:pt idx="113">
                        <c:v>66</c:v>
                      </c:pt>
                      <c:pt idx="114">
                        <c:v>66</c:v>
                      </c:pt>
                      <c:pt idx="115">
                        <c:v>66</c:v>
                      </c:pt>
                      <c:pt idx="116">
                        <c:v>66</c:v>
                      </c:pt>
                      <c:pt idx="117">
                        <c:v>66</c:v>
                      </c:pt>
                      <c:pt idx="118">
                        <c:v>66</c:v>
                      </c:pt>
                      <c:pt idx="119">
                        <c:v>66</c:v>
                      </c:pt>
                      <c:pt idx="120">
                        <c:v>66</c:v>
                      </c:pt>
                      <c:pt idx="121">
                        <c:v>66</c:v>
                      </c:pt>
                      <c:pt idx="122">
                        <c:v>66</c:v>
                      </c:pt>
                      <c:pt idx="123">
                        <c:v>66</c:v>
                      </c:pt>
                      <c:pt idx="124">
                        <c:v>67</c:v>
                      </c:pt>
                      <c:pt idx="125">
                        <c:v>67</c:v>
                      </c:pt>
                      <c:pt idx="126">
                        <c:v>67</c:v>
                      </c:pt>
                      <c:pt idx="127">
                        <c:v>67</c:v>
                      </c:pt>
                      <c:pt idx="128">
                        <c:v>67</c:v>
                      </c:pt>
                      <c:pt idx="129">
                        <c:v>67</c:v>
                      </c:pt>
                      <c:pt idx="130">
                        <c:v>68</c:v>
                      </c:pt>
                      <c:pt idx="131">
                        <c:v>68</c:v>
                      </c:pt>
                      <c:pt idx="132">
                        <c:v>68</c:v>
                      </c:pt>
                      <c:pt idx="133">
                        <c:v>68</c:v>
                      </c:pt>
                      <c:pt idx="134">
                        <c:v>68</c:v>
                      </c:pt>
                      <c:pt idx="135">
                        <c:v>68</c:v>
                      </c:pt>
                      <c:pt idx="136">
                        <c:v>68</c:v>
                      </c:pt>
                      <c:pt idx="137">
                        <c:v>68</c:v>
                      </c:pt>
                      <c:pt idx="138">
                        <c:v>68</c:v>
                      </c:pt>
                      <c:pt idx="139">
                        <c:v>68</c:v>
                      </c:pt>
                      <c:pt idx="140">
                        <c:v>68</c:v>
                      </c:pt>
                      <c:pt idx="141">
                        <c:v>68</c:v>
                      </c:pt>
                      <c:pt idx="142">
                        <c:v>69</c:v>
                      </c:pt>
                      <c:pt idx="143">
                        <c:v>69</c:v>
                      </c:pt>
                      <c:pt idx="144">
                        <c:v>69</c:v>
                      </c:pt>
                      <c:pt idx="145">
                        <c:v>69</c:v>
                      </c:pt>
                      <c:pt idx="146">
                        <c:v>69</c:v>
                      </c:pt>
                      <c:pt idx="147">
                        <c:v>69</c:v>
                      </c:pt>
                      <c:pt idx="148">
                        <c:v>70</c:v>
                      </c:pt>
                      <c:pt idx="149">
                        <c:v>70</c:v>
                      </c:pt>
                      <c:pt idx="150">
                        <c:v>70</c:v>
                      </c:pt>
                      <c:pt idx="151">
                        <c:v>70</c:v>
                      </c:pt>
                      <c:pt idx="152">
                        <c:v>70</c:v>
                      </c:pt>
                      <c:pt idx="153">
                        <c:v>70</c:v>
                      </c:pt>
                      <c:pt idx="154">
                        <c:v>70</c:v>
                      </c:pt>
                      <c:pt idx="155">
                        <c:v>70</c:v>
                      </c:pt>
                      <c:pt idx="156">
                        <c:v>70</c:v>
                      </c:pt>
                      <c:pt idx="157">
                        <c:v>71</c:v>
                      </c:pt>
                      <c:pt idx="158">
                        <c:v>71</c:v>
                      </c:pt>
                      <c:pt idx="159">
                        <c:v>71</c:v>
                      </c:pt>
                      <c:pt idx="160">
                        <c:v>71</c:v>
                      </c:pt>
                      <c:pt idx="161">
                        <c:v>71</c:v>
                      </c:pt>
                      <c:pt idx="162">
                        <c:v>71</c:v>
                      </c:pt>
                      <c:pt idx="163">
                        <c:v>71</c:v>
                      </c:pt>
                      <c:pt idx="164">
                        <c:v>71</c:v>
                      </c:pt>
                      <c:pt idx="165">
                        <c:v>71</c:v>
                      </c:pt>
                      <c:pt idx="166">
                        <c:v>72</c:v>
                      </c:pt>
                      <c:pt idx="167">
                        <c:v>72</c:v>
                      </c:pt>
                      <c:pt idx="168">
                        <c:v>72</c:v>
                      </c:pt>
                      <c:pt idx="169">
                        <c:v>72</c:v>
                      </c:pt>
                      <c:pt idx="170">
                        <c:v>72</c:v>
                      </c:pt>
                      <c:pt idx="171">
                        <c:v>72</c:v>
                      </c:pt>
                      <c:pt idx="172">
                        <c:v>72</c:v>
                      </c:pt>
                      <c:pt idx="173">
                        <c:v>72</c:v>
                      </c:pt>
                      <c:pt idx="174">
                        <c:v>72</c:v>
                      </c:pt>
                      <c:pt idx="175">
                        <c:v>72</c:v>
                      </c:pt>
                      <c:pt idx="176">
                        <c:v>73</c:v>
                      </c:pt>
                      <c:pt idx="177">
                        <c:v>73</c:v>
                      </c:pt>
                      <c:pt idx="178">
                        <c:v>73</c:v>
                      </c:pt>
                      <c:pt idx="179">
                        <c:v>73</c:v>
                      </c:pt>
                      <c:pt idx="180">
                        <c:v>73</c:v>
                      </c:pt>
                      <c:pt idx="181">
                        <c:v>73</c:v>
                      </c:pt>
                      <c:pt idx="182">
                        <c:v>73</c:v>
                      </c:pt>
                      <c:pt idx="183">
                        <c:v>73</c:v>
                      </c:pt>
                      <c:pt idx="184">
                        <c:v>73</c:v>
                      </c:pt>
                      <c:pt idx="185">
                        <c:v>74</c:v>
                      </c:pt>
                      <c:pt idx="186">
                        <c:v>74</c:v>
                      </c:pt>
                      <c:pt idx="187">
                        <c:v>74</c:v>
                      </c:pt>
                      <c:pt idx="188">
                        <c:v>74</c:v>
                      </c:pt>
                      <c:pt idx="189">
                        <c:v>74</c:v>
                      </c:pt>
                      <c:pt idx="190">
                        <c:v>74</c:v>
                      </c:pt>
                      <c:pt idx="191">
                        <c:v>74</c:v>
                      </c:pt>
                      <c:pt idx="192">
                        <c:v>74</c:v>
                      </c:pt>
                      <c:pt idx="193">
                        <c:v>74</c:v>
                      </c:pt>
                      <c:pt idx="194">
                        <c:v>74</c:v>
                      </c:pt>
                      <c:pt idx="195">
                        <c:v>74</c:v>
                      </c:pt>
                      <c:pt idx="196">
                        <c:v>74</c:v>
                      </c:pt>
                      <c:pt idx="197">
                        <c:v>75</c:v>
                      </c:pt>
                      <c:pt idx="198">
                        <c:v>75</c:v>
                      </c:pt>
                      <c:pt idx="199">
                        <c:v>75</c:v>
                      </c:pt>
                      <c:pt idx="200">
                        <c:v>75</c:v>
                      </c:pt>
                      <c:pt idx="201">
                        <c:v>75</c:v>
                      </c:pt>
                      <c:pt idx="202">
                        <c:v>75</c:v>
                      </c:pt>
                      <c:pt idx="203">
                        <c:v>76</c:v>
                      </c:pt>
                      <c:pt idx="204">
                        <c:v>76</c:v>
                      </c:pt>
                      <c:pt idx="205">
                        <c:v>76</c:v>
                      </c:pt>
                      <c:pt idx="206">
                        <c:v>76</c:v>
                      </c:pt>
                      <c:pt idx="207">
                        <c:v>76</c:v>
                      </c:pt>
                      <c:pt idx="208">
                        <c:v>76</c:v>
                      </c:pt>
                      <c:pt idx="209">
                        <c:v>76</c:v>
                      </c:pt>
                      <c:pt idx="210">
                        <c:v>76</c:v>
                      </c:pt>
                      <c:pt idx="211">
                        <c:v>76</c:v>
                      </c:pt>
                      <c:pt idx="212">
                        <c:v>76</c:v>
                      </c:pt>
                      <c:pt idx="213">
                        <c:v>76</c:v>
                      </c:pt>
                      <c:pt idx="214">
                        <c:v>77</c:v>
                      </c:pt>
                      <c:pt idx="215">
                        <c:v>77</c:v>
                      </c:pt>
                      <c:pt idx="216">
                        <c:v>77</c:v>
                      </c:pt>
                      <c:pt idx="217">
                        <c:v>77</c:v>
                      </c:pt>
                      <c:pt idx="218">
                        <c:v>77</c:v>
                      </c:pt>
                      <c:pt idx="219">
                        <c:v>77</c:v>
                      </c:pt>
                      <c:pt idx="220">
                        <c:v>77</c:v>
                      </c:pt>
                      <c:pt idx="221">
                        <c:v>77</c:v>
                      </c:pt>
                      <c:pt idx="222">
                        <c:v>77</c:v>
                      </c:pt>
                      <c:pt idx="223">
                        <c:v>77</c:v>
                      </c:pt>
                      <c:pt idx="224">
                        <c:v>77</c:v>
                      </c:pt>
                      <c:pt idx="225">
                        <c:v>77</c:v>
                      </c:pt>
                      <c:pt idx="226">
                        <c:v>77</c:v>
                      </c:pt>
                      <c:pt idx="227">
                        <c:v>77</c:v>
                      </c:pt>
                      <c:pt idx="228">
                        <c:v>77</c:v>
                      </c:pt>
                      <c:pt idx="229">
                        <c:v>78</c:v>
                      </c:pt>
                      <c:pt idx="230">
                        <c:v>78</c:v>
                      </c:pt>
                      <c:pt idx="231">
                        <c:v>78</c:v>
                      </c:pt>
                      <c:pt idx="232">
                        <c:v>78</c:v>
                      </c:pt>
                      <c:pt idx="233">
                        <c:v>78</c:v>
                      </c:pt>
                      <c:pt idx="234">
                        <c:v>78</c:v>
                      </c:pt>
                      <c:pt idx="235">
                        <c:v>78</c:v>
                      </c:pt>
                      <c:pt idx="236">
                        <c:v>78</c:v>
                      </c:pt>
                      <c:pt idx="237">
                        <c:v>78</c:v>
                      </c:pt>
                      <c:pt idx="238">
                        <c:v>78</c:v>
                      </c:pt>
                      <c:pt idx="239">
                        <c:v>78</c:v>
                      </c:pt>
                      <c:pt idx="240">
                        <c:v>78</c:v>
                      </c:pt>
                      <c:pt idx="241">
                        <c:v>79</c:v>
                      </c:pt>
                      <c:pt idx="242">
                        <c:v>79</c:v>
                      </c:pt>
                      <c:pt idx="243">
                        <c:v>79</c:v>
                      </c:pt>
                      <c:pt idx="244">
                        <c:v>79</c:v>
                      </c:pt>
                      <c:pt idx="245">
                        <c:v>79</c:v>
                      </c:pt>
                      <c:pt idx="246">
                        <c:v>79</c:v>
                      </c:pt>
                      <c:pt idx="247">
                        <c:v>79</c:v>
                      </c:pt>
                      <c:pt idx="248">
                        <c:v>79</c:v>
                      </c:pt>
                      <c:pt idx="249">
                        <c:v>79</c:v>
                      </c:pt>
                      <c:pt idx="250">
                        <c:v>79</c:v>
                      </c:pt>
                      <c:pt idx="251">
                        <c:v>79</c:v>
                      </c:pt>
                      <c:pt idx="252">
                        <c:v>79</c:v>
                      </c:pt>
                      <c:pt idx="253">
                        <c:v>80</c:v>
                      </c:pt>
                      <c:pt idx="254">
                        <c:v>80</c:v>
                      </c:pt>
                      <c:pt idx="255">
                        <c:v>80</c:v>
                      </c:pt>
                      <c:pt idx="256">
                        <c:v>80</c:v>
                      </c:pt>
                      <c:pt idx="257">
                        <c:v>80</c:v>
                      </c:pt>
                      <c:pt idx="258">
                        <c:v>80</c:v>
                      </c:pt>
                      <c:pt idx="259">
                        <c:v>80</c:v>
                      </c:pt>
                      <c:pt idx="260">
                        <c:v>80</c:v>
                      </c:pt>
                      <c:pt idx="261">
                        <c:v>80</c:v>
                      </c:pt>
                      <c:pt idx="262">
                        <c:v>81</c:v>
                      </c:pt>
                      <c:pt idx="263">
                        <c:v>81</c:v>
                      </c:pt>
                      <c:pt idx="264">
                        <c:v>81</c:v>
                      </c:pt>
                      <c:pt idx="265">
                        <c:v>81</c:v>
                      </c:pt>
                      <c:pt idx="266">
                        <c:v>81</c:v>
                      </c:pt>
                      <c:pt idx="267">
                        <c:v>81</c:v>
                      </c:pt>
                      <c:pt idx="268">
                        <c:v>81</c:v>
                      </c:pt>
                      <c:pt idx="269">
                        <c:v>81</c:v>
                      </c:pt>
                      <c:pt idx="270">
                        <c:v>81</c:v>
                      </c:pt>
                      <c:pt idx="271">
                        <c:v>82</c:v>
                      </c:pt>
                      <c:pt idx="272">
                        <c:v>82</c:v>
                      </c:pt>
                      <c:pt idx="273">
                        <c:v>82</c:v>
                      </c:pt>
                      <c:pt idx="274">
                        <c:v>82</c:v>
                      </c:pt>
                      <c:pt idx="275">
                        <c:v>82</c:v>
                      </c:pt>
                      <c:pt idx="276">
                        <c:v>82</c:v>
                      </c:pt>
                      <c:pt idx="277">
                        <c:v>82</c:v>
                      </c:pt>
                      <c:pt idx="278">
                        <c:v>82</c:v>
                      </c:pt>
                      <c:pt idx="279">
                        <c:v>82</c:v>
                      </c:pt>
                      <c:pt idx="280">
                        <c:v>82</c:v>
                      </c:pt>
                      <c:pt idx="281">
                        <c:v>82</c:v>
                      </c:pt>
                      <c:pt idx="282">
                        <c:v>83</c:v>
                      </c:pt>
                      <c:pt idx="283">
                        <c:v>83</c:v>
                      </c:pt>
                      <c:pt idx="284">
                        <c:v>83</c:v>
                      </c:pt>
                      <c:pt idx="285">
                        <c:v>83</c:v>
                      </c:pt>
                      <c:pt idx="286">
                        <c:v>83</c:v>
                      </c:pt>
                      <c:pt idx="287">
                        <c:v>83</c:v>
                      </c:pt>
                      <c:pt idx="288">
                        <c:v>84</c:v>
                      </c:pt>
                      <c:pt idx="289">
                        <c:v>84</c:v>
                      </c:pt>
                      <c:pt idx="290">
                        <c:v>84</c:v>
                      </c:pt>
                      <c:pt idx="291">
                        <c:v>84</c:v>
                      </c:pt>
                      <c:pt idx="292">
                        <c:v>84</c:v>
                      </c:pt>
                      <c:pt idx="293">
                        <c:v>84</c:v>
                      </c:pt>
                      <c:pt idx="294">
                        <c:v>84</c:v>
                      </c:pt>
                      <c:pt idx="295">
                        <c:v>84</c:v>
                      </c:pt>
                      <c:pt idx="296">
                        <c:v>84</c:v>
                      </c:pt>
                      <c:pt idx="297">
                        <c:v>84</c:v>
                      </c:pt>
                      <c:pt idx="298">
                        <c:v>84</c:v>
                      </c:pt>
                      <c:pt idx="299">
                        <c:v>84</c:v>
                      </c:pt>
                      <c:pt idx="300">
                        <c:v>84</c:v>
                      </c:pt>
                      <c:pt idx="301">
                        <c:v>85</c:v>
                      </c:pt>
                      <c:pt idx="302">
                        <c:v>85</c:v>
                      </c:pt>
                      <c:pt idx="303">
                        <c:v>85</c:v>
                      </c:pt>
                      <c:pt idx="304">
                        <c:v>85</c:v>
                      </c:pt>
                      <c:pt idx="305">
                        <c:v>85</c:v>
                      </c:pt>
                      <c:pt idx="306">
                        <c:v>85</c:v>
                      </c:pt>
                      <c:pt idx="307">
                        <c:v>85</c:v>
                      </c:pt>
                      <c:pt idx="308">
                        <c:v>85</c:v>
                      </c:pt>
                      <c:pt idx="309">
                        <c:v>85</c:v>
                      </c:pt>
                      <c:pt idx="310">
                        <c:v>85</c:v>
                      </c:pt>
                      <c:pt idx="311">
                        <c:v>85</c:v>
                      </c:pt>
                      <c:pt idx="312">
                        <c:v>86</c:v>
                      </c:pt>
                      <c:pt idx="313">
                        <c:v>86</c:v>
                      </c:pt>
                      <c:pt idx="314">
                        <c:v>86</c:v>
                      </c:pt>
                      <c:pt idx="315">
                        <c:v>86</c:v>
                      </c:pt>
                      <c:pt idx="316">
                        <c:v>86</c:v>
                      </c:pt>
                      <c:pt idx="317">
                        <c:v>86</c:v>
                      </c:pt>
                      <c:pt idx="318">
                        <c:v>86</c:v>
                      </c:pt>
                      <c:pt idx="319">
                        <c:v>86</c:v>
                      </c:pt>
                      <c:pt idx="320">
                        <c:v>87</c:v>
                      </c:pt>
                      <c:pt idx="321">
                        <c:v>87</c:v>
                      </c:pt>
                      <c:pt idx="322">
                        <c:v>87</c:v>
                      </c:pt>
                      <c:pt idx="323">
                        <c:v>87</c:v>
                      </c:pt>
                      <c:pt idx="324">
                        <c:v>87</c:v>
                      </c:pt>
                      <c:pt idx="325">
                        <c:v>87</c:v>
                      </c:pt>
                      <c:pt idx="326">
                        <c:v>88</c:v>
                      </c:pt>
                      <c:pt idx="327">
                        <c:v>88</c:v>
                      </c:pt>
                      <c:pt idx="328">
                        <c:v>88</c:v>
                      </c:pt>
                      <c:pt idx="329">
                        <c:v>89</c:v>
                      </c:pt>
                      <c:pt idx="330">
                        <c:v>89</c:v>
                      </c:pt>
                      <c:pt idx="331">
                        <c:v>89</c:v>
                      </c:pt>
                      <c:pt idx="332">
                        <c:v>89</c:v>
                      </c:pt>
                      <c:pt idx="333">
                        <c:v>90</c:v>
                      </c:pt>
                      <c:pt idx="334">
                        <c:v>90</c:v>
                      </c:pt>
                      <c:pt idx="335">
                        <c:v>90</c:v>
                      </c:pt>
                      <c:pt idx="336">
                        <c:v>90</c:v>
                      </c:pt>
                      <c:pt idx="337">
                        <c:v>90</c:v>
                      </c:pt>
                      <c:pt idx="338">
                        <c:v>90</c:v>
                      </c:pt>
                      <c:pt idx="339">
                        <c:v>90</c:v>
                      </c:pt>
                      <c:pt idx="340">
                        <c:v>91</c:v>
                      </c:pt>
                      <c:pt idx="341">
                        <c:v>91</c:v>
                      </c:pt>
                      <c:pt idx="342">
                        <c:v>91</c:v>
                      </c:pt>
                      <c:pt idx="343">
                        <c:v>92</c:v>
                      </c:pt>
                      <c:pt idx="344">
                        <c:v>92</c:v>
                      </c:pt>
                      <c:pt idx="345">
                        <c:v>92</c:v>
                      </c:pt>
                      <c:pt idx="346">
                        <c:v>92</c:v>
                      </c:pt>
                      <c:pt idx="347">
                        <c:v>93</c:v>
                      </c:pt>
                      <c:pt idx="348">
                        <c:v>93</c:v>
                      </c:pt>
                      <c:pt idx="349">
                        <c:v>94</c:v>
                      </c:pt>
                      <c:pt idx="350">
                        <c:v>94</c:v>
                      </c:pt>
                      <c:pt idx="351">
                        <c:v>95</c:v>
                      </c:pt>
                      <c:pt idx="352">
                        <c:v>95</c:v>
                      </c:pt>
                      <c:pt idx="353">
                        <c:v>95</c:v>
                      </c:pt>
                      <c:pt idx="354">
                        <c:v>95</c:v>
                      </c:pt>
                      <c:pt idx="355">
                        <c:v>96</c:v>
                      </c:pt>
                      <c:pt idx="356">
                        <c:v>96</c:v>
                      </c:pt>
                      <c:pt idx="357">
                        <c:v>96</c:v>
                      </c:pt>
                      <c:pt idx="358">
                        <c:v>97</c:v>
                      </c:pt>
                      <c:pt idx="359">
                        <c:v>98</c:v>
                      </c:pt>
                      <c:pt idx="360">
                        <c:v>99</c:v>
                      </c:pt>
                      <c:pt idx="361">
                        <c:v>99</c:v>
                      </c:pt>
                      <c:pt idx="362">
                        <c:v>99</c:v>
                      </c:pt>
                      <c:pt idx="363">
                        <c:v>101</c:v>
                      </c:pt>
                      <c:pt idx="364">
                        <c:v>101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'Probability Distribution'!$B$2:$B$366</c15:sqref>
                        </c15:formulaRef>
                      </c:ext>
                    </c:extLst>
                    <c:numCache>
                      <c:formatCode>General</c:formatCode>
                      <c:ptCount val="365"/>
                      <c:pt idx="0">
                        <c:v>1317</c:v>
                      </c:pt>
                      <c:pt idx="1">
                        <c:v>1188</c:v>
                      </c:pt>
                      <c:pt idx="2">
                        <c:v>1882</c:v>
                      </c:pt>
                      <c:pt idx="3">
                        <c:v>1865</c:v>
                      </c:pt>
                      <c:pt idx="4">
                        <c:v>1702</c:v>
                      </c:pt>
                      <c:pt idx="5">
                        <c:v>1588</c:v>
                      </c:pt>
                      <c:pt idx="6">
                        <c:v>1907</c:v>
                      </c:pt>
                      <c:pt idx="7">
                        <c:v>1957</c:v>
                      </c:pt>
                      <c:pt idx="8">
                        <c:v>2162</c:v>
                      </c:pt>
                      <c:pt idx="9">
                        <c:v>2234</c:v>
                      </c:pt>
                      <c:pt idx="10">
                        <c:v>1923</c:v>
                      </c:pt>
                      <c:pt idx="11">
                        <c:v>2125</c:v>
                      </c:pt>
                      <c:pt idx="12">
                        <c:v>1981</c:v>
                      </c:pt>
                      <c:pt idx="13">
                        <c:v>2212</c:v>
                      </c:pt>
                      <c:pt idx="14">
                        <c:v>2422</c:v>
                      </c:pt>
                      <c:pt idx="15">
                        <c:v>2468</c:v>
                      </c:pt>
                      <c:pt idx="16">
                        <c:v>2378</c:v>
                      </c:pt>
                      <c:pt idx="17">
                        <c:v>2641</c:v>
                      </c:pt>
                      <c:pt idx="18">
                        <c:v>2501</c:v>
                      </c:pt>
                      <c:pt idx="19">
                        <c:v>2229</c:v>
                      </c:pt>
                      <c:pt idx="20">
                        <c:v>2781</c:v>
                      </c:pt>
                      <c:pt idx="21">
                        <c:v>2354</c:v>
                      </c:pt>
                      <c:pt idx="22">
                        <c:v>2289</c:v>
                      </c:pt>
                      <c:pt idx="23">
                        <c:v>2568</c:v>
                      </c:pt>
                      <c:pt idx="24">
                        <c:v>2729</c:v>
                      </c:pt>
                      <c:pt idx="25">
                        <c:v>2764</c:v>
                      </c:pt>
                      <c:pt idx="26">
                        <c:v>2731</c:v>
                      </c:pt>
                      <c:pt idx="27">
                        <c:v>2193</c:v>
                      </c:pt>
                      <c:pt idx="28">
                        <c:v>3218</c:v>
                      </c:pt>
                      <c:pt idx="29">
                        <c:v>3067</c:v>
                      </c:pt>
                      <c:pt idx="30">
                        <c:v>2805</c:v>
                      </c:pt>
                      <c:pt idx="31">
                        <c:v>2882</c:v>
                      </c:pt>
                      <c:pt idx="32">
                        <c:v>2787</c:v>
                      </c:pt>
                      <c:pt idx="33">
                        <c:v>2939</c:v>
                      </c:pt>
                      <c:pt idx="34">
                        <c:v>3260</c:v>
                      </c:pt>
                      <c:pt idx="35">
                        <c:v>3162</c:v>
                      </c:pt>
                      <c:pt idx="36">
                        <c:v>2571</c:v>
                      </c:pt>
                      <c:pt idx="37">
                        <c:v>2848</c:v>
                      </c:pt>
                      <c:pt idx="38">
                        <c:v>3009</c:v>
                      </c:pt>
                      <c:pt idx="39">
                        <c:v>3358</c:v>
                      </c:pt>
                      <c:pt idx="40">
                        <c:v>2975</c:v>
                      </c:pt>
                      <c:pt idx="41">
                        <c:v>3194</c:v>
                      </c:pt>
                      <c:pt idx="42">
                        <c:v>3371</c:v>
                      </c:pt>
                      <c:pt idx="43">
                        <c:v>2837</c:v>
                      </c:pt>
                      <c:pt idx="44">
                        <c:v>2741</c:v>
                      </c:pt>
                      <c:pt idx="45">
                        <c:v>2799</c:v>
                      </c:pt>
                      <c:pt idx="46">
                        <c:v>3037</c:v>
                      </c:pt>
                      <c:pt idx="47">
                        <c:v>2768</c:v>
                      </c:pt>
                      <c:pt idx="48">
                        <c:v>2953</c:v>
                      </c:pt>
                      <c:pt idx="49">
                        <c:v>3391</c:v>
                      </c:pt>
                      <c:pt idx="50">
                        <c:v>3419</c:v>
                      </c:pt>
                      <c:pt idx="51">
                        <c:v>3322</c:v>
                      </c:pt>
                      <c:pt idx="52">
                        <c:v>3447</c:v>
                      </c:pt>
                      <c:pt idx="53">
                        <c:v>3089</c:v>
                      </c:pt>
                      <c:pt idx="54">
                        <c:v>3580</c:v>
                      </c:pt>
                      <c:pt idx="55">
                        <c:v>3344</c:v>
                      </c:pt>
                      <c:pt idx="56">
                        <c:v>3679</c:v>
                      </c:pt>
                      <c:pt idx="57">
                        <c:v>3156</c:v>
                      </c:pt>
                      <c:pt idx="58">
                        <c:v>3513</c:v>
                      </c:pt>
                      <c:pt idx="59">
                        <c:v>3611</c:v>
                      </c:pt>
                      <c:pt idx="60">
                        <c:v>3239</c:v>
                      </c:pt>
                      <c:pt idx="61">
                        <c:v>3818</c:v>
                      </c:pt>
                      <c:pt idx="62">
                        <c:v>2969</c:v>
                      </c:pt>
                      <c:pt idx="63">
                        <c:v>3847</c:v>
                      </c:pt>
                      <c:pt idx="64">
                        <c:v>3774</c:v>
                      </c:pt>
                      <c:pt idx="65">
                        <c:v>3671</c:v>
                      </c:pt>
                      <c:pt idx="66">
                        <c:v>3229</c:v>
                      </c:pt>
                      <c:pt idx="67">
                        <c:v>3750</c:v>
                      </c:pt>
                      <c:pt idx="68">
                        <c:v>3533</c:v>
                      </c:pt>
                      <c:pt idx="69">
                        <c:v>3506</c:v>
                      </c:pt>
                      <c:pt idx="70">
                        <c:v>3625</c:v>
                      </c:pt>
                      <c:pt idx="71">
                        <c:v>4025</c:v>
                      </c:pt>
                      <c:pt idx="72">
                        <c:v>3969</c:v>
                      </c:pt>
                      <c:pt idx="73">
                        <c:v>4095</c:v>
                      </c:pt>
                      <c:pt idx="74">
                        <c:v>3796</c:v>
                      </c:pt>
                      <c:pt idx="75">
                        <c:v>3810</c:v>
                      </c:pt>
                      <c:pt idx="76">
                        <c:v>3821</c:v>
                      </c:pt>
                      <c:pt idx="77">
                        <c:v>3730</c:v>
                      </c:pt>
                      <c:pt idx="78">
                        <c:v>3953</c:v>
                      </c:pt>
                      <c:pt idx="79">
                        <c:v>3742</c:v>
                      </c:pt>
                      <c:pt idx="80">
                        <c:v>3942</c:v>
                      </c:pt>
                      <c:pt idx="81">
                        <c:v>3816</c:v>
                      </c:pt>
                      <c:pt idx="82">
                        <c:v>3766</c:v>
                      </c:pt>
                      <c:pt idx="83">
                        <c:v>3904</c:v>
                      </c:pt>
                      <c:pt idx="84">
                        <c:v>4144</c:v>
                      </c:pt>
                      <c:pt idx="85">
                        <c:v>4019</c:v>
                      </c:pt>
                      <c:pt idx="86">
                        <c:v>3793</c:v>
                      </c:pt>
                      <c:pt idx="87">
                        <c:v>5017</c:v>
                      </c:pt>
                      <c:pt idx="88">
                        <c:v>4415</c:v>
                      </c:pt>
                      <c:pt idx="89">
                        <c:v>4158</c:v>
                      </c:pt>
                      <c:pt idx="90">
                        <c:v>4059</c:v>
                      </c:pt>
                      <c:pt idx="91">
                        <c:v>3917</c:v>
                      </c:pt>
                      <c:pt idx="92">
                        <c:v>4057</c:v>
                      </c:pt>
                      <c:pt idx="93">
                        <c:v>4028</c:v>
                      </c:pt>
                      <c:pt idx="94">
                        <c:v>4121</c:v>
                      </c:pt>
                      <c:pt idx="95">
                        <c:v>4485</c:v>
                      </c:pt>
                      <c:pt idx="96">
                        <c:v>4094</c:v>
                      </c:pt>
                      <c:pt idx="97">
                        <c:v>4014</c:v>
                      </c:pt>
                      <c:pt idx="98">
                        <c:v>3857</c:v>
                      </c:pt>
                      <c:pt idx="99">
                        <c:v>4407</c:v>
                      </c:pt>
                      <c:pt idx="100">
                        <c:v>4410</c:v>
                      </c:pt>
                      <c:pt idx="101">
                        <c:v>4736</c:v>
                      </c:pt>
                      <c:pt idx="102">
                        <c:v>4538</c:v>
                      </c:pt>
                      <c:pt idx="103">
                        <c:v>4109</c:v>
                      </c:pt>
                      <c:pt idx="104">
                        <c:v>4378</c:v>
                      </c:pt>
                      <c:pt idx="105">
                        <c:v>4272</c:v>
                      </c:pt>
                      <c:pt idx="106">
                        <c:v>4210</c:v>
                      </c:pt>
                      <c:pt idx="107">
                        <c:v>4328</c:v>
                      </c:pt>
                      <c:pt idx="108">
                        <c:v>4431</c:v>
                      </c:pt>
                      <c:pt idx="109">
                        <c:v>4271</c:v>
                      </c:pt>
                      <c:pt idx="110">
                        <c:v>4303</c:v>
                      </c:pt>
                      <c:pt idx="111">
                        <c:v>4216</c:v>
                      </c:pt>
                      <c:pt idx="112">
                        <c:v>4674</c:v>
                      </c:pt>
                      <c:pt idx="113">
                        <c:v>4768</c:v>
                      </c:pt>
                      <c:pt idx="114">
                        <c:v>4448</c:v>
                      </c:pt>
                      <c:pt idx="115">
                        <c:v>4752</c:v>
                      </c:pt>
                      <c:pt idx="116">
                        <c:v>4498</c:v>
                      </c:pt>
                      <c:pt idx="117">
                        <c:v>4507</c:v>
                      </c:pt>
                      <c:pt idx="118">
                        <c:v>4542</c:v>
                      </c:pt>
                      <c:pt idx="119">
                        <c:v>4736</c:v>
                      </c:pt>
                      <c:pt idx="120">
                        <c:v>4826</c:v>
                      </c:pt>
                      <c:pt idx="121">
                        <c:v>5175</c:v>
                      </c:pt>
                      <c:pt idx="122">
                        <c:v>4505</c:v>
                      </c:pt>
                      <c:pt idx="123">
                        <c:v>4065</c:v>
                      </c:pt>
                      <c:pt idx="124">
                        <c:v>4865</c:v>
                      </c:pt>
                      <c:pt idx="125">
                        <c:v>4526</c:v>
                      </c:pt>
                      <c:pt idx="126">
                        <c:v>4604</c:v>
                      </c:pt>
                      <c:pt idx="127">
                        <c:v>4485</c:v>
                      </c:pt>
                      <c:pt idx="128">
                        <c:v>4294</c:v>
                      </c:pt>
                      <c:pt idx="129">
                        <c:v>5062</c:v>
                      </c:pt>
                      <c:pt idx="130">
                        <c:v>4565</c:v>
                      </c:pt>
                      <c:pt idx="131">
                        <c:v>4937</c:v>
                      </c:pt>
                      <c:pt idx="132">
                        <c:v>4589</c:v>
                      </c:pt>
                      <c:pt idx="133">
                        <c:v>5074</c:v>
                      </c:pt>
                      <c:pt idx="134">
                        <c:v>4717</c:v>
                      </c:pt>
                      <c:pt idx="135">
                        <c:v>4960</c:v>
                      </c:pt>
                      <c:pt idx="136">
                        <c:v>4168</c:v>
                      </c:pt>
                      <c:pt idx="137">
                        <c:v>4690</c:v>
                      </c:pt>
                      <c:pt idx="138">
                        <c:v>4735</c:v>
                      </c:pt>
                      <c:pt idx="139">
                        <c:v>4773</c:v>
                      </c:pt>
                      <c:pt idx="140">
                        <c:v>4373</c:v>
                      </c:pt>
                      <c:pt idx="141">
                        <c:v>4747</c:v>
                      </c:pt>
                      <c:pt idx="142">
                        <c:v>5138</c:v>
                      </c:pt>
                      <c:pt idx="143">
                        <c:v>4174</c:v>
                      </c:pt>
                      <c:pt idx="144">
                        <c:v>4988</c:v>
                      </c:pt>
                      <c:pt idx="145">
                        <c:v>4778</c:v>
                      </c:pt>
                      <c:pt idx="146">
                        <c:v>4250</c:v>
                      </c:pt>
                      <c:pt idx="147">
                        <c:v>4877</c:v>
                      </c:pt>
                      <c:pt idx="148">
                        <c:v>4946</c:v>
                      </c:pt>
                      <c:pt idx="149">
                        <c:v>5087</c:v>
                      </c:pt>
                      <c:pt idx="150">
                        <c:v>4912</c:v>
                      </c:pt>
                      <c:pt idx="151">
                        <c:v>4995</c:v>
                      </c:pt>
                      <c:pt idx="152">
                        <c:v>5031</c:v>
                      </c:pt>
                      <c:pt idx="153">
                        <c:v>4932</c:v>
                      </c:pt>
                      <c:pt idx="154">
                        <c:v>5267</c:v>
                      </c:pt>
                      <c:pt idx="155">
                        <c:v>5205</c:v>
                      </c:pt>
                      <c:pt idx="156">
                        <c:v>4882</c:v>
                      </c:pt>
                      <c:pt idx="157">
                        <c:v>5333</c:v>
                      </c:pt>
                      <c:pt idx="158">
                        <c:v>5459</c:v>
                      </c:pt>
                      <c:pt idx="159">
                        <c:v>5377</c:v>
                      </c:pt>
                      <c:pt idx="160">
                        <c:v>4960</c:v>
                      </c:pt>
                      <c:pt idx="161">
                        <c:v>5217</c:v>
                      </c:pt>
                      <c:pt idx="162">
                        <c:v>4674</c:v>
                      </c:pt>
                      <c:pt idx="163">
                        <c:v>5304</c:v>
                      </c:pt>
                      <c:pt idx="164">
                        <c:v>4934</c:v>
                      </c:pt>
                      <c:pt idx="165">
                        <c:v>5504</c:v>
                      </c:pt>
                      <c:pt idx="166">
                        <c:v>5718</c:v>
                      </c:pt>
                      <c:pt idx="167">
                        <c:v>5126</c:v>
                      </c:pt>
                      <c:pt idx="168">
                        <c:v>5378</c:v>
                      </c:pt>
                      <c:pt idx="169">
                        <c:v>5155</c:v>
                      </c:pt>
                      <c:pt idx="170">
                        <c:v>5001</c:v>
                      </c:pt>
                      <c:pt idx="171">
                        <c:v>5359</c:v>
                      </c:pt>
                      <c:pt idx="172">
                        <c:v>5247</c:v>
                      </c:pt>
                      <c:pt idx="173">
                        <c:v>4896</c:v>
                      </c:pt>
                      <c:pt idx="174">
                        <c:v>5357</c:v>
                      </c:pt>
                      <c:pt idx="175">
                        <c:v>5079</c:v>
                      </c:pt>
                      <c:pt idx="176">
                        <c:v>5213</c:v>
                      </c:pt>
                      <c:pt idx="177">
                        <c:v>5242</c:v>
                      </c:pt>
                      <c:pt idx="178">
                        <c:v>5467</c:v>
                      </c:pt>
                      <c:pt idx="179">
                        <c:v>5182</c:v>
                      </c:pt>
                      <c:pt idx="180">
                        <c:v>5321</c:v>
                      </c:pt>
                      <c:pt idx="181">
                        <c:v>5440</c:v>
                      </c:pt>
                      <c:pt idx="182">
                        <c:v>5501</c:v>
                      </c:pt>
                      <c:pt idx="183">
                        <c:v>5408</c:v>
                      </c:pt>
                      <c:pt idx="184">
                        <c:v>5397</c:v>
                      </c:pt>
                      <c:pt idx="185">
                        <c:v>5528</c:v>
                      </c:pt>
                      <c:pt idx="186">
                        <c:v>5436</c:v>
                      </c:pt>
                      <c:pt idx="187">
                        <c:v>5362</c:v>
                      </c:pt>
                      <c:pt idx="188">
                        <c:v>5065</c:v>
                      </c:pt>
                      <c:pt idx="189">
                        <c:v>5552</c:v>
                      </c:pt>
                      <c:pt idx="190">
                        <c:v>5861</c:v>
                      </c:pt>
                      <c:pt idx="191">
                        <c:v>5064</c:v>
                      </c:pt>
                      <c:pt idx="192">
                        <c:v>5428</c:v>
                      </c:pt>
                      <c:pt idx="193">
                        <c:v>5395</c:v>
                      </c:pt>
                      <c:pt idx="194">
                        <c:v>5344</c:v>
                      </c:pt>
                      <c:pt idx="195">
                        <c:v>5710</c:v>
                      </c:pt>
                      <c:pt idx="196">
                        <c:v>5426</c:v>
                      </c:pt>
                      <c:pt idx="197">
                        <c:v>5534</c:v>
                      </c:pt>
                      <c:pt idx="198">
                        <c:v>5371</c:v>
                      </c:pt>
                      <c:pt idx="199">
                        <c:v>5784</c:v>
                      </c:pt>
                      <c:pt idx="200">
                        <c:v>5591</c:v>
                      </c:pt>
                      <c:pt idx="201">
                        <c:v>5862</c:v>
                      </c:pt>
                      <c:pt idx="202">
                        <c:v>5885</c:v>
                      </c:pt>
                      <c:pt idx="203">
                        <c:v>5284</c:v>
                      </c:pt>
                      <c:pt idx="204">
                        <c:v>5659</c:v>
                      </c:pt>
                      <c:pt idx="205">
                        <c:v>5943</c:v>
                      </c:pt>
                      <c:pt idx="206">
                        <c:v>5969</c:v>
                      </c:pt>
                      <c:pt idx="207">
                        <c:v>5383</c:v>
                      </c:pt>
                      <c:pt idx="208">
                        <c:v>5941</c:v>
                      </c:pt>
                      <c:pt idx="209">
                        <c:v>5317</c:v>
                      </c:pt>
                      <c:pt idx="210">
                        <c:v>5348</c:v>
                      </c:pt>
                      <c:pt idx="211">
                        <c:v>5994</c:v>
                      </c:pt>
                      <c:pt idx="212">
                        <c:v>6031</c:v>
                      </c:pt>
                      <c:pt idx="213">
                        <c:v>6033</c:v>
                      </c:pt>
                      <c:pt idx="214">
                        <c:v>5382</c:v>
                      </c:pt>
                      <c:pt idx="215">
                        <c:v>5307</c:v>
                      </c:pt>
                      <c:pt idx="216">
                        <c:v>5948</c:v>
                      </c:pt>
                      <c:pt idx="217">
                        <c:v>5410</c:v>
                      </c:pt>
                      <c:pt idx="218">
                        <c:v>5633</c:v>
                      </c:pt>
                      <c:pt idx="219">
                        <c:v>5987</c:v>
                      </c:pt>
                      <c:pt idx="220">
                        <c:v>6075</c:v>
                      </c:pt>
                      <c:pt idx="221">
                        <c:v>5643</c:v>
                      </c:pt>
                      <c:pt idx="222">
                        <c:v>6086</c:v>
                      </c:pt>
                      <c:pt idx="223">
                        <c:v>5507</c:v>
                      </c:pt>
                      <c:pt idx="224">
                        <c:v>5839</c:v>
                      </c:pt>
                      <c:pt idx="225">
                        <c:v>5872</c:v>
                      </c:pt>
                      <c:pt idx="226">
                        <c:v>5752</c:v>
                      </c:pt>
                      <c:pt idx="227">
                        <c:v>5633</c:v>
                      </c:pt>
                      <c:pt idx="228">
                        <c:v>5747</c:v>
                      </c:pt>
                      <c:pt idx="229">
                        <c:v>5813</c:v>
                      </c:pt>
                      <c:pt idx="230">
                        <c:v>6046</c:v>
                      </c:pt>
                      <c:pt idx="231">
                        <c:v>6033</c:v>
                      </c:pt>
                      <c:pt idx="232">
                        <c:v>6089</c:v>
                      </c:pt>
                      <c:pt idx="233">
                        <c:v>6258</c:v>
                      </c:pt>
                      <c:pt idx="234">
                        <c:v>6122</c:v>
                      </c:pt>
                      <c:pt idx="235">
                        <c:v>5962</c:v>
                      </c:pt>
                      <c:pt idx="236">
                        <c:v>5831</c:v>
                      </c:pt>
                      <c:pt idx="237">
                        <c:v>5912</c:v>
                      </c:pt>
                      <c:pt idx="238">
                        <c:v>5793</c:v>
                      </c:pt>
                      <c:pt idx="239">
                        <c:v>5725</c:v>
                      </c:pt>
                      <c:pt idx="240">
                        <c:v>6220</c:v>
                      </c:pt>
                      <c:pt idx="241">
                        <c:v>5970</c:v>
                      </c:pt>
                      <c:pt idx="242">
                        <c:v>6482</c:v>
                      </c:pt>
                      <c:pt idx="243">
                        <c:v>5706</c:v>
                      </c:pt>
                      <c:pt idx="244">
                        <c:v>6252</c:v>
                      </c:pt>
                      <c:pt idx="245">
                        <c:v>5993</c:v>
                      </c:pt>
                      <c:pt idx="246">
                        <c:v>6171</c:v>
                      </c:pt>
                      <c:pt idx="247">
                        <c:v>5949</c:v>
                      </c:pt>
                      <c:pt idx="248">
                        <c:v>6742</c:v>
                      </c:pt>
                      <c:pt idx="249">
                        <c:v>5634</c:v>
                      </c:pt>
                      <c:pt idx="250">
                        <c:v>5969</c:v>
                      </c:pt>
                      <c:pt idx="251">
                        <c:v>5744</c:v>
                      </c:pt>
                      <c:pt idx="252">
                        <c:v>6463</c:v>
                      </c:pt>
                      <c:pt idx="253">
                        <c:v>5547</c:v>
                      </c:pt>
                      <c:pt idx="254">
                        <c:v>6122</c:v>
                      </c:pt>
                      <c:pt idx="255">
                        <c:v>6279</c:v>
                      </c:pt>
                      <c:pt idx="256">
                        <c:v>5991</c:v>
                      </c:pt>
                      <c:pt idx="257">
                        <c:v>6159</c:v>
                      </c:pt>
                      <c:pt idx="258">
                        <c:v>6346</c:v>
                      </c:pt>
                      <c:pt idx="259">
                        <c:v>6445</c:v>
                      </c:pt>
                      <c:pt idx="260">
                        <c:v>6542</c:v>
                      </c:pt>
                      <c:pt idx="261">
                        <c:v>6182</c:v>
                      </c:pt>
                      <c:pt idx="262">
                        <c:v>6436</c:v>
                      </c:pt>
                      <c:pt idx="263">
                        <c:v>5811</c:v>
                      </c:pt>
                      <c:pt idx="264">
                        <c:v>5947</c:v>
                      </c:pt>
                      <c:pt idx="265">
                        <c:v>6586</c:v>
                      </c:pt>
                      <c:pt idx="266">
                        <c:v>6152</c:v>
                      </c:pt>
                      <c:pt idx="267">
                        <c:v>6212</c:v>
                      </c:pt>
                      <c:pt idx="268">
                        <c:v>6423</c:v>
                      </c:pt>
                      <c:pt idx="269">
                        <c:v>6236</c:v>
                      </c:pt>
                      <c:pt idx="270">
                        <c:v>6232</c:v>
                      </c:pt>
                      <c:pt idx="271">
                        <c:v>6497</c:v>
                      </c:pt>
                      <c:pt idx="272">
                        <c:v>6615</c:v>
                      </c:pt>
                      <c:pt idx="273">
                        <c:v>6402</c:v>
                      </c:pt>
                      <c:pt idx="274">
                        <c:v>6341</c:v>
                      </c:pt>
                      <c:pt idx="275">
                        <c:v>6185</c:v>
                      </c:pt>
                      <c:pt idx="276">
                        <c:v>6549</c:v>
                      </c:pt>
                      <c:pt idx="277">
                        <c:v>6439</c:v>
                      </c:pt>
                      <c:pt idx="278">
                        <c:v>6606</c:v>
                      </c:pt>
                      <c:pt idx="279">
                        <c:v>6486</c:v>
                      </c:pt>
                      <c:pt idx="280">
                        <c:v>6285</c:v>
                      </c:pt>
                      <c:pt idx="281">
                        <c:v>6657</c:v>
                      </c:pt>
                      <c:pt idx="282">
                        <c:v>6554</c:v>
                      </c:pt>
                      <c:pt idx="283">
                        <c:v>6258</c:v>
                      </c:pt>
                      <c:pt idx="284">
                        <c:v>6329</c:v>
                      </c:pt>
                      <c:pt idx="285">
                        <c:v>6438</c:v>
                      </c:pt>
                      <c:pt idx="286">
                        <c:v>6078</c:v>
                      </c:pt>
                      <c:pt idx="287">
                        <c:v>6566</c:v>
                      </c:pt>
                      <c:pt idx="288">
                        <c:v>6661</c:v>
                      </c:pt>
                      <c:pt idx="289">
                        <c:v>6512</c:v>
                      </c:pt>
                      <c:pt idx="290">
                        <c:v>6313</c:v>
                      </c:pt>
                      <c:pt idx="291">
                        <c:v>6335</c:v>
                      </c:pt>
                      <c:pt idx="292">
                        <c:v>6540</c:v>
                      </c:pt>
                      <c:pt idx="293">
                        <c:v>6541</c:v>
                      </c:pt>
                      <c:pt idx="294">
                        <c:v>6828</c:v>
                      </c:pt>
                      <c:pt idx="295">
                        <c:v>6410</c:v>
                      </c:pt>
                      <c:pt idx="296">
                        <c:v>6626</c:v>
                      </c:pt>
                      <c:pt idx="297">
                        <c:v>6363</c:v>
                      </c:pt>
                      <c:pt idx="298">
                        <c:v>6758</c:v>
                      </c:pt>
                      <c:pt idx="299">
                        <c:v>6854</c:v>
                      </c:pt>
                      <c:pt idx="300">
                        <c:v>6520</c:v>
                      </c:pt>
                      <c:pt idx="301">
                        <c:v>6793</c:v>
                      </c:pt>
                      <c:pt idx="302">
                        <c:v>6788</c:v>
                      </c:pt>
                      <c:pt idx="303">
                        <c:v>6971</c:v>
                      </c:pt>
                      <c:pt idx="304">
                        <c:v>6422</c:v>
                      </c:pt>
                      <c:pt idx="305">
                        <c:v>6182</c:v>
                      </c:pt>
                      <c:pt idx="306">
                        <c:v>6828</c:v>
                      </c:pt>
                      <c:pt idx="307">
                        <c:v>6299</c:v>
                      </c:pt>
                      <c:pt idx="308">
                        <c:v>6496</c:v>
                      </c:pt>
                      <c:pt idx="309">
                        <c:v>6599</c:v>
                      </c:pt>
                      <c:pt idx="310">
                        <c:v>7030</c:v>
                      </c:pt>
                      <c:pt idx="311">
                        <c:v>6431</c:v>
                      </c:pt>
                      <c:pt idx="312">
                        <c:v>6959</c:v>
                      </c:pt>
                      <c:pt idx="313">
                        <c:v>6835</c:v>
                      </c:pt>
                      <c:pt idx="314">
                        <c:v>6966</c:v>
                      </c:pt>
                      <c:pt idx="315">
                        <c:v>7146</c:v>
                      </c:pt>
                      <c:pt idx="316">
                        <c:v>6990</c:v>
                      </c:pt>
                      <c:pt idx="317">
                        <c:v>6919</c:v>
                      </c:pt>
                      <c:pt idx="318">
                        <c:v>6797</c:v>
                      </c:pt>
                      <c:pt idx="319">
                        <c:v>6485</c:v>
                      </c:pt>
                      <c:pt idx="320">
                        <c:v>7043</c:v>
                      </c:pt>
                      <c:pt idx="321">
                        <c:v>6848</c:v>
                      </c:pt>
                      <c:pt idx="322">
                        <c:v>7029</c:v>
                      </c:pt>
                      <c:pt idx="323">
                        <c:v>6519</c:v>
                      </c:pt>
                      <c:pt idx="324">
                        <c:v>6800</c:v>
                      </c:pt>
                      <c:pt idx="325">
                        <c:v>7064</c:v>
                      </c:pt>
                      <c:pt idx="326">
                        <c:v>6967</c:v>
                      </c:pt>
                      <c:pt idx="327">
                        <c:v>7469</c:v>
                      </c:pt>
                      <c:pt idx="328">
                        <c:v>6978</c:v>
                      </c:pt>
                      <c:pt idx="329">
                        <c:v>7316</c:v>
                      </c:pt>
                      <c:pt idx="330">
                        <c:v>7151</c:v>
                      </c:pt>
                      <c:pt idx="331">
                        <c:v>7332</c:v>
                      </c:pt>
                      <c:pt idx="332">
                        <c:v>7409</c:v>
                      </c:pt>
                      <c:pt idx="333">
                        <c:v>7112</c:v>
                      </c:pt>
                      <c:pt idx="334">
                        <c:v>6758</c:v>
                      </c:pt>
                      <c:pt idx="335">
                        <c:v>7739</c:v>
                      </c:pt>
                      <c:pt idx="336">
                        <c:v>7511</c:v>
                      </c:pt>
                      <c:pt idx="337">
                        <c:v>7480</c:v>
                      </c:pt>
                      <c:pt idx="338">
                        <c:v>7394</c:v>
                      </c:pt>
                      <c:pt idx="339">
                        <c:v>7594</c:v>
                      </c:pt>
                      <c:pt idx="340">
                        <c:v>7931</c:v>
                      </c:pt>
                      <c:pt idx="341">
                        <c:v>8181</c:v>
                      </c:pt>
                      <c:pt idx="342">
                        <c:v>7558</c:v>
                      </c:pt>
                      <c:pt idx="343">
                        <c:v>7820</c:v>
                      </c:pt>
                      <c:pt idx="344">
                        <c:v>7560</c:v>
                      </c:pt>
                      <c:pt idx="345">
                        <c:v>7504</c:v>
                      </c:pt>
                      <c:pt idx="346">
                        <c:v>7741</c:v>
                      </c:pt>
                      <c:pt idx="347">
                        <c:v>7976</c:v>
                      </c:pt>
                      <c:pt idx="348">
                        <c:v>7718</c:v>
                      </c:pt>
                      <c:pt idx="349">
                        <c:v>8094</c:v>
                      </c:pt>
                      <c:pt idx="350">
                        <c:v>7570</c:v>
                      </c:pt>
                      <c:pt idx="351">
                        <c:v>7820</c:v>
                      </c:pt>
                      <c:pt idx="352">
                        <c:v>8075</c:v>
                      </c:pt>
                      <c:pt idx="353">
                        <c:v>8097</c:v>
                      </c:pt>
                      <c:pt idx="354">
                        <c:v>8098</c:v>
                      </c:pt>
                      <c:pt idx="355">
                        <c:v>8002</c:v>
                      </c:pt>
                      <c:pt idx="356">
                        <c:v>8283</c:v>
                      </c:pt>
                      <c:pt idx="357">
                        <c:v>8095</c:v>
                      </c:pt>
                      <c:pt idx="358">
                        <c:v>8250</c:v>
                      </c:pt>
                      <c:pt idx="359">
                        <c:v>8412</c:v>
                      </c:pt>
                      <c:pt idx="360">
                        <c:v>8513</c:v>
                      </c:pt>
                      <c:pt idx="361">
                        <c:v>8708</c:v>
                      </c:pt>
                      <c:pt idx="362">
                        <c:v>8929</c:v>
                      </c:pt>
                      <c:pt idx="363">
                        <c:v>8191</c:v>
                      </c:pt>
                      <c:pt idx="364">
                        <c:v>8502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1883-40C8-8E9F-4E8A3DD1E89A}"/>
                  </c:ext>
                </c:extLst>
              </c15:ser>
            </c15:filteredLineSeries>
          </c:ext>
        </c:extLst>
      </c:lineChart>
      <c:catAx>
        <c:axId val="1288684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Temperature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68880"/>
        <c:crosses val="autoZero"/>
        <c:auto val="1"/>
        <c:lblAlgn val="ctr"/>
        <c:lblOffset val="100"/>
        <c:noMultiLvlLbl val="0"/>
      </c:catAx>
      <c:valAx>
        <c:axId val="128868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Ice</a:t>
                </a:r>
                <a:r>
                  <a:rPr lang="en-ID" baseline="0"/>
                  <a:t> Cream Profits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68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129540</xdr:colOff>
      <xdr:row>3</xdr:row>
      <xdr:rowOff>68580</xdr:rowOff>
    </xdr:from>
    <xdr:to>
      <xdr:col>5</xdr:col>
      <xdr:colOff>397074</xdr:colOff>
      <xdr:row>7</xdr:row>
      <xdr:rowOff>78105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8A9C33-7702-4BEF-AD12-342A0ABDC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8740" y="617220"/>
          <a:ext cx="2096334" cy="741045"/>
        </a:xfrm>
        <a:prstGeom prst="rect">
          <a:avLst/>
        </a:prstGeom>
      </xdr:spPr>
    </xdr:pic>
    <xdr:clientData/>
  </xdr:twoCellAnchor>
  <xdr:twoCellAnchor editAs="oneCell">
    <xdr:from>
      <xdr:col>8</xdr:col>
      <xdr:colOff>419100</xdr:colOff>
      <xdr:row>3</xdr:row>
      <xdr:rowOff>156210</xdr:rowOff>
    </xdr:from>
    <xdr:to>
      <xdr:col>11</xdr:col>
      <xdr:colOff>581025</xdr:colOff>
      <xdr:row>7</xdr:row>
      <xdr:rowOff>8758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8A8A88-44F3-4A23-AE1B-EE0FFF1A8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95900" y="704850"/>
          <a:ext cx="1990725" cy="584068"/>
        </a:xfrm>
        <a:prstGeom prst="rect">
          <a:avLst/>
        </a:prstGeom>
      </xdr:spPr>
    </xdr:pic>
    <xdr:clientData/>
  </xdr:twoCellAnchor>
  <xdr:twoCellAnchor editAs="oneCell">
    <xdr:from>
      <xdr:col>6</xdr:col>
      <xdr:colOff>28575</xdr:colOff>
      <xdr:row>3</xdr:row>
      <xdr:rowOff>154305</xdr:rowOff>
    </xdr:from>
    <xdr:to>
      <xdr:col>8</xdr:col>
      <xdr:colOff>236512</xdr:colOff>
      <xdr:row>7</xdr:row>
      <xdr:rowOff>11430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7B76AE2-8427-4F35-B2E0-566BFEDBB1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86175" y="702945"/>
          <a:ext cx="1427137" cy="588645"/>
        </a:xfrm>
        <a:prstGeom prst="rect">
          <a:avLst/>
        </a:prstGeom>
      </xdr:spPr>
    </xdr:pic>
    <xdr:clientData/>
  </xdr:twoCellAnchor>
  <xdr:twoCellAnchor editAs="oneCell">
    <xdr:from>
      <xdr:col>2</xdr:col>
      <xdr:colOff>243840</xdr:colOff>
      <xdr:row>12</xdr:row>
      <xdr:rowOff>53340</xdr:rowOff>
    </xdr:from>
    <xdr:to>
      <xdr:col>7</xdr:col>
      <xdr:colOff>335715</xdr:colOff>
      <xdr:row>14</xdr:row>
      <xdr:rowOff>129604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5E42C7E-16EA-4285-9FDE-2F7F8C58A5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63040" y="2247900"/>
          <a:ext cx="3139875" cy="442024"/>
        </a:xfrm>
        <a:prstGeom prst="rect">
          <a:avLst/>
        </a:prstGeom>
        <a:ln w="9525">
          <a:solidFill>
            <a:schemeClr val="tx1"/>
          </a:solidFill>
        </a:ln>
      </xdr:spPr>
    </xdr:pic>
    <xdr:clientData/>
  </xdr:twoCellAnchor>
  <xdr:twoCellAnchor editAs="oneCell">
    <xdr:from>
      <xdr:col>10</xdr:col>
      <xdr:colOff>419100</xdr:colOff>
      <xdr:row>12</xdr:row>
      <xdr:rowOff>137160</xdr:rowOff>
    </xdr:from>
    <xdr:to>
      <xdr:col>14</xdr:col>
      <xdr:colOff>262494</xdr:colOff>
      <xdr:row>16</xdr:row>
      <xdr:rowOff>11648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77BEF7B-C39A-44A0-A839-F514DEEC46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515100" y="2331720"/>
          <a:ext cx="2281794" cy="606008"/>
        </a:xfrm>
        <a:prstGeom prst="rect">
          <a:avLst/>
        </a:prstGeom>
        <a:ln w="9525"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114300</xdr:colOff>
      <xdr:row>19</xdr:row>
      <xdr:rowOff>114300</xdr:rowOff>
    </xdr:from>
    <xdr:to>
      <xdr:col>6</xdr:col>
      <xdr:colOff>476459</xdr:colOff>
      <xdr:row>21</xdr:row>
      <xdr:rowOff>92956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D4EF9D5-B5A1-4F09-A01A-C5B51CB66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43100" y="3589020"/>
          <a:ext cx="2190959" cy="344416"/>
        </a:xfrm>
        <a:prstGeom prst="rect">
          <a:avLst/>
        </a:prstGeom>
        <a:ln w="9525">
          <a:solidFill>
            <a:schemeClr val="tx1"/>
          </a:solidFill>
        </a:ln>
      </xdr:spPr>
    </xdr:pic>
    <xdr:clientData/>
  </xdr:twoCellAnchor>
  <xdr:twoCellAnchor editAs="oneCell">
    <xdr:from>
      <xdr:col>11</xdr:col>
      <xdr:colOff>45720</xdr:colOff>
      <xdr:row>21</xdr:row>
      <xdr:rowOff>15240</xdr:rowOff>
    </xdr:from>
    <xdr:to>
      <xdr:col>15</xdr:col>
      <xdr:colOff>598587</xdr:colOff>
      <xdr:row>23</xdr:row>
      <xdr:rowOff>91504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7F3B9BB-7533-48C8-AB92-90DCA8AA2E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751320" y="3855720"/>
          <a:ext cx="2991267" cy="442024"/>
        </a:xfrm>
        <a:prstGeom prst="rect">
          <a:avLst/>
        </a:prstGeom>
        <a:ln w="9525">
          <a:solidFill>
            <a:schemeClr val="tx1"/>
          </a:solidFill>
        </a:ln>
      </xdr:spPr>
    </xdr:pic>
    <xdr:clientData/>
  </xdr:twoCellAnchor>
  <xdr:twoCellAnchor editAs="oneCell">
    <xdr:from>
      <xdr:col>11</xdr:col>
      <xdr:colOff>55245</xdr:colOff>
      <xdr:row>23</xdr:row>
      <xdr:rowOff>169545</xdr:rowOff>
    </xdr:from>
    <xdr:to>
      <xdr:col>15</xdr:col>
      <xdr:colOff>592213</xdr:colOff>
      <xdr:row>25</xdr:row>
      <xdr:rowOff>120015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70E658B-2892-4FBE-88B4-2983C3952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760845" y="4375785"/>
          <a:ext cx="2975368" cy="316230"/>
        </a:xfrm>
        <a:prstGeom prst="rect">
          <a:avLst/>
        </a:prstGeom>
        <a:ln w="9525"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188595</xdr:colOff>
      <xdr:row>26</xdr:row>
      <xdr:rowOff>22861</xdr:rowOff>
    </xdr:from>
    <xdr:to>
      <xdr:col>8</xdr:col>
      <xdr:colOff>381000</xdr:colOff>
      <xdr:row>28</xdr:row>
      <xdr:rowOff>3907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3400B2A-BA2A-4D04-AF49-4DBE3E3E11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t="6817" b="-1"/>
        <a:stretch/>
      </xdr:blipFill>
      <xdr:spPr>
        <a:xfrm>
          <a:off x="1407795" y="4777741"/>
          <a:ext cx="3850005" cy="346806"/>
        </a:xfrm>
        <a:prstGeom prst="rect">
          <a:avLst/>
        </a:prstGeom>
        <a:ln w="9525"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198120</xdr:colOff>
      <xdr:row>29</xdr:row>
      <xdr:rowOff>40006</xdr:rowOff>
    </xdr:from>
    <xdr:to>
      <xdr:col>8</xdr:col>
      <xdr:colOff>480060</xdr:colOff>
      <xdr:row>31</xdr:row>
      <xdr:rowOff>49014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83AF054-16D7-4923-9BB1-258A1FB16D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17320" y="5343526"/>
          <a:ext cx="3939540" cy="374768"/>
        </a:xfrm>
        <a:prstGeom prst="rect">
          <a:avLst/>
        </a:prstGeom>
        <a:ln w="9525">
          <a:solidFill>
            <a:schemeClr val="tx1"/>
          </a:solidFill>
        </a:ln>
      </xdr:spPr>
    </xdr:pic>
    <xdr:clientData/>
  </xdr:twoCellAnchor>
  <xdr:twoCellAnchor editAs="oneCell">
    <xdr:from>
      <xdr:col>10</xdr:col>
      <xdr:colOff>259080</xdr:colOff>
      <xdr:row>30</xdr:row>
      <xdr:rowOff>76200</xdr:rowOff>
    </xdr:from>
    <xdr:to>
      <xdr:col>16</xdr:col>
      <xdr:colOff>259882</xdr:colOff>
      <xdr:row>32</xdr:row>
      <xdr:rowOff>161990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18D0B433-13F1-4B7E-B67E-9374BA75BD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355080" y="5562600"/>
          <a:ext cx="3658402" cy="451550"/>
        </a:xfrm>
        <a:prstGeom prst="rect">
          <a:avLst/>
        </a:prstGeom>
        <a:ln w="9525">
          <a:solidFill>
            <a:schemeClr val="tx1"/>
          </a:solidFill>
        </a:ln>
      </xdr:spPr>
    </xdr:pic>
    <xdr:clientData/>
  </xdr:twoCellAnchor>
  <xdr:twoCellAnchor editAs="oneCell">
    <xdr:from>
      <xdr:col>10</xdr:col>
      <xdr:colOff>259080</xdr:colOff>
      <xdr:row>34</xdr:row>
      <xdr:rowOff>76200</xdr:rowOff>
    </xdr:from>
    <xdr:to>
      <xdr:col>14</xdr:col>
      <xdr:colOff>307273</xdr:colOff>
      <xdr:row>36</xdr:row>
      <xdr:rowOff>85783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8F1BAD-9DC3-4937-8F8B-AD80ADEBE6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t="6817" b="-1"/>
        <a:stretch/>
      </xdr:blipFill>
      <xdr:spPr>
        <a:xfrm>
          <a:off x="6355080" y="6294120"/>
          <a:ext cx="2486593" cy="375343"/>
        </a:xfrm>
        <a:prstGeom prst="rect">
          <a:avLst/>
        </a:prstGeom>
        <a:ln w="9525">
          <a:solidFill>
            <a:schemeClr val="tx1"/>
          </a:solidFill>
        </a:ln>
      </xdr:spPr>
    </xdr:pic>
    <xdr:clientData/>
  </xdr:twoCellAnchor>
  <xdr:twoCellAnchor editAs="oneCell">
    <xdr:from>
      <xdr:col>17</xdr:col>
      <xdr:colOff>382905</xdr:colOff>
      <xdr:row>7</xdr:row>
      <xdr:rowOff>127635</xdr:rowOff>
    </xdr:from>
    <xdr:to>
      <xdr:col>20</xdr:col>
      <xdr:colOff>516529</xdr:colOff>
      <xdr:row>10</xdr:row>
      <xdr:rowOff>30545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44154F95-C75A-465E-A9C9-D814E46047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746105" y="1407795"/>
          <a:ext cx="1962424" cy="451550"/>
        </a:xfrm>
        <a:prstGeom prst="rect">
          <a:avLst/>
        </a:prstGeom>
        <a:ln w="9525">
          <a:solidFill>
            <a:schemeClr val="tx1"/>
          </a:solidFill>
        </a:ln>
      </xdr:spPr>
    </xdr:pic>
    <xdr:clientData/>
  </xdr:twoCellAnchor>
  <xdr:twoCellAnchor editAs="oneCell">
    <xdr:from>
      <xdr:col>17</xdr:col>
      <xdr:colOff>373380</xdr:colOff>
      <xdr:row>3</xdr:row>
      <xdr:rowOff>99060</xdr:rowOff>
    </xdr:from>
    <xdr:to>
      <xdr:col>28</xdr:col>
      <xdr:colOff>355263</xdr:colOff>
      <xdr:row>6</xdr:row>
      <xdr:rowOff>11496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DBBBA86C-CD06-4032-AE0D-570D6C5F7C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736580" y="647700"/>
          <a:ext cx="6687483" cy="461076"/>
        </a:xfrm>
        <a:prstGeom prst="rect">
          <a:avLst/>
        </a:prstGeom>
        <a:ln w="9525">
          <a:solidFill>
            <a:schemeClr val="tx1"/>
          </a:solidFill>
        </a:ln>
      </xdr:spPr>
    </xdr:pic>
    <xdr:clientData/>
  </xdr:twoCellAnchor>
  <xdr:twoCellAnchor editAs="oneCell">
    <xdr:from>
      <xdr:col>17</xdr:col>
      <xdr:colOff>411480</xdr:colOff>
      <xdr:row>11</xdr:row>
      <xdr:rowOff>51436</xdr:rowOff>
    </xdr:from>
    <xdr:to>
      <xdr:col>24</xdr:col>
      <xdr:colOff>240030</xdr:colOff>
      <xdr:row>15</xdr:row>
      <xdr:rowOff>50826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A5938DD-756C-4FEA-A97A-7C70FAC21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774680" y="2063116"/>
          <a:ext cx="4095750" cy="730910"/>
        </a:xfrm>
        <a:prstGeom prst="rect">
          <a:avLst/>
        </a:prstGeom>
        <a:ln w="9525">
          <a:solidFill>
            <a:schemeClr val="tx1"/>
          </a:solidFill>
        </a:ln>
      </xdr:spPr>
    </xdr:pic>
    <xdr:clientData/>
  </xdr:twoCellAnchor>
  <xdr:twoCellAnchor editAs="oneCell">
    <xdr:from>
      <xdr:col>18</xdr:col>
      <xdr:colOff>205740</xdr:colOff>
      <xdr:row>21</xdr:row>
      <xdr:rowOff>144780</xdr:rowOff>
    </xdr:from>
    <xdr:to>
      <xdr:col>26</xdr:col>
      <xdr:colOff>467439</xdr:colOff>
      <xdr:row>24</xdr:row>
      <xdr:rowOff>87702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D00D333-6FFB-4C5A-8701-A553914145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178540" y="3985260"/>
          <a:ext cx="5138499" cy="491562"/>
        </a:xfrm>
        <a:prstGeom prst="rect">
          <a:avLst/>
        </a:prstGeom>
        <a:ln w="9525"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14</xdr:row>
      <xdr:rowOff>41910</xdr:rowOff>
    </xdr:from>
    <xdr:to>
      <xdr:col>10</xdr:col>
      <xdr:colOff>548640</xdr:colOff>
      <xdr:row>32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A955FC-4949-75E9-36B6-DD202606DF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99060</xdr:colOff>
      <xdr:row>6</xdr:row>
      <xdr:rowOff>125730</xdr:rowOff>
    </xdr:from>
    <xdr:to>
      <xdr:col>16</xdr:col>
      <xdr:colOff>510540</xdr:colOff>
      <xdr:row>25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5E5CD2-A345-9B66-7E5A-CA9214D3B8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99060</xdr:colOff>
      <xdr:row>9</xdr:row>
      <xdr:rowOff>34290</xdr:rowOff>
    </xdr:from>
    <xdr:to>
      <xdr:col>13</xdr:col>
      <xdr:colOff>495300</xdr:colOff>
      <xdr:row>26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DCDC78-6925-B0DB-6512-F1442C30E9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144780</xdr:colOff>
      <xdr:row>5</xdr:row>
      <xdr:rowOff>72390</xdr:rowOff>
    </xdr:from>
    <xdr:to>
      <xdr:col>15</xdr:col>
      <xdr:colOff>426720</xdr:colOff>
      <xdr:row>21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1D039A-A317-7CA5-789A-512DEFC02E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160020</xdr:colOff>
      <xdr:row>23</xdr:row>
      <xdr:rowOff>57150</xdr:rowOff>
    </xdr:from>
    <xdr:to>
      <xdr:col>15</xdr:col>
      <xdr:colOff>441960</xdr:colOff>
      <xdr:row>39</xdr:row>
      <xdr:rowOff>91440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2E37F6-D00F-2762-FFAA-A94110A040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167640</xdr:colOff>
      <xdr:row>40</xdr:row>
      <xdr:rowOff>140970</xdr:rowOff>
    </xdr:from>
    <xdr:to>
      <xdr:col>15</xdr:col>
      <xdr:colOff>449580</xdr:colOff>
      <xdr:row>56</xdr:row>
      <xdr:rowOff>175260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2045B5B-056D-0CF4-D4FD-F722E500B1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BDA58F5-BE1A-4BA5-9A62-EEDB2CC5E8DA}" autoFormatId="16" applyNumberFormats="0" applyBorderFormats="0" applyFontFormats="0" applyPatternFormats="0" applyAlignmentFormats="0" applyWidthHeightFormats="0">
  <queryTableRefresh nextId="3">
    <queryTableFields count="2">
      <queryTableField id="1" name="Temperature" tableColumnId="1"/>
      <queryTableField id="2" name="Ice Cream Profits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D4F1800-2CF1-46C4-9A19-0067ABD322AA}" autoFormatId="16" applyNumberFormats="0" applyBorderFormats="0" applyFontFormats="0" applyPatternFormats="0" applyAlignmentFormats="0" applyWidthHeightFormats="0">
  <queryTableRefresh nextId="3">
    <queryTableFields count="2">
      <queryTableField id="1" name="Temperature" tableColumnId="1"/>
      <queryTableField id="2" name="Ice Cream Profits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8A142D02-21C3-4747-B276-D332C1E49312}" autoFormatId="16" applyNumberFormats="0" applyBorderFormats="0" applyFontFormats="0" applyPatternFormats="0" applyAlignmentFormats="0" applyWidthHeightFormats="0">
  <queryTableRefresh nextId="3">
    <queryTableFields count="2">
      <queryTableField id="1" name="Temperature" tableColumnId="1"/>
      <queryTableField id="2" name="Ice Cream Profits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014FD3BB-D5BC-4C9F-8030-0ED259CD6FF4}" autoFormatId="16" applyNumberFormats="0" applyBorderFormats="0" applyFontFormats="0" applyPatternFormats="0" applyAlignmentFormats="0" applyWidthHeightFormats="0">
  <queryTableRefresh nextId="7">
    <queryTableFields count="6">
      <queryTableField id="1" name="Hours Studied" tableColumnId="1"/>
      <queryTableField id="2" name="Previous Scores" tableColumnId="2"/>
      <queryTableField id="3" name="Extracurricular Activities" tableColumnId="3"/>
      <queryTableField id="4" name="Sleep Hours" tableColumnId="4"/>
      <queryTableField id="5" name="Sample Question Papers Practiced" tableColumnId="5"/>
      <queryTableField id="6" name="Performance Index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262308B3-5436-400F-95BD-A1CE80302468}" autoFormatId="16" applyNumberFormats="0" applyBorderFormats="0" applyFontFormats="0" applyPatternFormats="0" applyAlignmentFormats="0" applyWidthHeightFormats="0">
  <queryTableRefresh nextId="3">
    <queryTableFields count="2">
      <queryTableField id="1" name="Temperature" tableColumnId="1"/>
      <queryTableField id="2" name="Ice Cream Profits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7BDCD84E-865A-461F-A4C5-A19D5F72AB1E}" autoFormatId="16" applyNumberFormats="0" applyBorderFormats="0" applyFontFormats="0" applyPatternFormats="0" applyAlignmentFormats="0" applyWidthHeightFormats="0">
  <queryTableRefresh nextId="7">
    <queryTableFields count="2">
      <queryTableField id="1" name="Hours Studied" tableColumnId="1"/>
      <queryTableField id="4" name="Sleep Hours" tableColumnId="4"/>
    </queryTableFields>
    <queryTableDeletedFields count="4">
      <deletedField name="Previous Scores"/>
      <deletedField name="Sample Question Papers Practiced"/>
      <deletedField name="Performance Index"/>
      <deletedField name="Extracurricular Activities"/>
    </queryTableDeleted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189FD789-F5CF-407C-B994-B33358F5176E}" autoFormatId="16" applyNumberFormats="0" applyBorderFormats="0" applyFontFormats="0" applyPatternFormats="0" applyAlignmentFormats="0" applyWidthHeightFormats="0">
  <queryTableRefresh nextId="8" unboundColumnsRight="1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7" dataBound="0" tableColumnId="7"/>
    </queryTableFields>
    <queryTableDeletedFields count="1">
      <deletedField name="Column5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5A0B10-E48B-4C38-89B3-0417DD5C5BD2}" name="Linear_Regression" displayName="Linear_Regression" ref="A1:B366" tableType="queryTable" totalsRowShown="0">
  <autoFilter ref="A1:B366" xr:uid="{7C5A0B10-E48B-4C38-89B3-0417DD5C5BD2}"/>
  <tableColumns count="2">
    <tableColumn id="1" xr3:uid="{98097B76-D6BC-4910-9533-6FFEF3A9D55C}" uniqueName="1" name="Temperature (F)" queryTableFieldId="1"/>
    <tableColumn id="2" xr3:uid="{FC40D914-9933-48B6-9BC0-015744FC3FB0}" uniqueName="2" name="Ice Cream Profits (USD)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26F1CB8-5A83-45BD-884F-AEFBB9F151F3}" name="Linear_Regression5" displayName="Linear_Regression5" ref="A1:B366" tableType="queryTable" totalsRowShown="0">
  <autoFilter ref="A1:B366" xr:uid="{D26F1CB8-5A83-45BD-884F-AEFBB9F151F3}"/>
  <tableColumns count="2">
    <tableColumn id="1" xr3:uid="{D6B68D14-F784-4643-ABF8-A4605A8BA11D}" uniqueName="1" name="Temperature (F)" queryTableFieldId="1"/>
    <tableColumn id="2" xr3:uid="{2C47B5A8-DF06-403E-B205-F7042125D841}" uniqueName="2" name="Ice Cream Profits (USD)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172384-617B-403C-9BF5-1DCB89C70B54}" name="Linear_Regression53" displayName="Linear_Regression53" ref="A1:B366" tableType="queryTable" totalsRowShown="0">
  <autoFilter ref="A1:B366" xr:uid="{C3172384-617B-403C-9BF5-1DCB89C70B54}"/>
  <tableColumns count="2">
    <tableColumn id="1" xr3:uid="{89F5FED0-6C03-44E9-9BF0-3608273E9621}" uniqueName="1" name="Temperature (F)" queryTableFieldId="1"/>
    <tableColumn id="2" xr3:uid="{FCC095B2-E4B5-41FD-AFB8-F181F25A2CC2}" uniqueName="2" name="Ice Cream Profits (USD)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78D60B5-4415-43D6-9978-8339172F013F}" name="Student_Performance__2" displayName="Student_Performance__2" ref="A1:F450" tableType="queryTable" totalsRowShown="0">
  <autoFilter ref="A1:F450" xr:uid="{F78D60B5-4415-43D6-9978-8339172F013F}"/>
  <tableColumns count="6">
    <tableColumn id="1" xr3:uid="{B4B5AEB9-CBD5-43C6-A4B4-95F698E6E87E}" uniqueName="1" name="Hours Studied" queryTableFieldId="1"/>
    <tableColumn id="2" xr3:uid="{7AF84E32-5FD2-4EBC-9A14-975C472C98C3}" uniqueName="2" name="Previous Scores" queryTableFieldId="2"/>
    <tableColumn id="3" xr3:uid="{8A702266-3C7D-43B0-9D27-BADBD9940A38}" uniqueName="3" name="Extracurricular Activities" queryTableFieldId="3" dataDxfId="4"/>
    <tableColumn id="4" xr3:uid="{A9B6D5A5-804E-4CEE-BFE6-6E774C2DD6BB}" uniqueName="4" name="Sleep Hours" queryTableFieldId="4"/>
    <tableColumn id="5" xr3:uid="{E6C8C6AA-BAB5-4A11-A595-C18C492EE65E}" uniqueName="5" name="Sample Question Papers Practiced" queryTableFieldId="5"/>
    <tableColumn id="6" xr3:uid="{E6A85ECA-C0EF-47EC-A08A-BBB3B74CCE86}" uniqueName="6" name="Performance Index" queryTableFieldId="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3900F4A-7D44-47D2-A213-B8976CA53E89}" name="Linear_Regression56" displayName="Linear_Regression56" ref="A1:B366" tableType="queryTable" totalsRowShown="0">
  <autoFilter ref="A1:B366" xr:uid="{13900F4A-7D44-47D2-A213-B8976CA53E89}"/>
  <tableColumns count="2">
    <tableColumn id="1" xr3:uid="{ED8FEF7C-68FE-4F54-90CC-7B30B0904D64}" uniqueName="1" name="Temperature (F)" queryTableFieldId="1"/>
    <tableColumn id="2" xr3:uid="{38C6643F-6526-411E-A473-56BBE1E592DE}" uniqueName="2" name="Ice Cream Profits (USD)" queryTableFieldId="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7500B00-3138-4A92-839E-12B4653B738F}" name="Student_Performance__28" displayName="Student_Performance__28" ref="A1:B450" tableType="queryTable" totalsRowShown="0" headerRowDxfId="3">
  <autoFilter ref="A1:B450" xr:uid="{27500B00-3138-4A92-839E-12B4653B738F}"/>
  <tableColumns count="2">
    <tableColumn id="1" xr3:uid="{107FE982-ED7E-4DEC-B690-C5C9C28A1D89}" uniqueName="1" name="Hours Studied" queryTableFieldId="1" dataDxfId="2"/>
    <tableColumn id="4" xr3:uid="{80F2C85B-5C53-458F-AAB6-4694E3EFA579}" uniqueName="4" name="Sleep Hours" queryTableFieldId="4" dataDxfId="1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C5AF82E-CAEC-428C-88C0-8B238269B0B4}" name="penguins" displayName="penguins" ref="A1:E272" tableType="queryTable" totalsRowShown="0">
  <autoFilter ref="A1:E272" xr:uid="{9C5AF82E-CAEC-428C-88C0-8B238269B0B4}"/>
  <tableColumns count="5">
    <tableColumn id="1" xr3:uid="{68D8EA70-552B-4E46-A881-8D89B9D95C3C}" uniqueName="1" name="Culmen Length (mm)" queryTableFieldId="1"/>
    <tableColumn id="2" xr3:uid="{19176ED6-6346-4944-846D-872A9A42A49E}" uniqueName="2" name="Culmen Depth (mm)" queryTableFieldId="2"/>
    <tableColumn id="3" xr3:uid="{E96FB364-FCFD-4FB9-8076-E4A211638C18}" uniqueName="3" name="Flipper Length (mm)" queryTableFieldId="3"/>
    <tableColumn id="4" xr3:uid="{56272747-6744-4D1F-979C-F4E32BDAC54F}" uniqueName="4" name="Body mass (g)" queryTableFieldId="4"/>
    <tableColumn id="7" xr3:uid="{075B9E94-A32E-4AD6-B1F5-87AC41021BB3}" uniqueName="7" name="Gender" queryTableFieldId="7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9DB4840-5FC3-40C3-A41A-0B30CDB9C913}" name="MLHero" displayName="MLHero" ref="A1:Q420" totalsRowShown="0">
  <autoFilter ref="A1:Q420" xr:uid="{C9DB4840-5FC3-40C3-A41A-0B30CDB9C913}"/>
  <tableColumns count="17">
    <tableColumn id="1" xr3:uid="{EDD8E957-A319-4D60-9E63-50A3C63E7643}" name="Lunox"/>
    <tableColumn id="2" xr3:uid="{1FB177FE-E021-40E7-A41B-1BBB9F538F30}" name="Aurora"/>
    <tableColumn id="3" xr3:uid="{D8B68B3F-0D4C-41FF-B90E-2F2368AA2322}" name="Vexana"/>
    <tableColumn id="4" xr3:uid="{294190FF-0728-4DDE-999F-259694F05016}" name="Eudora"/>
    <tableColumn id="5" xr3:uid="{22191983-C449-4ECA-A4CB-EED803F4871B}" name="Esmeralda"/>
    <tableColumn id="6" xr3:uid="{E34661E1-7FCF-4243-BF7B-3088B85723BF}" name="Harley"/>
    <tableColumn id="7" xr3:uid="{14624647-A519-4427-8484-F7A45A36CD15}" name="Nana"/>
    <tableColumn id="8" xr3:uid="{C47C5345-E93B-4825-8569-42D58B3379D7}" name="Vale"/>
    <tableColumn id="9" xr3:uid="{606919BA-0E0B-404E-AF75-08C6774F7925}" name="Valir"/>
    <tableColumn id="10" xr3:uid="{91389145-4B2A-4777-9265-7EB871AE7B8D}" name="Luo Yi"/>
    <tableColumn id="11" xr3:uid="{F865EF0E-677C-4E0D-8CAD-BAD02CE96D98}" name="Yve"/>
    <tableColumn id="12" xr3:uid="{C939CE49-9367-4DE6-AA49-6E0F9464F01F}" name="Pharsa"/>
    <tableColumn id="13" xr3:uid="{42288603-FE7E-48F7-8255-7CAA79CC13DF}" name="Kadita"/>
    <tableColumn id="14" xr3:uid="{47E50C71-C9DA-4735-AC0E-813EA7EA5254}" name="Alice"/>
    <tableColumn id="15" xr3:uid="{9640F67F-6B8A-4AC4-9476-9A66B78606BD}" name="Odette"/>
    <tableColumn id="16" xr3:uid="{0C8FDB88-4783-4AB1-A1C1-89E046B4E542}" name="Harith"/>
    <tableColumn id="33" xr3:uid="{7FD877C9-D566-4487-A681-BF431D371262}" name="Sabe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D1C7B-F968-462D-8381-783936A14CE5}">
  <sheetPr codeName="Sheet1"/>
  <dimension ref="C2:AC37"/>
  <sheetViews>
    <sheetView workbookViewId="0">
      <selection activeCell="S20" sqref="S20"/>
    </sheetView>
  </sheetViews>
  <sheetFormatPr defaultRowHeight="14.4" x14ac:dyDescent="0.3"/>
  <sheetData>
    <row r="2" spans="3:29" x14ac:dyDescent="0.3">
      <c r="C2" s="34" t="s">
        <v>61</v>
      </c>
      <c r="D2" s="34"/>
      <c r="E2" s="34"/>
      <c r="F2" s="34"/>
      <c r="R2" s="33" t="s">
        <v>132</v>
      </c>
      <c r="S2" s="33"/>
      <c r="T2" s="33"/>
      <c r="U2" s="33"/>
    </row>
    <row r="4" spans="3:29" x14ac:dyDescent="0.3"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</row>
    <row r="5" spans="3:29" x14ac:dyDescent="0.3"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</row>
    <row r="6" spans="3:29" x14ac:dyDescent="0.3"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</row>
    <row r="7" spans="3:29" x14ac:dyDescent="0.3"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</row>
    <row r="8" spans="3:29" x14ac:dyDescent="0.3"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</row>
    <row r="9" spans="3:29" x14ac:dyDescent="0.3"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</row>
    <row r="10" spans="3:29" x14ac:dyDescent="0.3"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</row>
    <row r="11" spans="3:29" x14ac:dyDescent="0.3">
      <c r="C11" s="34" t="s">
        <v>62</v>
      </c>
      <c r="D11" s="34"/>
      <c r="E11" s="34"/>
      <c r="F11" s="34"/>
      <c r="K11" s="35" t="s">
        <v>63</v>
      </c>
      <c r="L11" s="35"/>
      <c r="M11" s="35"/>
      <c r="N11" s="35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</row>
    <row r="12" spans="3:29" x14ac:dyDescent="0.3"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</row>
    <row r="13" spans="3:29" x14ac:dyDescent="0.3">
      <c r="C13" s="14"/>
      <c r="D13" s="14"/>
      <c r="E13" s="14"/>
      <c r="F13" s="14"/>
      <c r="G13" s="14"/>
      <c r="H13" s="14"/>
      <c r="K13" s="15"/>
      <c r="L13" s="15"/>
      <c r="M13" s="15"/>
      <c r="N13" s="15"/>
      <c r="O13" s="15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</row>
    <row r="14" spans="3:29" x14ac:dyDescent="0.3">
      <c r="C14" s="14"/>
      <c r="D14" s="14"/>
      <c r="E14" s="14"/>
      <c r="F14" s="14"/>
      <c r="G14" s="14"/>
      <c r="H14" s="14"/>
      <c r="K14" s="15"/>
      <c r="L14" s="15"/>
      <c r="M14" s="15"/>
      <c r="N14" s="15"/>
      <c r="O14" s="15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</row>
    <row r="15" spans="3:29" x14ac:dyDescent="0.3">
      <c r="C15" s="14"/>
      <c r="D15" s="14"/>
      <c r="E15" s="14"/>
      <c r="F15" s="14"/>
      <c r="G15" s="14"/>
      <c r="H15" s="14"/>
      <c r="K15" s="15"/>
      <c r="L15" s="15"/>
      <c r="M15" s="15"/>
      <c r="N15" s="15"/>
      <c r="O15" s="15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</row>
    <row r="16" spans="3:29" x14ac:dyDescent="0.3">
      <c r="K16" s="15"/>
      <c r="L16" s="15"/>
      <c r="M16" s="15"/>
      <c r="N16" s="15"/>
      <c r="O16" s="15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</row>
    <row r="17" spans="3:27" x14ac:dyDescent="0.3">
      <c r="K17" s="15"/>
      <c r="L17" s="15"/>
      <c r="M17" s="15"/>
      <c r="N17" s="15"/>
      <c r="O17" s="15"/>
    </row>
    <row r="18" spans="3:27" x14ac:dyDescent="0.3">
      <c r="C18" s="36" t="s">
        <v>64</v>
      </c>
      <c r="D18" s="36"/>
      <c r="E18" s="36"/>
      <c r="F18" s="36"/>
    </row>
    <row r="19" spans="3:27" x14ac:dyDescent="0.3">
      <c r="K19" s="37" t="s">
        <v>65</v>
      </c>
      <c r="L19" s="37"/>
      <c r="M19" s="37"/>
      <c r="N19" s="37"/>
      <c r="S19" s="38" t="s">
        <v>133</v>
      </c>
      <c r="T19" s="38"/>
      <c r="U19" s="38"/>
      <c r="V19" s="38"/>
    </row>
    <row r="20" spans="3:27" x14ac:dyDescent="0.3">
      <c r="C20" s="16"/>
      <c r="D20" s="16"/>
      <c r="E20" s="16"/>
      <c r="F20" s="16"/>
      <c r="G20" s="16"/>
      <c r="H20" s="16"/>
    </row>
    <row r="21" spans="3:27" x14ac:dyDescent="0.3">
      <c r="C21" s="16"/>
      <c r="D21" s="16"/>
      <c r="E21" s="16"/>
      <c r="F21" s="16"/>
      <c r="G21" s="16"/>
      <c r="H21" s="16"/>
      <c r="K21" s="17"/>
      <c r="L21" s="17"/>
      <c r="M21" s="17"/>
      <c r="N21" s="17"/>
      <c r="O21" s="17"/>
      <c r="P21" s="17"/>
      <c r="Q21" s="17"/>
      <c r="S21" s="30"/>
      <c r="T21" s="30"/>
      <c r="U21" s="30"/>
      <c r="V21" s="30"/>
      <c r="W21" s="30"/>
      <c r="X21" s="30"/>
      <c r="Y21" s="30"/>
      <c r="Z21" s="30"/>
      <c r="AA21" s="30"/>
    </row>
    <row r="22" spans="3:27" x14ac:dyDescent="0.3">
      <c r="C22" s="16"/>
      <c r="D22" s="16"/>
      <c r="E22" s="16"/>
      <c r="F22" s="16"/>
      <c r="G22" s="16"/>
      <c r="H22" s="16"/>
      <c r="K22" s="17"/>
      <c r="L22" s="17"/>
      <c r="M22" s="17"/>
      <c r="N22" s="17"/>
      <c r="O22" s="17"/>
      <c r="P22" s="17"/>
      <c r="Q22" s="17"/>
      <c r="S22" s="30"/>
      <c r="T22" s="30"/>
      <c r="U22" s="30"/>
      <c r="V22" s="30"/>
      <c r="W22" s="30"/>
      <c r="X22" s="30"/>
      <c r="Y22" s="30"/>
      <c r="Z22" s="30"/>
      <c r="AA22" s="30"/>
    </row>
    <row r="23" spans="3:27" x14ac:dyDescent="0.3">
      <c r="K23" s="17"/>
      <c r="L23" s="17"/>
      <c r="M23" s="17"/>
      <c r="N23" s="17"/>
      <c r="O23" s="17"/>
      <c r="P23" s="17"/>
      <c r="Q23" s="17"/>
      <c r="S23" s="30"/>
      <c r="T23" s="30"/>
      <c r="U23" s="30"/>
      <c r="V23" s="30"/>
      <c r="W23" s="30"/>
      <c r="X23" s="30"/>
      <c r="Y23" s="30"/>
      <c r="Z23" s="30"/>
      <c r="AA23" s="30"/>
    </row>
    <row r="24" spans="3:27" x14ac:dyDescent="0.3">
      <c r="C24" s="31" t="s">
        <v>113</v>
      </c>
      <c r="D24" s="32"/>
      <c r="E24" s="32"/>
      <c r="F24" s="32"/>
      <c r="K24" s="17"/>
      <c r="L24" s="17"/>
      <c r="M24" s="17"/>
      <c r="N24" s="17"/>
      <c r="O24" s="17"/>
      <c r="P24" s="17"/>
      <c r="Q24" s="17"/>
      <c r="S24" s="30"/>
      <c r="T24" s="30"/>
      <c r="U24" s="30"/>
      <c r="V24" s="30"/>
      <c r="W24" s="30"/>
      <c r="X24" s="30"/>
      <c r="Y24" s="30"/>
      <c r="Z24" s="30"/>
      <c r="AA24" s="30"/>
    </row>
    <row r="25" spans="3:27" x14ac:dyDescent="0.3">
      <c r="K25" s="17"/>
      <c r="L25" s="17"/>
      <c r="M25" s="17"/>
      <c r="N25" s="17"/>
      <c r="O25" s="17"/>
      <c r="P25" s="17"/>
      <c r="Q25" s="17"/>
      <c r="S25" s="30"/>
      <c r="T25" s="30"/>
      <c r="U25" s="30"/>
      <c r="V25" s="30"/>
      <c r="W25" s="30"/>
      <c r="X25" s="30"/>
      <c r="Y25" s="30"/>
      <c r="Z25" s="30"/>
      <c r="AA25" s="30"/>
    </row>
    <row r="26" spans="3:27" x14ac:dyDescent="0.3">
      <c r="C26" s="28"/>
      <c r="D26" s="28"/>
      <c r="E26" s="28"/>
      <c r="F26" s="28"/>
      <c r="G26" s="28"/>
      <c r="H26" s="28"/>
      <c r="I26" s="28"/>
      <c r="K26" s="17"/>
      <c r="L26" s="17"/>
      <c r="M26" s="17"/>
      <c r="N26" s="17"/>
      <c r="O26" s="17"/>
      <c r="P26" s="17"/>
      <c r="Q26" s="17"/>
      <c r="S26" s="30"/>
      <c r="T26" s="30"/>
      <c r="U26" s="30"/>
      <c r="V26" s="30"/>
      <c r="W26" s="30"/>
      <c r="X26" s="30"/>
      <c r="Y26" s="30"/>
      <c r="Z26" s="30"/>
      <c r="AA26" s="30"/>
    </row>
    <row r="27" spans="3:27" x14ac:dyDescent="0.3">
      <c r="C27" s="28"/>
      <c r="D27" s="28"/>
      <c r="E27" s="28"/>
      <c r="F27" s="28"/>
      <c r="G27" s="28"/>
      <c r="H27" s="28"/>
      <c r="I27" s="28"/>
      <c r="K27" s="17"/>
      <c r="L27" s="17"/>
      <c r="M27" s="17"/>
      <c r="N27" s="17"/>
      <c r="O27" s="17"/>
      <c r="P27" s="17"/>
      <c r="Q27" s="17"/>
      <c r="S27" s="30"/>
      <c r="T27" s="30"/>
      <c r="U27" s="30"/>
      <c r="V27" s="30"/>
      <c r="W27" s="30"/>
      <c r="X27" s="30"/>
      <c r="Y27" s="30"/>
      <c r="Z27" s="30"/>
      <c r="AA27" s="30"/>
    </row>
    <row r="28" spans="3:27" x14ac:dyDescent="0.3">
      <c r="C28" s="28"/>
      <c r="D28" s="28"/>
      <c r="E28" s="28"/>
      <c r="F28" s="28"/>
      <c r="G28" s="28"/>
      <c r="H28" s="28"/>
      <c r="I28" s="28"/>
    </row>
    <row r="29" spans="3:27" x14ac:dyDescent="0.3">
      <c r="C29" s="28"/>
      <c r="D29" s="28"/>
      <c r="E29" s="28"/>
      <c r="F29" s="28"/>
      <c r="G29" s="28"/>
      <c r="H29" s="28"/>
      <c r="I29" s="28"/>
      <c r="K29" s="31" t="s">
        <v>112</v>
      </c>
      <c r="L29" s="32"/>
      <c r="M29" s="32"/>
      <c r="N29" s="32"/>
    </row>
    <row r="30" spans="3:27" x14ac:dyDescent="0.3">
      <c r="C30" s="28"/>
      <c r="D30" s="28"/>
      <c r="E30" s="28"/>
      <c r="F30" s="28"/>
      <c r="G30" s="28"/>
      <c r="H30" s="28"/>
      <c r="I30" s="28"/>
    </row>
    <row r="31" spans="3:27" x14ac:dyDescent="0.3">
      <c r="C31" s="28"/>
      <c r="D31" s="28"/>
      <c r="E31" s="28"/>
      <c r="F31" s="28"/>
      <c r="G31" s="28"/>
      <c r="H31" s="28"/>
      <c r="I31" s="28"/>
      <c r="K31" s="28"/>
      <c r="L31" s="28"/>
      <c r="M31" s="28"/>
      <c r="N31" s="28"/>
      <c r="O31" s="28"/>
      <c r="P31" s="28"/>
      <c r="Q31" s="28"/>
    </row>
    <row r="32" spans="3:27" x14ac:dyDescent="0.3">
      <c r="C32" s="28"/>
      <c r="D32" s="28"/>
      <c r="E32" s="28"/>
      <c r="F32" s="28"/>
      <c r="G32" s="28"/>
      <c r="H32" s="28"/>
      <c r="I32" s="28"/>
      <c r="K32" s="28"/>
      <c r="L32" s="28"/>
      <c r="M32" s="28"/>
      <c r="N32" s="28"/>
      <c r="O32" s="28"/>
      <c r="P32" s="28"/>
      <c r="Q32" s="28"/>
    </row>
    <row r="33" spans="11:17" x14ac:dyDescent="0.3">
      <c r="K33" s="28"/>
      <c r="L33" s="28"/>
      <c r="M33" s="28"/>
      <c r="N33" s="28"/>
      <c r="O33" s="28"/>
      <c r="P33" s="28"/>
      <c r="Q33" s="28"/>
    </row>
    <row r="34" spans="11:17" x14ac:dyDescent="0.3">
      <c r="K34" s="28"/>
      <c r="L34" s="28"/>
      <c r="M34" s="28"/>
      <c r="N34" s="28"/>
      <c r="O34" s="28"/>
      <c r="P34" s="28"/>
      <c r="Q34" s="28"/>
    </row>
    <row r="35" spans="11:17" x14ac:dyDescent="0.3">
      <c r="K35" s="28"/>
      <c r="L35" s="28"/>
      <c r="M35" s="28"/>
      <c r="N35" s="28"/>
      <c r="O35" s="28"/>
      <c r="P35" s="28"/>
      <c r="Q35" s="28"/>
    </row>
    <row r="36" spans="11:17" x14ac:dyDescent="0.3">
      <c r="K36" s="28"/>
      <c r="L36" s="28"/>
      <c r="M36" s="28"/>
      <c r="N36" s="28"/>
      <c r="O36" s="28"/>
      <c r="P36" s="28"/>
      <c r="Q36" s="28"/>
    </row>
    <row r="37" spans="11:17" x14ac:dyDescent="0.3">
      <c r="K37" s="28"/>
      <c r="L37" s="28"/>
      <c r="M37" s="28"/>
      <c r="N37" s="28"/>
      <c r="O37" s="28"/>
      <c r="P37" s="28"/>
      <c r="Q37" s="28"/>
    </row>
  </sheetData>
  <mergeCells count="9">
    <mergeCell ref="K29:N29"/>
    <mergeCell ref="R2:U2"/>
    <mergeCell ref="C2:F2"/>
    <mergeCell ref="C11:F11"/>
    <mergeCell ref="K11:N11"/>
    <mergeCell ref="C18:F18"/>
    <mergeCell ref="K19:N19"/>
    <mergeCell ref="C24:F24"/>
    <mergeCell ref="S19:V1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F6A22-C057-4B57-A607-2A6E58F12B18}">
  <sheetPr codeName="Sheet2"/>
  <dimension ref="A1:M366"/>
  <sheetViews>
    <sheetView workbookViewId="0">
      <selection activeCell="H7" sqref="H7"/>
    </sheetView>
  </sheetViews>
  <sheetFormatPr defaultRowHeight="14.4" x14ac:dyDescent="0.3"/>
  <cols>
    <col min="1" max="1" width="16.88671875" customWidth="1"/>
    <col min="2" max="2" width="24.5546875" customWidth="1"/>
    <col min="5" max="5" width="33.5546875" customWidth="1"/>
    <col min="6" max="6" width="22.33203125" customWidth="1"/>
    <col min="7" max="7" width="12.88671875" customWidth="1"/>
    <col min="10" max="10" width="13.33203125" customWidth="1"/>
    <col min="11" max="11" width="11.21875" customWidth="1"/>
    <col min="12" max="12" width="13.33203125" customWidth="1"/>
    <col min="13" max="13" width="12.44140625" customWidth="1"/>
  </cols>
  <sheetData>
    <row r="1" spans="1:6" x14ac:dyDescent="0.3">
      <c r="A1" t="s">
        <v>8</v>
      </c>
      <c r="B1" t="s">
        <v>9</v>
      </c>
    </row>
    <row r="2" spans="1:6" x14ac:dyDescent="0.3">
      <c r="A2">
        <v>39</v>
      </c>
      <c r="B2">
        <v>1317</v>
      </c>
    </row>
    <row r="3" spans="1:6" x14ac:dyDescent="0.3">
      <c r="A3">
        <v>40</v>
      </c>
      <c r="B3">
        <v>1188</v>
      </c>
    </row>
    <row r="4" spans="1:6" x14ac:dyDescent="0.3">
      <c r="A4">
        <v>41</v>
      </c>
      <c r="B4">
        <v>1882</v>
      </c>
    </row>
    <row r="5" spans="1:6" x14ac:dyDescent="0.3">
      <c r="A5">
        <v>42</v>
      </c>
      <c r="B5">
        <v>1865</v>
      </c>
      <c r="E5" s="1" t="s">
        <v>0</v>
      </c>
      <c r="F5" s="2">
        <f>CORREL(A2:A366, B2:B366)</f>
        <v>0.98844572242094653</v>
      </c>
    </row>
    <row r="6" spans="1:6" x14ac:dyDescent="0.3">
      <c r="A6">
        <v>43</v>
      </c>
      <c r="B6">
        <v>1702</v>
      </c>
      <c r="E6" s="1" t="s">
        <v>3</v>
      </c>
      <c r="F6" s="2">
        <f>_xlfn.STDEV.S(Linear_Regression[Temperature (F)])</f>
        <v>13.258510200214367</v>
      </c>
    </row>
    <row r="7" spans="1:6" x14ac:dyDescent="0.3">
      <c r="A7">
        <v>43</v>
      </c>
      <c r="B7">
        <v>1588</v>
      </c>
      <c r="E7" s="1" t="s">
        <v>4</v>
      </c>
      <c r="F7" s="2">
        <f>_xlfn.STDEV.S(Linear_Regression[Ice Cream Profits (USD)])</f>
        <v>1598.9003933189624</v>
      </c>
    </row>
    <row r="8" spans="1:6" x14ac:dyDescent="0.3">
      <c r="A8">
        <v>44</v>
      </c>
      <c r="B8">
        <v>1907</v>
      </c>
      <c r="E8" s="1" t="s">
        <v>6</v>
      </c>
      <c r="F8" s="2">
        <f>AVERAGE(Linear_Regression[Temperature (F)])</f>
        <v>71.980821917808214</v>
      </c>
    </row>
    <row r="9" spans="1:6" x14ac:dyDescent="0.3">
      <c r="A9">
        <v>44</v>
      </c>
      <c r="B9">
        <v>1957</v>
      </c>
      <c r="E9" s="1" t="s">
        <v>5</v>
      </c>
      <c r="F9" s="2">
        <f>AVERAGE(Linear_Regression[Ice Cream Profits (USD)])</f>
        <v>5210.3616438356166</v>
      </c>
    </row>
    <row r="10" spans="1:6" x14ac:dyDescent="0.3">
      <c r="A10">
        <v>45</v>
      </c>
      <c r="B10">
        <v>2162</v>
      </c>
      <c r="E10" s="1" t="s">
        <v>1</v>
      </c>
      <c r="F10" s="2">
        <f>F5*F7/F6</f>
        <v>119.20089289728378</v>
      </c>
    </row>
    <row r="11" spans="1:6" x14ac:dyDescent="0.3">
      <c r="A11">
        <v>45</v>
      </c>
      <c r="B11">
        <v>2234</v>
      </c>
      <c r="E11" s="1" t="s">
        <v>2</v>
      </c>
      <c r="F11" s="2">
        <f>F9-F10*F8</f>
        <v>-3369.8166002474973</v>
      </c>
    </row>
    <row r="12" spans="1:6" x14ac:dyDescent="0.3">
      <c r="A12">
        <v>45</v>
      </c>
      <c r="B12">
        <v>1923</v>
      </c>
      <c r="E12" s="1" t="s">
        <v>7</v>
      </c>
      <c r="F12" s="39">
        <f>F11+F10*E13</f>
        <v>8550.2726894808802</v>
      </c>
    </row>
    <row r="13" spans="1:6" x14ac:dyDescent="0.3">
      <c r="A13">
        <v>46</v>
      </c>
      <c r="B13">
        <v>2125</v>
      </c>
      <c r="E13" s="3">
        <v>100</v>
      </c>
      <c r="F13" s="40"/>
    </row>
    <row r="14" spans="1:6" x14ac:dyDescent="0.3">
      <c r="A14">
        <v>46</v>
      </c>
      <c r="B14">
        <v>1981</v>
      </c>
    </row>
    <row r="15" spans="1:6" x14ac:dyDescent="0.3">
      <c r="A15">
        <v>47</v>
      </c>
      <c r="B15">
        <v>2212</v>
      </c>
    </row>
    <row r="16" spans="1:6" x14ac:dyDescent="0.3">
      <c r="A16">
        <v>48</v>
      </c>
      <c r="B16">
        <v>2422</v>
      </c>
    </row>
    <row r="17" spans="1:2" x14ac:dyDescent="0.3">
      <c r="A17">
        <v>48</v>
      </c>
      <c r="B17">
        <v>2468</v>
      </c>
    </row>
    <row r="18" spans="1:2" x14ac:dyDescent="0.3">
      <c r="A18">
        <v>48</v>
      </c>
      <c r="B18">
        <v>2378</v>
      </c>
    </row>
    <row r="19" spans="1:2" x14ac:dyDescent="0.3">
      <c r="A19">
        <v>48</v>
      </c>
      <c r="B19">
        <v>2641</v>
      </c>
    </row>
    <row r="20" spans="1:2" x14ac:dyDescent="0.3">
      <c r="A20">
        <v>48</v>
      </c>
      <c r="B20">
        <v>2501</v>
      </c>
    </row>
    <row r="21" spans="1:2" x14ac:dyDescent="0.3">
      <c r="A21">
        <v>48</v>
      </c>
      <c r="B21">
        <v>2229</v>
      </c>
    </row>
    <row r="22" spans="1:2" x14ac:dyDescent="0.3">
      <c r="A22">
        <v>49</v>
      </c>
      <c r="B22">
        <v>2781</v>
      </c>
    </row>
    <row r="23" spans="1:2" x14ac:dyDescent="0.3">
      <c r="A23">
        <v>49</v>
      </c>
      <c r="B23">
        <v>2354</v>
      </c>
    </row>
    <row r="24" spans="1:2" x14ac:dyDescent="0.3">
      <c r="A24">
        <v>50</v>
      </c>
      <c r="B24">
        <v>2289</v>
      </c>
    </row>
    <row r="25" spans="1:2" x14ac:dyDescent="0.3">
      <c r="A25">
        <v>50</v>
      </c>
      <c r="B25">
        <v>2568</v>
      </c>
    </row>
    <row r="26" spans="1:2" x14ac:dyDescent="0.3">
      <c r="A26">
        <v>50</v>
      </c>
      <c r="B26">
        <v>2729</v>
      </c>
    </row>
    <row r="27" spans="1:2" x14ac:dyDescent="0.3">
      <c r="A27">
        <v>50</v>
      </c>
      <c r="B27">
        <v>2764</v>
      </c>
    </row>
    <row r="28" spans="1:2" x14ac:dyDescent="0.3">
      <c r="A28">
        <v>50</v>
      </c>
      <c r="B28">
        <v>2731</v>
      </c>
    </row>
    <row r="29" spans="1:2" x14ac:dyDescent="0.3">
      <c r="A29">
        <v>51</v>
      </c>
      <c r="B29">
        <v>2193</v>
      </c>
    </row>
    <row r="30" spans="1:2" x14ac:dyDescent="0.3">
      <c r="A30">
        <v>51</v>
      </c>
      <c r="B30">
        <v>3218</v>
      </c>
    </row>
    <row r="31" spans="1:2" x14ac:dyDescent="0.3">
      <c r="A31">
        <v>52</v>
      </c>
      <c r="B31">
        <v>3067</v>
      </c>
    </row>
    <row r="32" spans="1:2" x14ac:dyDescent="0.3">
      <c r="A32">
        <v>52</v>
      </c>
      <c r="B32">
        <v>2805</v>
      </c>
    </row>
    <row r="33" spans="1:10" x14ac:dyDescent="0.3">
      <c r="A33">
        <v>52</v>
      </c>
      <c r="B33">
        <v>2882</v>
      </c>
    </row>
    <row r="34" spans="1:10" x14ac:dyDescent="0.3">
      <c r="A34">
        <v>52</v>
      </c>
      <c r="B34">
        <v>2787</v>
      </c>
    </row>
    <row r="35" spans="1:10" x14ac:dyDescent="0.3">
      <c r="A35">
        <v>52</v>
      </c>
      <c r="B35">
        <v>2939</v>
      </c>
    </row>
    <row r="36" spans="1:10" x14ac:dyDescent="0.3">
      <c r="A36">
        <v>53</v>
      </c>
      <c r="B36">
        <v>3260</v>
      </c>
    </row>
    <row r="37" spans="1:10" x14ac:dyDescent="0.3">
      <c r="A37">
        <v>53</v>
      </c>
      <c r="B37">
        <v>3162</v>
      </c>
      <c r="E37" t="s">
        <v>26</v>
      </c>
    </row>
    <row r="38" spans="1:10" ht="15" thickBot="1" x14ac:dyDescent="0.35">
      <c r="A38">
        <v>53</v>
      </c>
      <c r="B38">
        <v>2571</v>
      </c>
    </row>
    <row r="39" spans="1:10" x14ac:dyDescent="0.3">
      <c r="A39">
        <v>53</v>
      </c>
      <c r="B39">
        <v>2848</v>
      </c>
      <c r="E39" s="11" t="s">
        <v>27</v>
      </c>
      <c r="F39" s="11"/>
    </row>
    <row r="40" spans="1:10" x14ac:dyDescent="0.3">
      <c r="A40">
        <v>54</v>
      </c>
      <c r="B40">
        <v>3009</v>
      </c>
      <c r="E40" t="s">
        <v>28</v>
      </c>
      <c r="F40">
        <v>0.9884457224209473</v>
      </c>
    </row>
    <row r="41" spans="1:10" x14ac:dyDescent="0.3">
      <c r="A41">
        <v>54</v>
      </c>
      <c r="B41">
        <v>3358</v>
      </c>
      <c r="E41" t="s">
        <v>29</v>
      </c>
      <c r="F41">
        <v>0.97702494617226843</v>
      </c>
    </row>
    <row r="42" spans="1:10" x14ac:dyDescent="0.3">
      <c r="A42">
        <v>54</v>
      </c>
      <c r="B42">
        <v>2975</v>
      </c>
      <c r="E42" t="s">
        <v>30</v>
      </c>
      <c r="F42">
        <v>0.97696165401296342</v>
      </c>
    </row>
    <row r="43" spans="1:10" x14ac:dyDescent="0.3">
      <c r="A43">
        <v>54</v>
      </c>
      <c r="B43">
        <v>3194</v>
      </c>
      <c r="E43" t="s">
        <v>24</v>
      </c>
      <c r="F43">
        <v>242.68730416308324</v>
      </c>
    </row>
    <row r="44" spans="1:10" ht="15" thickBot="1" x14ac:dyDescent="0.35">
      <c r="A44">
        <v>54</v>
      </c>
      <c r="B44">
        <v>3371</v>
      </c>
      <c r="E44" s="9" t="s">
        <v>31</v>
      </c>
      <c r="F44" s="9">
        <v>365</v>
      </c>
    </row>
    <row r="45" spans="1:10" x14ac:dyDescent="0.3">
      <c r="A45">
        <v>54</v>
      </c>
      <c r="B45">
        <v>2837</v>
      </c>
    </row>
    <row r="46" spans="1:10" ht="15" thickBot="1" x14ac:dyDescent="0.35">
      <c r="A46">
        <v>54</v>
      </c>
      <c r="B46">
        <v>2741</v>
      </c>
      <c r="E46" t="s">
        <v>32</v>
      </c>
    </row>
    <row r="47" spans="1:10" x14ac:dyDescent="0.3">
      <c r="A47">
        <v>54</v>
      </c>
      <c r="B47">
        <v>2799</v>
      </c>
      <c r="E47" s="10"/>
      <c r="F47" s="10" t="s">
        <v>36</v>
      </c>
      <c r="G47" s="10" t="s">
        <v>37</v>
      </c>
      <c r="H47" s="10" t="s">
        <v>38</v>
      </c>
      <c r="I47" s="10" t="s">
        <v>39</v>
      </c>
      <c r="J47" s="10" t="s">
        <v>40</v>
      </c>
    </row>
    <row r="48" spans="1:10" x14ac:dyDescent="0.3">
      <c r="A48">
        <v>54</v>
      </c>
      <c r="B48">
        <v>3037</v>
      </c>
      <c r="E48" t="s">
        <v>33</v>
      </c>
      <c r="F48">
        <v>1</v>
      </c>
      <c r="G48">
        <v>909179960.94350719</v>
      </c>
      <c r="H48">
        <v>909179960.94350719</v>
      </c>
      <c r="I48">
        <v>15436.745355192577</v>
      </c>
      <c r="J48">
        <v>1.5659158274735643E-299</v>
      </c>
    </row>
    <row r="49" spans="1:13" x14ac:dyDescent="0.3">
      <c r="A49">
        <v>55</v>
      </c>
      <c r="B49">
        <v>2768</v>
      </c>
      <c r="E49" t="s">
        <v>34</v>
      </c>
      <c r="F49">
        <v>363</v>
      </c>
      <c r="G49">
        <v>21379657.319505993</v>
      </c>
      <c r="H49">
        <v>58897.127601944885</v>
      </c>
    </row>
    <row r="50" spans="1:13" ht="15" thickBot="1" x14ac:dyDescent="0.35">
      <c r="A50">
        <v>55</v>
      </c>
      <c r="B50">
        <v>2953</v>
      </c>
      <c r="E50" s="9" t="s">
        <v>35</v>
      </c>
      <c r="F50" s="9">
        <v>364</v>
      </c>
      <c r="G50" s="9">
        <v>930559618.26301324</v>
      </c>
      <c r="H50" s="9"/>
      <c r="I50" s="9"/>
      <c r="J50" s="9"/>
    </row>
    <row r="51" spans="1:13" ht="15" thickBot="1" x14ac:dyDescent="0.35">
      <c r="A51">
        <v>55</v>
      </c>
      <c r="B51">
        <v>3391</v>
      </c>
    </row>
    <row r="52" spans="1:13" x14ac:dyDescent="0.3">
      <c r="A52">
        <v>55</v>
      </c>
      <c r="B52">
        <v>3419</v>
      </c>
      <c r="E52" s="10"/>
      <c r="F52" s="10" t="s">
        <v>16</v>
      </c>
      <c r="G52" s="10" t="s">
        <v>24</v>
      </c>
      <c r="H52" s="10" t="s">
        <v>41</v>
      </c>
      <c r="I52" s="10" t="s">
        <v>42</v>
      </c>
      <c r="J52" s="10" t="s">
        <v>43</v>
      </c>
      <c r="K52" s="10" t="s">
        <v>44</v>
      </c>
      <c r="L52" s="10" t="s">
        <v>45</v>
      </c>
      <c r="M52" s="10" t="s">
        <v>46</v>
      </c>
    </row>
    <row r="53" spans="1:13" x14ac:dyDescent="0.3">
      <c r="A53">
        <v>56</v>
      </c>
      <c r="B53">
        <v>3322</v>
      </c>
      <c r="E53" t="s">
        <v>17</v>
      </c>
      <c r="F53">
        <v>-3369.8166002474973</v>
      </c>
      <c r="G53">
        <v>70.217283801035393</v>
      </c>
      <c r="H53">
        <v>-47.991269639481658</v>
      </c>
      <c r="I53">
        <v>3.0055845706401406E-159</v>
      </c>
      <c r="J53">
        <v>-3507.9003381668836</v>
      </c>
      <c r="K53">
        <v>-3231.732862328111</v>
      </c>
      <c r="L53">
        <v>-3507.9003381668836</v>
      </c>
      <c r="M53">
        <v>-3231.732862328111</v>
      </c>
    </row>
    <row r="54" spans="1:13" ht="15" thickBot="1" x14ac:dyDescent="0.35">
      <c r="A54">
        <v>56</v>
      </c>
      <c r="B54">
        <v>3447</v>
      </c>
      <c r="E54" s="9" t="s">
        <v>47</v>
      </c>
      <c r="F54" s="9">
        <v>119.20089289728379</v>
      </c>
      <c r="G54" s="9">
        <v>0.95940425122185646</v>
      </c>
      <c r="H54" s="9">
        <v>124.24469950542183</v>
      </c>
      <c r="I54" s="9">
        <v>1.5659158274737423E-299</v>
      </c>
      <c r="J54" s="9">
        <v>117.31420463460692</v>
      </c>
      <c r="K54" s="9">
        <v>121.08758115996066</v>
      </c>
      <c r="L54" s="9">
        <v>117.31420463460692</v>
      </c>
      <c r="M54" s="9">
        <v>121.08758115996066</v>
      </c>
    </row>
    <row r="55" spans="1:13" x14ac:dyDescent="0.3">
      <c r="A55">
        <v>57</v>
      </c>
      <c r="B55">
        <v>3089</v>
      </c>
    </row>
    <row r="56" spans="1:13" x14ac:dyDescent="0.3">
      <c r="A56">
        <v>57</v>
      </c>
      <c r="B56">
        <v>3580</v>
      </c>
    </row>
    <row r="57" spans="1:13" x14ac:dyDescent="0.3">
      <c r="A57">
        <v>58</v>
      </c>
      <c r="B57">
        <v>3344</v>
      </c>
    </row>
    <row r="58" spans="1:13" x14ac:dyDescent="0.3">
      <c r="A58">
        <v>58</v>
      </c>
      <c r="B58">
        <v>3679</v>
      </c>
    </row>
    <row r="59" spans="1:13" x14ac:dyDescent="0.3">
      <c r="A59">
        <v>58</v>
      </c>
      <c r="B59">
        <v>3156</v>
      </c>
    </row>
    <row r="60" spans="1:13" x14ac:dyDescent="0.3">
      <c r="A60">
        <v>58</v>
      </c>
      <c r="B60">
        <v>3513</v>
      </c>
    </row>
    <row r="61" spans="1:13" x14ac:dyDescent="0.3">
      <c r="A61">
        <v>58</v>
      </c>
      <c r="B61">
        <v>3611</v>
      </c>
    </row>
    <row r="62" spans="1:13" x14ac:dyDescent="0.3">
      <c r="A62">
        <v>58</v>
      </c>
      <c r="B62">
        <v>3239</v>
      </c>
    </row>
    <row r="63" spans="1:13" x14ac:dyDescent="0.3">
      <c r="A63">
        <v>59</v>
      </c>
      <c r="B63">
        <v>3818</v>
      </c>
    </row>
    <row r="64" spans="1:13" x14ac:dyDescent="0.3">
      <c r="A64">
        <v>59</v>
      </c>
      <c r="B64">
        <v>2969</v>
      </c>
    </row>
    <row r="65" spans="1:2" x14ac:dyDescent="0.3">
      <c r="A65">
        <v>59</v>
      </c>
      <c r="B65">
        <v>3847</v>
      </c>
    </row>
    <row r="66" spans="1:2" x14ac:dyDescent="0.3">
      <c r="A66">
        <v>59</v>
      </c>
      <c r="B66">
        <v>3774</v>
      </c>
    </row>
    <row r="67" spans="1:2" x14ac:dyDescent="0.3">
      <c r="A67">
        <v>59</v>
      </c>
      <c r="B67">
        <v>3671</v>
      </c>
    </row>
    <row r="68" spans="1:2" x14ac:dyDescent="0.3">
      <c r="A68">
        <v>59</v>
      </c>
      <c r="B68">
        <v>3229</v>
      </c>
    </row>
    <row r="69" spans="1:2" x14ac:dyDescent="0.3">
      <c r="A69">
        <v>59</v>
      </c>
      <c r="B69">
        <v>3750</v>
      </c>
    </row>
    <row r="70" spans="1:2" x14ac:dyDescent="0.3">
      <c r="A70">
        <v>59</v>
      </c>
      <c r="B70">
        <v>3533</v>
      </c>
    </row>
    <row r="71" spans="1:2" x14ac:dyDescent="0.3">
      <c r="A71">
        <v>60</v>
      </c>
      <c r="B71">
        <v>3506</v>
      </c>
    </row>
    <row r="72" spans="1:2" x14ac:dyDescent="0.3">
      <c r="A72">
        <v>60</v>
      </c>
      <c r="B72">
        <v>3625</v>
      </c>
    </row>
    <row r="73" spans="1:2" x14ac:dyDescent="0.3">
      <c r="A73">
        <v>60</v>
      </c>
      <c r="B73">
        <v>4025</v>
      </c>
    </row>
    <row r="74" spans="1:2" x14ac:dyDescent="0.3">
      <c r="A74">
        <v>60</v>
      </c>
      <c r="B74">
        <v>3969</v>
      </c>
    </row>
    <row r="75" spans="1:2" x14ac:dyDescent="0.3">
      <c r="A75">
        <v>60</v>
      </c>
      <c r="B75">
        <v>4095</v>
      </c>
    </row>
    <row r="76" spans="1:2" x14ac:dyDescent="0.3">
      <c r="A76">
        <v>61</v>
      </c>
      <c r="B76">
        <v>3796</v>
      </c>
    </row>
    <row r="77" spans="1:2" x14ac:dyDescent="0.3">
      <c r="A77">
        <v>61</v>
      </c>
      <c r="B77">
        <v>3810</v>
      </c>
    </row>
    <row r="78" spans="1:2" x14ac:dyDescent="0.3">
      <c r="A78">
        <v>61</v>
      </c>
      <c r="B78">
        <v>3821</v>
      </c>
    </row>
    <row r="79" spans="1:2" x14ac:dyDescent="0.3">
      <c r="A79">
        <v>61</v>
      </c>
      <c r="B79">
        <v>3730</v>
      </c>
    </row>
    <row r="80" spans="1:2" x14ac:dyDescent="0.3">
      <c r="A80">
        <v>61</v>
      </c>
      <c r="B80">
        <v>3953</v>
      </c>
    </row>
    <row r="81" spans="1:2" x14ac:dyDescent="0.3">
      <c r="A81">
        <v>61</v>
      </c>
      <c r="B81">
        <v>3742</v>
      </c>
    </row>
    <row r="82" spans="1:2" x14ac:dyDescent="0.3">
      <c r="A82">
        <v>61</v>
      </c>
      <c r="B82">
        <v>3942</v>
      </c>
    </row>
    <row r="83" spans="1:2" x14ac:dyDescent="0.3">
      <c r="A83">
        <v>61</v>
      </c>
      <c r="B83">
        <v>3816</v>
      </c>
    </row>
    <row r="84" spans="1:2" x14ac:dyDescent="0.3">
      <c r="A84">
        <v>61</v>
      </c>
      <c r="B84">
        <v>3766</v>
      </c>
    </row>
    <row r="85" spans="1:2" x14ac:dyDescent="0.3">
      <c r="A85">
        <v>62</v>
      </c>
      <c r="B85">
        <v>3904</v>
      </c>
    </row>
    <row r="86" spans="1:2" x14ac:dyDescent="0.3">
      <c r="A86">
        <v>62</v>
      </c>
      <c r="B86">
        <v>4144</v>
      </c>
    </row>
    <row r="87" spans="1:2" x14ac:dyDescent="0.3">
      <c r="A87">
        <v>62</v>
      </c>
      <c r="B87">
        <v>4019</v>
      </c>
    </row>
    <row r="88" spans="1:2" x14ac:dyDescent="0.3">
      <c r="A88">
        <v>62</v>
      </c>
      <c r="B88">
        <v>3793</v>
      </c>
    </row>
    <row r="89" spans="1:2" x14ac:dyDescent="0.3">
      <c r="A89">
        <v>63</v>
      </c>
      <c r="B89">
        <v>5017</v>
      </c>
    </row>
    <row r="90" spans="1:2" x14ac:dyDescent="0.3">
      <c r="A90">
        <v>63</v>
      </c>
      <c r="B90">
        <v>4415</v>
      </c>
    </row>
    <row r="91" spans="1:2" x14ac:dyDescent="0.3">
      <c r="A91">
        <v>63</v>
      </c>
      <c r="B91">
        <v>4158</v>
      </c>
    </row>
    <row r="92" spans="1:2" x14ac:dyDescent="0.3">
      <c r="A92">
        <v>63</v>
      </c>
      <c r="B92">
        <v>4059</v>
      </c>
    </row>
    <row r="93" spans="1:2" x14ac:dyDescent="0.3">
      <c r="A93">
        <v>63</v>
      </c>
      <c r="B93">
        <v>3917</v>
      </c>
    </row>
    <row r="94" spans="1:2" x14ac:dyDescent="0.3">
      <c r="A94">
        <v>64</v>
      </c>
      <c r="B94">
        <v>4057</v>
      </c>
    </row>
    <row r="95" spans="1:2" x14ac:dyDescent="0.3">
      <c r="A95">
        <v>64</v>
      </c>
      <c r="B95">
        <v>4028</v>
      </c>
    </row>
    <row r="96" spans="1:2" x14ac:dyDescent="0.3">
      <c r="A96">
        <v>64</v>
      </c>
      <c r="B96">
        <v>4121</v>
      </c>
    </row>
    <row r="97" spans="1:2" x14ac:dyDescent="0.3">
      <c r="A97">
        <v>64</v>
      </c>
      <c r="B97">
        <v>4485</v>
      </c>
    </row>
    <row r="98" spans="1:2" x14ac:dyDescent="0.3">
      <c r="A98">
        <v>64</v>
      </c>
      <c r="B98">
        <v>4094</v>
      </c>
    </row>
    <row r="99" spans="1:2" x14ac:dyDescent="0.3">
      <c r="A99">
        <v>64</v>
      </c>
      <c r="B99">
        <v>4014</v>
      </c>
    </row>
    <row r="100" spans="1:2" x14ac:dyDescent="0.3">
      <c r="A100">
        <v>64</v>
      </c>
      <c r="B100">
        <v>3857</v>
      </c>
    </row>
    <row r="101" spans="1:2" x14ac:dyDescent="0.3">
      <c r="A101">
        <v>64</v>
      </c>
      <c r="B101">
        <v>4407</v>
      </c>
    </row>
    <row r="102" spans="1:2" x14ac:dyDescent="0.3">
      <c r="A102">
        <v>64</v>
      </c>
      <c r="B102">
        <v>4410</v>
      </c>
    </row>
    <row r="103" spans="1:2" x14ac:dyDescent="0.3">
      <c r="A103">
        <v>65</v>
      </c>
      <c r="B103">
        <v>4736</v>
      </c>
    </row>
    <row r="104" spans="1:2" x14ac:dyDescent="0.3">
      <c r="A104">
        <v>65</v>
      </c>
      <c r="B104">
        <v>4538</v>
      </c>
    </row>
    <row r="105" spans="1:2" x14ac:dyDescent="0.3">
      <c r="A105">
        <v>65</v>
      </c>
      <c r="B105">
        <v>4109</v>
      </c>
    </row>
    <row r="106" spans="1:2" x14ac:dyDescent="0.3">
      <c r="A106">
        <v>65</v>
      </c>
      <c r="B106">
        <v>4378</v>
      </c>
    </row>
    <row r="107" spans="1:2" x14ac:dyDescent="0.3">
      <c r="A107">
        <v>65</v>
      </c>
      <c r="B107">
        <v>4272</v>
      </c>
    </row>
    <row r="108" spans="1:2" x14ac:dyDescent="0.3">
      <c r="A108">
        <v>65</v>
      </c>
      <c r="B108">
        <v>4210</v>
      </c>
    </row>
    <row r="109" spans="1:2" x14ac:dyDescent="0.3">
      <c r="A109">
        <v>65</v>
      </c>
      <c r="B109">
        <v>4328</v>
      </c>
    </row>
    <row r="110" spans="1:2" x14ac:dyDescent="0.3">
      <c r="A110">
        <v>65</v>
      </c>
      <c r="B110">
        <v>4431</v>
      </c>
    </row>
    <row r="111" spans="1:2" x14ac:dyDescent="0.3">
      <c r="A111">
        <v>65</v>
      </c>
      <c r="B111">
        <v>4271</v>
      </c>
    </row>
    <row r="112" spans="1:2" x14ac:dyDescent="0.3">
      <c r="A112">
        <v>66</v>
      </c>
      <c r="B112">
        <v>4303</v>
      </c>
    </row>
    <row r="113" spans="1:2" x14ac:dyDescent="0.3">
      <c r="A113">
        <v>66</v>
      </c>
      <c r="B113">
        <v>4216</v>
      </c>
    </row>
    <row r="114" spans="1:2" x14ac:dyDescent="0.3">
      <c r="A114">
        <v>66</v>
      </c>
      <c r="B114">
        <v>4674</v>
      </c>
    </row>
    <row r="115" spans="1:2" x14ac:dyDescent="0.3">
      <c r="A115">
        <v>66</v>
      </c>
      <c r="B115">
        <v>4768</v>
      </c>
    </row>
    <row r="116" spans="1:2" x14ac:dyDescent="0.3">
      <c r="A116">
        <v>66</v>
      </c>
      <c r="B116">
        <v>4448</v>
      </c>
    </row>
    <row r="117" spans="1:2" x14ac:dyDescent="0.3">
      <c r="A117">
        <v>66</v>
      </c>
      <c r="B117">
        <v>4752</v>
      </c>
    </row>
    <row r="118" spans="1:2" x14ac:dyDescent="0.3">
      <c r="A118">
        <v>66</v>
      </c>
      <c r="B118">
        <v>4498</v>
      </c>
    </row>
    <row r="119" spans="1:2" x14ac:dyDescent="0.3">
      <c r="A119">
        <v>66</v>
      </c>
      <c r="B119">
        <v>4507</v>
      </c>
    </row>
    <row r="120" spans="1:2" x14ac:dyDescent="0.3">
      <c r="A120">
        <v>66</v>
      </c>
      <c r="B120">
        <v>4542</v>
      </c>
    </row>
    <row r="121" spans="1:2" x14ac:dyDescent="0.3">
      <c r="A121">
        <v>66</v>
      </c>
      <c r="B121">
        <v>4736</v>
      </c>
    </row>
    <row r="122" spans="1:2" x14ac:dyDescent="0.3">
      <c r="A122">
        <v>66</v>
      </c>
      <c r="B122">
        <v>4826</v>
      </c>
    </row>
    <row r="123" spans="1:2" x14ac:dyDescent="0.3">
      <c r="A123">
        <v>66</v>
      </c>
      <c r="B123">
        <v>5175</v>
      </c>
    </row>
    <row r="124" spans="1:2" x14ac:dyDescent="0.3">
      <c r="A124">
        <v>66</v>
      </c>
      <c r="B124">
        <v>4505</v>
      </c>
    </row>
    <row r="125" spans="1:2" x14ac:dyDescent="0.3">
      <c r="A125">
        <v>66</v>
      </c>
      <c r="B125">
        <v>4065</v>
      </c>
    </row>
    <row r="126" spans="1:2" x14ac:dyDescent="0.3">
      <c r="A126">
        <v>67</v>
      </c>
      <c r="B126">
        <v>4865</v>
      </c>
    </row>
    <row r="127" spans="1:2" x14ac:dyDescent="0.3">
      <c r="A127">
        <v>67</v>
      </c>
      <c r="B127">
        <v>4526</v>
      </c>
    </row>
    <row r="128" spans="1:2" x14ac:dyDescent="0.3">
      <c r="A128">
        <v>67</v>
      </c>
      <c r="B128">
        <v>4604</v>
      </c>
    </row>
    <row r="129" spans="1:2" x14ac:dyDescent="0.3">
      <c r="A129">
        <v>67</v>
      </c>
      <c r="B129">
        <v>4485</v>
      </c>
    </row>
    <row r="130" spans="1:2" x14ac:dyDescent="0.3">
      <c r="A130">
        <v>67</v>
      </c>
      <c r="B130">
        <v>4294</v>
      </c>
    </row>
    <row r="131" spans="1:2" x14ac:dyDescent="0.3">
      <c r="A131">
        <v>67</v>
      </c>
      <c r="B131">
        <v>5062</v>
      </c>
    </row>
    <row r="132" spans="1:2" x14ac:dyDescent="0.3">
      <c r="A132">
        <v>68</v>
      </c>
      <c r="B132">
        <v>4565</v>
      </c>
    </row>
    <row r="133" spans="1:2" x14ac:dyDescent="0.3">
      <c r="A133">
        <v>68</v>
      </c>
      <c r="B133">
        <v>4937</v>
      </c>
    </row>
    <row r="134" spans="1:2" x14ac:dyDescent="0.3">
      <c r="A134">
        <v>68</v>
      </c>
      <c r="B134">
        <v>4589</v>
      </c>
    </row>
    <row r="135" spans="1:2" x14ac:dyDescent="0.3">
      <c r="A135">
        <v>68</v>
      </c>
      <c r="B135">
        <v>5074</v>
      </c>
    </row>
    <row r="136" spans="1:2" x14ac:dyDescent="0.3">
      <c r="A136">
        <v>68</v>
      </c>
      <c r="B136">
        <v>4717</v>
      </c>
    </row>
    <row r="137" spans="1:2" x14ac:dyDescent="0.3">
      <c r="A137">
        <v>68</v>
      </c>
      <c r="B137">
        <v>4960</v>
      </c>
    </row>
    <row r="138" spans="1:2" x14ac:dyDescent="0.3">
      <c r="A138">
        <v>68</v>
      </c>
      <c r="B138">
        <v>4168</v>
      </c>
    </row>
    <row r="139" spans="1:2" x14ac:dyDescent="0.3">
      <c r="A139">
        <v>68</v>
      </c>
      <c r="B139">
        <v>4690</v>
      </c>
    </row>
    <row r="140" spans="1:2" x14ac:dyDescent="0.3">
      <c r="A140">
        <v>68</v>
      </c>
      <c r="B140">
        <v>4735</v>
      </c>
    </row>
    <row r="141" spans="1:2" x14ac:dyDescent="0.3">
      <c r="A141">
        <v>68</v>
      </c>
      <c r="B141">
        <v>4773</v>
      </c>
    </row>
    <row r="142" spans="1:2" x14ac:dyDescent="0.3">
      <c r="A142">
        <v>68</v>
      </c>
      <c r="B142">
        <v>4373</v>
      </c>
    </row>
    <row r="143" spans="1:2" x14ac:dyDescent="0.3">
      <c r="A143">
        <v>68</v>
      </c>
      <c r="B143">
        <v>4747</v>
      </c>
    </row>
    <row r="144" spans="1:2" x14ac:dyDescent="0.3">
      <c r="A144">
        <v>69</v>
      </c>
      <c r="B144">
        <v>5138</v>
      </c>
    </row>
    <row r="145" spans="1:2" x14ac:dyDescent="0.3">
      <c r="A145">
        <v>69</v>
      </c>
      <c r="B145">
        <v>4174</v>
      </c>
    </row>
    <row r="146" spans="1:2" x14ac:dyDescent="0.3">
      <c r="A146">
        <v>69</v>
      </c>
      <c r="B146">
        <v>4988</v>
      </c>
    </row>
    <row r="147" spans="1:2" x14ac:dyDescent="0.3">
      <c r="A147">
        <v>69</v>
      </c>
      <c r="B147">
        <v>4778</v>
      </c>
    </row>
    <row r="148" spans="1:2" x14ac:dyDescent="0.3">
      <c r="A148">
        <v>69</v>
      </c>
      <c r="B148">
        <v>4250</v>
      </c>
    </row>
    <row r="149" spans="1:2" x14ac:dyDescent="0.3">
      <c r="A149">
        <v>69</v>
      </c>
      <c r="B149">
        <v>4877</v>
      </c>
    </row>
    <row r="150" spans="1:2" x14ac:dyDescent="0.3">
      <c r="A150">
        <v>70</v>
      </c>
      <c r="B150">
        <v>4946</v>
      </c>
    </row>
    <row r="151" spans="1:2" x14ac:dyDescent="0.3">
      <c r="A151">
        <v>70</v>
      </c>
      <c r="B151">
        <v>5087</v>
      </c>
    </row>
    <row r="152" spans="1:2" x14ac:dyDescent="0.3">
      <c r="A152">
        <v>70</v>
      </c>
      <c r="B152">
        <v>4912</v>
      </c>
    </row>
    <row r="153" spans="1:2" x14ac:dyDescent="0.3">
      <c r="A153">
        <v>70</v>
      </c>
      <c r="B153">
        <v>4995</v>
      </c>
    </row>
    <row r="154" spans="1:2" x14ac:dyDescent="0.3">
      <c r="A154">
        <v>70</v>
      </c>
      <c r="B154">
        <v>5031</v>
      </c>
    </row>
    <row r="155" spans="1:2" x14ac:dyDescent="0.3">
      <c r="A155">
        <v>70</v>
      </c>
      <c r="B155">
        <v>4932</v>
      </c>
    </row>
    <row r="156" spans="1:2" x14ac:dyDescent="0.3">
      <c r="A156">
        <v>70</v>
      </c>
      <c r="B156">
        <v>5267</v>
      </c>
    </row>
    <row r="157" spans="1:2" x14ac:dyDescent="0.3">
      <c r="A157">
        <v>70</v>
      </c>
      <c r="B157">
        <v>5205</v>
      </c>
    </row>
    <row r="158" spans="1:2" x14ac:dyDescent="0.3">
      <c r="A158">
        <v>70</v>
      </c>
      <c r="B158">
        <v>4882</v>
      </c>
    </row>
    <row r="159" spans="1:2" x14ac:dyDescent="0.3">
      <c r="A159">
        <v>71</v>
      </c>
      <c r="B159">
        <v>5333</v>
      </c>
    </row>
    <row r="160" spans="1:2" x14ac:dyDescent="0.3">
      <c r="A160">
        <v>71</v>
      </c>
      <c r="B160">
        <v>5459</v>
      </c>
    </row>
    <row r="161" spans="1:2" x14ac:dyDescent="0.3">
      <c r="A161">
        <v>71</v>
      </c>
      <c r="B161">
        <v>5377</v>
      </c>
    </row>
    <row r="162" spans="1:2" x14ac:dyDescent="0.3">
      <c r="A162">
        <v>71</v>
      </c>
      <c r="B162">
        <v>4960</v>
      </c>
    </row>
    <row r="163" spans="1:2" x14ac:dyDescent="0.3">
      <c r="A163">
        <v>71</v>
      </c>
      <c r="B163">
        <v>5217</v>
      </c>
    </row>
    <row r="164" spans="1:2" x14ac:dyDescent="0.3">
      <c r="A164">
        <v>71</v>
      </c>
      <c r="B164">
        <v>4674</v>
      </c>
    </row>
    <row r="165" spans="1:2" x14ac:dyDescent="0.3">
      <c r="A165">
        <v>71</v>
      </c>
      <c r="B165">
        <v>5304</v>
      </c>
    </row>
    <row r="166" spans="1:2" x14ac:dyDescent="0.3">
      <c r="A166">
        <v>71</v>
      </c>
      <c r="B166">
        <v>4934</v>
      </c>
    </row>
    <row r="167" spans="1:2" x14ac:dyDescent="0.3">
      <c r="A167">
        <v>71</v>
      </c>
      <c r="B167">
        <v>5504</v>
      </c>
    </row>
    <row r="168" spans="1:2" x14ac:dyDescent="0.3">
      <c r="A168">
        <v>72</v>
      </c>
      <c r="B168">
        <v>5718</v>
      </c>
    </row>
    <row r="169" spans="1:2" x14ac:dyDescent="0.3">
      <c r="A169">
        <v>72</v>
      </c>
      <c r="B169">
        <v>5126</v>
      </c>
    </row>
    <row r="170" spans="1:2" x14ac:dyDescent="0.3">
      <c r="A170">
        <v>72</v>
      </c>
      <c r="B170">
        <v>5378</v>
      </c>
    </row>
    <row r="171" spans="1:2" x14ac:dyDescent="0.3">
      <c r="A171">
        <v>72</v>
      </c>
      <c r="B171">
        <v>5155</v>
      </c>
    </row>
    <row r="172" spans="1:2" x14ac:dyDescent="0.3">
      <c r="A172">
        <v>72</v>
      </c>
      <c r="B172">
        <v>5001</v>
      </c>
    </row>
    <row r="173" spans="1:2" x14ac:dyDescent="0.3">
      <c r="A173">
        <v>72</v>
      </c>
      <c r="B173">
        <v>5359</v>
      </c>
    </row>
    <row r="174" spans="1:2" x14ac:dyDescent="0.3">
      <c r="A174">
        <v>72</v>
      </c>
      <c r="B174">
        <v>5247</v>
      </c>
    </row>
    <row r="175" spans="1:2" x14ac:dyDescent="0.3">
      <c r="A175">
        <v>72</v>
      </c>
      <c r="B175">
        <v>4896</v>
      </c>
    </row>
    <row r="176" spans="1:2" x14ac:dyDescent="0.3">
      <c r="A176">
        <v>72</v>
      </c>
      <c r="B176">
        <v>5357</v>
      </c>
    </row>
    <row r="177" spans="1:2" x14ac:dyDescent="0.3">
      <c r="A177">
        <v>72</v>
      </c>
      <c r="B177">
        <v>5079</v>
      </c>
    </row>
    <row r="178" spans="1:2" x14ac:dyDescent="0.3">
      <c r="A178">
        <v>73</v>
      </c>
      <c r="B178">
        <v>5213</v>
      </c>
    </row>
    <row r="179" spans="1:2" x14ac:dyDescent="0.3">
      <c r="A179">
        <v>73</v>
      </c>
      <c r="B179">
        <v>5242</v>
      </c>
    </row>
    <row r="180" spans="1:2" x14ac:dyDescent="0.3">
      <c r="A180">
        <v>73</v>
      </c>
      <c r="B180">
        <v>5467</v>
      </c>
    </row>
    <row r="181" spans="1:2" x14ac:dyDescent="0.3">
      <c r="A181">
        <v>73</v>
      </c>
      <c r="B181">
        <v>5182</v>
      </c>
    </row>
    <row r="182" spans="1:2" x14ac:dyDescent="0.3">
      <c r="A182">
        <v>73</v>
      </c>
      <c r="B182">
        <v>5321</v>
      </c>
    </row>
    <row r="183" spans="1:2" x14ac:dyDescent="0.3">
      <c r="A183">
        <v>73</v>
      </c>
      <c r="B183">
        <v>5440</v>
      </c>
    </row>
    <row r="184" spans="1:2" x14ac:dyDescent="0.3">
      <c r="A184">
        <v>73</v>
      </c>
      <c r="B184">
        <v>5501</v>
      </c>
    </row>
    <row r="185" spans="1:2" x14ac:dyDescent="0.3">
      <c r="A185">
        <v>73</v>
      </c>
      <c r="B185">
        <v>5408</v>
      </c>
    </row>
    <row r="186" spans="1:2" x14ac:dyDescent="0.3">
      <c r="A186">
        <v>73</v>
      </c>
      <c r="B186">
        <v>5397</v>
      </c>
    </row>
    <row r="187" spans="1:2" x14ac:dyDescent="0.3">
      <c r="A187">
        <v>74</v>
      </c>
      <c r="B187">
        <v>5528</v>
      </c>
    </row>
    <row r="188" spans="1:2" x14ac:dyDescent="0.3">
      <c r="A188">
        <v>74</v>
      </c>
      <c r="B188">
        <v>5436</v>
      </c>
    </row>
    <row r="189" spans="1:2" x14ac:dyDescent="0.3">
      <c r="A189">
        <v>74</v>
      </c>
      <c r="B189">
        <v>5362</v>
      </c>
    </row>
    <row r="190" spans="1:2" x14ac:dyDescent="0.3">
      <c r="A190">
        <v>74</v>
      </c>
      <c r="B190">
        <v>5065</v>
      </c>
    </row>
    <row r="191" spans="1:2" x14ac:dyDescent="0.3">
      <c r="A191">
        <v>74</v>
      </c>
      <c r="B191">
        <v>5552</v>
      </c>
    </row>
    <row r="192" spans="1:2" x14ac:dyDescent="0.3">
      <c r="A192">
        <v>74</v>
      </c>
      <c r="B192">
        <v>5861</v>
      </c>
    </row>
    <row r="193" spans="1:2" x14ac:dyDescent="0.3">
      <c r="A193">
        <v>74</v>
      </c>
      <c r="B193">
        <v>5064</v>
      </c>
    </row>
    <row r="194" spans="1:2" x14ac:dyDescent="0.3">
      <c r="A194">
        <v>74</v>
      </c>
      <c r="B194">
        <v>5428</v>
      </c>
    </row>
    <row r="195" spans="1:2" x14ac:dyDescent="0.3">
      <c r="A195">
        <v>74</v>
      </c>
      <c r="B195">
        <v>5395</v>
      </c>
    </row>
    <row r="196" spans="1:2" x14ac:dyDescent="0.3">
      <c r="A196">
        <v>74</v>
      </c>
      <c r="B196">
        <v>5344</v>
      </c>
    </row>
    <row r="197" spans="1:2" x14ac:dyDescent="0.3">
      <c r="A197">
        <v>74</v>
      </c>
      <c r="B197">
        <v>5710</v>
      </c>
    </row>
    <row r="198" spans="1:2" x14ac:dyDescent="0.3">
      <c r="A198">
        <v>74</v>
      </c>
      <c r="B198">
        <v>5426</v>
      </c>
    </row>
    <row r="199" spans="1:2" x14ac:dyDescent="0.3">
      <c r="A199">
        <v>75</v>
      </c>
      <c r="B199">
        <v>5534</v>
      </c>
    </row>
    <row r="200" spans="1:2" x14ac:dyDescent="0.3">
      <c r="A200">
        <v>75</v>
      </c>
      <c r="B200">
        <v>5371</v>
      </c>
    </row>
    <row r="201" spans="1:2" x14ac:dyDescent="0.3">
      <c r="A201">
        <v>75</v>
      </c>
      <c r="B201">
        <v>5784</v>
      </c>
    </row>
    <row r="202" spans="1:2" x14ac:dyDescent="0.3">
      <c r="A202">
        <v>75</v>
      </c>
      <c r="B202">
        <v>5591</v>
      </c>
    </row>
    <row r="203" spans="1:2" x14ac:dyDescent="0.3">
      <c r="A203">
        <v>75</v>
      </c>
      <c r="B203">
        <v>5862</v>
      </c>
    </row>
    <row r="204" spans="1:2" x14ac:dyDescent="0.3">
      <c r="A204">
        <v>75</v>
      </c>
      <c r="B204">
        <v>5885</v>
      </c>
    </row>
    <row r="205" spans="1:2" x14ac:dyDescent="0.3">
      <c r="A205">
        <v>76</v>
      </c>
      <c r="B205">
        <v>5284</v>
      </c>
    </row>
    <row r="206" spans="1:2" x14ac:dyDescent="0.3">
      <c r="A206">
        <v>76</v>
      </c>
      <c r="B206">
        <v>5659</v>
      </c>
    </row>
    <row r="207" spans="1:2" x14ac:dyDescent="0.3">
      <c r="A207">
        <v>76</v>
      </c>
      <c r="B207">
        <v>5943</v>
      </c>
    </row>
    <row r="208" spans="1:2" x14ac:dyDescent="0.3">
      <c r="A208">
        <v>76</v>
      </c>
      <c r="B208">
        <v>5969</v>
      </c>
    </row>
    <row r="209" spans="1:2" x14ac:dyDescent="0.3">
      <c r="A209">
        <v>76</v>
      </c>
      <c r="B209">
        <v>5383</v>
      </c>
    </row>
    <row r="210" spans="1:2" x14ac:dyDescent="0.3">
      <c r="A210">
        <v>76</v>
      </c>
      <c r="B210">
        <v>5941</v>
      </c>
    </row>
    <row r="211" spans="1:2" x14ac:dyDescent="0.3">
      <c r="A211">
        <v>76</v>
      </c>
      <c r="B211">
        <v>5317</v>
      </c>
    </row>
    <row r="212" spans="1:2" x14ac:dyDescent="0.3">
      <c r="A212">
        <v>76</v>
      </c>
      <c r="B212">
        <v>5348</v>
      </c>
    </row>
    <row r="213" spans="1:2" x14ac:dyDescent="0.3">
      <c r="A213">
        <v>76</v>
      </c>
      <c r="B213">
        <v>5994</v>
      </c>
    </row>
    <row r="214" spans="1:2" x14ac:dyDescent="0.3">
      <c r="A214">
        <v>76</v>
      </c>
      <c r="B214">
        <v>6031</v>
      </c>
    </row>
    <row r="215" spans="1:2" x14ac:dyDescent="0.3">
      <c r="A215">
        <v>76</v>
      </c>
      <c r="B215">
        <v>6033</v>
      </c>
    </row>
    <row r="216" spans="1:2" x14ac:dyDescent="0.3">
      <c r="A216">
        <v>77</v>
      </c>
      <c r="B216">
        <v>5382</v>
      </c>
    </row>
    <row r="217" spans="1:2" x14ac:dyDescent="0.3">
      <c r="A217">
        <v>77</v>
      </c>
      <c r="B217">
        <v>5307</v>
      </c>
    </row>
    <row r="218" spans="1:2" x14ac:dyDescent="0.3">
      <c r="A218">
        <v>77</v>
      </c>
      <c r="B218">
        <v>5948</v>
      </c>
    </row>
    <row r="219" spans="1:2" x14ac:dyDescent="0.3">
      <c r="A219">
        <v>77</v>
      </c>
      <c r="B219">
        <v>5410</v>
      </c>
    </row>
    <row r="220" spans="1:2" x14ac:dyDescent="0.3">
      <c r="A220">
        <v>77</v>
      </c>
      <c r="B220">
        <v>5633</v>
      </c>
    </row>
    <row r="221" spans="1:2" x14ac:dyDescent="0.3">
      <c r="A221">
        <v>77</v>
      </c>
      <c r="B221">
        <v>5987</v>
      </c>
    </row>
    <row r="222" spans="1:2" x14ac:dyDescent="0.3">
      <c r="A222">
        <v>77</v>
      </c>
      <c r="B222">
        <v>6075</v>
      </c>
    </row>
    <row r="223" spans="1:2" x14ac:dyDescent="0.3">
      <c r="A223">
        <v>77</v>
      </c>
      <c r="B223">
        <v>5643</v>
      </c>
    </row>
    <row r="224" spans="1:2" x14ac:dyDescent="0.3">
      <c r="A224">
        <v>77</v>
      </c>
      <c r="B224">
        <v>6086</v>
      </c>
    </row>
    <row r="225" spans="1:2" x14ac:dyDescent="0.3">
      <c r="A225">
        <v>77</v>
      </c>
      <c r="B225">
        <v>5507</v>
      </c>
    </row>
    <row r="226" spans="1:2" x14ac:dyDescent="0.3">
      <c r="A226">
        <v>77</v>
      </c>
      <c r="B226">
        <v>5839</v>
      </c>
    </row>
    <row r="227" spans="1:2" x14ac:dyDescent="0.3">
      <c r="A227">
        <v>77</v>
      </c>
      <c r="B227">
        <v>5872</v>
      </c>
    </row>
    <row r="228" spans="1:2" x14ac:dyDescent="0.3">
      <c r="A228">
        <v>77</v>
      </c>
      <c r="B228">
        <v>5752</v>
      </c>
    </row>
    <row r="229" spans="1:2" x14ac:dyDescent="0.3">
      <c r="A229">
        <v>77</v>
      </c>
      <c r="B229">
        <v>5633</v>
      </c>
    </row>
    <row r="230" spans="1:2" x14ac:dyDescent="0.3">
      <c r="A230">
        <v>77</v>
      </c>
      <c r="B230">
        <v>5747</v>
      </c>
    </row>
    <row r="231" spans="1:2" x14ac:dyDescent="0.3">
      <c r="A231">
        <v>78</v>
      </c>
      <c r="B231">
        <v>5813</v>
      </c>
    </row>
    <row r="232" spans="1:2" x14ac:dyDescent="0.3">
      <c r="A232">
        <v>78</v>
      </c>
      <c r="B232">
        <v>6046</v>
      </c>
    </row>
    <row r="233" spans="1:2" x14ac:dyDescent="0.3">
      <c r="A233">
        <v>78</v>
      </c>
      <c r="B233">
        <v>6033</v>
      </c>
    </row>
    <row r="234" spans="1:2" x14ac:dyDescent="0.3">
      <c r="A234">
        <v>78</v>
      </c>
      <c r="B234">
        <v>6089</v>
      </c>
    </row>
    <row r="235" spans="1:2" x14ac:dyDescent="0.3">
      <c r="A235">
        <v>78</v>
      </c>
      <c r="B235">
        <v>6258</v>
      </c>
    </row>
    <row r="236" spans="1:2" x14ac:dyDescent="0.3">
      <c r="A236">
        <v>78</v>
      </c>
      <c r="B236">
        <v>6122</v>
      </c>
    </row>
    <row r="237" spans="1:2" x14ac:dyDescent="0.3">
      <c r="A237">
        <v>78</v>
      </c>
      <c r="B237">
        <v>5962</v>
      </c>
    </row>
    <row r="238" spans="1:2" x14ac:dyDescent="0.3">
      <c r="A238">
        <v>78</v>
      </c>
      <c r="B238">
        <v>5831</v>
      </c>
    </row>
    <row r="239" spans="1:2" x14ac:dyDescent="0.3">
      <c r="A239">
        <v>78</v>
      </c>
      <c r="B239">
        <v>5912</v>
      </c>
    </row>
    <row r="240" spans="1:2" x14ac:dyDescent="0.3">
      <c r="A240">
        <v>78</v>
      </c>
      <c r="B240">
        <v>5793</v>
      </c>
    </row>
    <row r="241" spans="1:2" x14ac:dyDescent="0.3">
      <c r="A241">
        <v>78</v>
      </c>
      <c r="B241">
        <v>5725</v>
      </c>
    </row>
    <row r="242" spans="1:2" x14ac:dyDescent="0.3">
      <c r="A242">
        <v>78</v>
      </c>
      <c r="B242">
        <v>6220</v>
      </c>
    </row>
    <row r="243" spans="1:2" x14ac:dyDescent="0.3">
      <c r="A243">
        <v>79</v>
      </c>
      <c r="B243">
        <v>5970</v>
      </c>
    </row>
    <row r="244" spans="1:2" x14ac:dyDescent="0.3">
      <c r="A244">
        <v>79</v>
      </c>
      <c r="B244">
        <v>6482</v>
      </c>
    </row>
    <row r="245" spans="1:2" x14ac:dyDescent="0.3">
      <c r="A245">
        <v>79</v>
      </c>
      <c r="B245">
        <v>5706</v>
      </c>
    </row>
    <row r="246" spans="1:2" x14ac:dyDescent="0.3">
      <c r="A246">
        <v>79</v>
      </c>
      <c r="B246">
        <v>6252</v>
      </c>
    </row>
    <row r="247" spans="1:2" x14ac:dyDescent="0.3">
      <c r="A247">
        <v>79</v>
      </c>
      <c r="B247">
        <v>5993</v>
      </c>
    </row>
    <row r="248" spans="1:2" x14ac:dyDescent="0.3">
      <c r="A248">
        <v>79</v>
      </c>
      <c r="B248">
        <v>6171</v>
      </c>
    </row>
    <row r="249" spans="1:2" x14ac:dyDescent="0.3">
      <c r="A249">
        <v>79</v>
      </c>
      <c r="B249">
        <v>5949</v>
      </c>
    </row>
    <row r="250" spans="1:2" x14ac:dyDescent="0.3">
      <c r="A250">
        <v>79</v>
      </c>
      <c r="B250">
        <v>6742</v>
      </c>
    </row>
    <row r="251" spans="1:2" x14ac:dyDescent="0.3">
      <c r="A251">
        <v>79</v>
      </c>
      <c r="B251">
        <v>5634</v>
      </c>
    </row>
    <row r="252" spans="1:2" x14ac:dyDescent="0.3">
      <c r="A252">
        <v>79</v>
      </c>
      <c r="B252">
        <v>5969</v>
      </c>
    </row>
    <row r="253" spans="1:2" x14ac:dyDescent="0.3">
      <c r="A253">
        <v>79</v>
      </c>
      <c r="B253">
        <v>5744</v>
      </c>
    </row>
    <row r="254" spans="1:2" x14ac:dyDescent="0.3">
      <c r="A254">
        <v>79</v>
      </c>
      <c r="B254">
        <v>6463</v>
      </c>
    </row>
    <row r="255" spans="1:2" x14ac:dyDescent="0.3">
      <c r="A255">
        <v>80</v>
      </c>
      <c r="B255">
        <v>5547</v>
      </c>
    </row>
    <row r="256" spans="1:2" x14ac:dyDescent="0.3">
      <c r="A256">
        <v>80</v>
      </c>
      <c r="B256">
        <v>6122</v>
      </c>
    </row>
    <row r="257" spans="1:2" x14ac:dyDescent="0.3">
      <c r="A257">
        <v>80</v>
      </c>
      <c r="B257">
        <v>6279</v>
      </c>
    </row>
    <row r="258" spans="1:2" x14ac:dyDescent="0.3">
      <c r="A258">
        <v>80</v>
      </c>
      <c r="B258">
        <v>5991</v>
      </c>
    </row>
    <row r="259" spans="1:2" x14ac:dyDescent="0.3">
      <c r="A259">
        <v>80</v>
      </c>
      <c r="B259">
        <v>6159</v>
      </c>
    </row>
    <row r="260" spans="1:2" x14ac:dyDescent="0.3">
      <c r="A260">
        <v>80</v>
      </c>
      <c r="B260">
        <v>6346</v>
      </c>
    </row>
    <row r="261" spans="1:2" x14ac:dyDescent="0.3">
      <c r="A261">
        <v>80</v>
      </c>
      <c r="B261">
        <v>6445</v>
      </c>
    </row>
    <row r="262" spans="1:2" x14ac:dyDescent="0.3">
      <c r="A262">
        <v>80</v>
      </c>
      <c r="B262">
        <v>6542</v>
      </c>
    </row>
    <row r="263" spans="1:2" x14ac:dyDescent="0.3">
      <c r="A263">
        <v>80</v>
      </c>
      <c r="B263">
        <v>6182</v>
      </c>
    </row>
    <row r="264" spans="1:2" x14ac:dyDescent="0.3">
      <c r="A264">
        <v>81</v>
      </c>
      <c r="B264">
        <v>6436</v>
      </c>
    </row>
    <row r="265" spans="1:2" x14ac:dyDescent="0.3">
      <c r="A265">
        <v>81</v>
      </c>
      <c r="B265">
        <v>5811</v>
      </c>
    </row>
    <row r="266" spans="1:2" x14ac:dyDescent="0.3">
      <c r="A266">
        <v>81</v>
      </c>
      <c r="B266">
        <v>5947</v>
      </c>
    </row>
    <row r="267" spans="1:2" x14ac:dyDescent="0.3">
      <c r="A267">
        <v>81</v>
      </c>
      <c r="B267">
        <v>6586</v>
      </c>
    </row>
    <row r="268" spans="1:2" x14ac:dyDescent="0.3">
      <c r="A268">
        <v>81</v>
      </c>
      <c r="B268">
        <v>6152</v>
      </c>
    </row>
    <row r="269" spans="1:2" x14ac:dyDescent="0.3">
      <c r="A269">
        <v>81</v>
      </c>
      <c r="B269">
        <v>6212</v>
      </c>
    </row>
    <row r="270" spans="1:2" x14ac:dyDescent="0.3">
      <c r="A270">
        <v>81</v>
      </c>
      <c r="B270">
        <v>6423</v>
      </c>
    </row>
    <row r="271" spans="1:2" x14ac:dyDescent="0.3">
      <c r="A271">
        <v>81</v>
      </c>
      <c r="B271">
        <v>6236</v>
      </c>
    </row>
    <row r="272" spans="1:2" x14ac:dyDescent="0.3">
      <c r="A272">
        <v>81</v>
      </c>
      <c r="B272">
        <v>6232</v>
      </c>
    </row>
    <row r="273" spans="1:2" x14ac:dyDescent="0.3">
      <c r="A273">
        <v>82</v>
      </c>
      <c r="B273">
        <v>6497</v>
      </c>
    </row>
    <row r="274" spans="1:2" x14ac:dyDescent="0.3">
      <c r="A274">
        <v>82</v>
      </c>
      <c r="B274">
        <v>6615</v>
      </c>
    </row>
    <row r="275" spans="1:2" x14ac:dyDescent="0.3">
      <c r="A275">
        <v>82</v>
      </c>
      <c r="B275">
        <v>6402</v>
      </c>
    </row>
    <row r="276" spans="1:2" x14ac:dyDescent="0.3">
      <c r="A276">
        <v>82</v>
      </c>
      <c r="B276">
        <v>6341</v>
      </c>
    </row>
    <row r="277" spans="1:2" x14ac:dyDescent="0.3">
      <c r="A277">
        <v>82</v>
      </c>
      <c r="B277">
        <v>6185</v>
      </c>
    </row>
    <row r="278" spans="1:2" x14ac:dyDescent="0.3">
      <c r="A278">
        <v>82</v>
      </c>
      <c r="B278">
        <v>6549</v>
      </c>
    </row>
    <row r="279" spans="1:2" x14ac:dyDescent="0.3">
      <c r="A279">
        <v>82</v>
      </c>
      <c r="B279">
        <v>6439</v>
      </c>
    </row>
    <row r="280" spans="1:2" x14ac:dyDescent="0.3">
      <c r="A280">
        <v>82</v>
      </c>
      <c r="B280">
        <v>6606</v>
      </c>
    </row>
    <row r="281" spans="1:2" x14ac:dyDescent="0.3">
      <c r="A281">
        <v>82</v>
      </c>
      <c r="B281">
        <v>6486</v>
      </c>
    </row>
    <row r="282" spans="1:2" x14ac:dyDescent="0.3">
      <c r="A282">
        <v>82</v>
      </c>
      <c r="B282">
        <v>6285</v>
      </c>
    </row>
    <row r="283" spans="1:2" x14ac:dyDescent="0.3">
      <c r="A283">
        <v>82</v>
      </c>
      <c r="B283">
        <v>6657</v>
      </c>
    </row>
    <row r="284" spans="1:2" x14ac:dyDescent="0.3">
      <c r="A284">
        <v>83</v>
      </c>
      <c r="B284">
        <v>6554</v>
      </c>
    </row>
    <row r="285" spans="1:2" x14ac:dyDescent="0.3">
      <c r="A285">
        <v>83</v>
      </c>
      <c r="B285">
        <v>6258</v>
      </c>
    </row>
    <row r="286" spans="1:2" x14ac:dyDescent="0.3">
      <c r="A286">
        <v>83</v>
      </c>
      <c r="B286">
        <v>6329</v>
      </c>
    </row>
    <row r="287" spans="1:2" x14ac:dyDescent="0.3">
      <c r="A287">
        <v>83</v>
      </c>
      <c r="B287">
        <v>6438</v>
      </c>
    </row>
    <row r="288" spans="1:2" x14ac:dyDescent="0.3">
      <c r="A288">
        <v>83</v>
      </c>
      <c r="B288">
        <v>6078</v>
      </c>
    </row>
    <row r="289" spans="1:2" x14ac:dyDescent="0.3">
      <c r="A289">
        <v>83</v>
      </c>
      <c r="B289">
        <v>6566</v>
      </c>
    </row>
    <row r="290" spans="1:2" x14ac:dyDescent="0.3">
      <c r="A290">
        <v>84</v>
      </c>
      <c r="B290">
        <v>6661</v>
      </c>
    </row>
    <row r="291" spans="1:2" x14ac:dyDescent="0.3">
      <c r="A291">
        <v>84</v>
      </c>
      <c r="B291">
        <v>6512</v>
      </c>
    </row>
    <row r="292" spans="1:2" x14ac:dyDescent="0.3">
      <c r="A292">
        <v>84</v>
      </c>
      <c r="B292">
        <v>6313</v>
      </c>
    </row>
    <row r="293" spans="1:2" x14ac:dyDescent="0.3">
      <c r="A293">
        <v>84</v>
      </c>
      <c r="B293">
        <v>6335</v>
      </c>
    </row>
    <row r="294" spans="1:2" x14ac:dyDescent="0.3">
      <c r="A294">
        <v>84</v>
      </c>
      <c r="B294">
        <v>6540</v>
      </c>
    </row>
    <row r="295" spans="1:2" x14ac:dyDescent="0.3">
      <c r="A295">
        <v>84</v>
      </c>
      <c r="B295">
        <v>6541</v>
      </c>
    </row>
    <row r="296" spans="1:2" x14ac:dyDescent="0.3">
      <c r="A296">
        <v>84</v>
      </c>
      <c r="B296">
        <v>6828</v>
      </c>
    </row>
    <row r="297" spans="1:2" x14ac:dyDescent="0.3">
      <c r="A297">
        <v>84</v>
      </c>
      <c r="B297">
        <v>6410</v>
      </c>
    </row>
    <row r="298" spans="1:2" x14ac:dyDescent="0.3">
      <c r="A298">
        <v>84</v>
      </c>
      <c r="B298">
        <v>6626</v>
      </c>
    </row>
    <row r="299" spans="1:2" x14ac:dyDescent="0.3">
      <c r="A299">
        <v>84</v>
      </c>
      <c r="B299">
        <v>6363</v>
      </c>
    </row>
    <row r="300" spans="1:2" x14ac:dyDescent="0.3">
      <c r="A300">
        <v>84</v>
      </c>
      <c r="B300">
        <v>6758</v>
      </c>
    </row>
    <row r="301" spans="1:2" x14ac:dyDescent="0.3">
      <c r="A301">
        <v>84</v>
      </c>
      <c r="B301">
        <v>6854</v>
      </c>
    </row>
    <row r="302" spans="1:2" x14ac:dyDescent="0.3">
      <c r="A302">
        <v>84</v>
      </c>
      <c r="B302">
        <v>6520</v>
      </c>
    </row>
    <row r="303" spans="1:2" x14ac:dyDescent="0.3">
      <c r="A303">
        <v>85</v>
      </c>
      <c r="B303">
        <v>6793</v>
      </c>
    </row>
    <row r="304" spans="1:2" x14ac:dyDescent="0.3">
      <c r="A304">
        <v>85</v>
      </c>
      <c r="B304">
        <v>6788</v>
      </c>
    </row>
    <row r="305" spans="1:2" x14ac:dyDescent="0.3">
      <c r="A305">
        <v>85</v>
      </c>
      <c r="B305">
        <v>6971</v>
      </c>
    </row>
    <row r="306" spans="1:2" x14ac:dyDescent="0.3">
      <c r="A306">
        <v>85</v>
      </c>
      <c r="B306">
        <v>6422</v>
      </c>
    </row>
    <row r="307" spans="1:2" x14ac:dyDescent="0.3">
      <c r="A307">
        <v>85</v>
      </c>
      <c r="B307">
        <v>6182</v>
      </c>
    </row>
    <row r="308" spans="1:2" x14ac:dyDescent="0.3">
      <c r="A308">
        <v>85</v>
      </c>
      <c r="B308">
        <v>6828</v>
      </c>
    </row>
    <row r="309" spans="1:2" x14ac:dyDescent="0.3">
      <c r="A309">
        <v>85</v>
      </c>
      <c r="B309">
        <v>6299</v>
      </c>
    </row>
    <row r="310" spans="1:2" x14ac:dyDescent="0.3">
      <c r="A310">
        <v>85</v>
      </c>
      <c r="B310">
        <v>6496</v>
      </c>
    </row>
    <row r="311" spans="1:2" x14ac:dyDescent="0.3">
      <c r="A311">
        <v>85</v>
      </c>
      <c r="B311">
        <v>6599</v>
      </c>
    </row>
    <row r="312" spans="1:2" x14ac:dyDescent="0.3">
      <c r="A312">
        <v>85</v>
      </c>
      <c r="B312">
        <v>7030</v>
      </c>
    </row>
    <row r="313" spans="1:2" x14ac:dyDescent="0.3">
      <c r="A313">
        <v>85</v>
      </c>
      <c r="B313">
        <v>6431</v>
      </c>
    </row>
    <row r="314" spans="1:2" x14ac:dyDescent="0.3">
      <c r="A314">
        <v>86</v>
      </c>
      <c r="B314">
        <v>6959</v>
      </c>
    </row>
    <row r="315" spans="1:2" x14ac:dyDescent="0.3">
      <c r="A315">
        <v>86</v>
      </c>
      <c r="B315">
        <v>6835</v>
      </c>
    </row>
    <row r="316" spans="1:2" x14ac:dyDescent="0.3">
      <c r="A316">
        <v>86</v>
      </c>
      <c r="B316">
        <v>6966</v>
      </c>
    </row>
    <row r="317" spans="1:2" x14ac:dyDescent="0.3">
      <c r="A317">
        <v>86</v>
      </c>
      <c r="B317">
        <v>7146</v>
      </c>
    </row>
    <row r="318" spans="1:2" x14ac:dyDescent="0.3">
      <c r="A318">
        <v>86</v>
      </c>
      <c r="B318">
        <v>6990</v>
      </c>
    </row>
    <row r="319" spans="1:2" x14ac:dyDescent="0.3">
      <c r="A319">
        <v>86</v>
      </c>
      <c r="B319">
        <v>6919</v>
      </c>
    </row>
    <row r="320" spans="1:2" x14ac:dyDescent="0.3">
      <c r="A320">
        <v>86</v>
      </c>
      <c r="B320">
        <v>6797</v>
      </c>
    </row>
    <row r="321" spans="1:2" x14ac:dyDescent="0.3">
      <c r="A321">
        <v>86</v>
      </c>
      <c r="B321">
        <v>6485</v>
      </c>
    </row>
    <row r="322" spans="1:2" x14ac:dyDescent="0.3">
      <c r="A322">
        <v>87</v>
      </c>
      <c r="B322">
        <v>7043</v>
      </c>
    </row>
    <row r="323" spans="1:2" x14ac:dyDescent="0.3">
      <c r="A323">
        <v>87</v>
      </c>
      <c r="B323">
        <v>6848</v>
      </c>
    </row>
    <row r="324" spans="1:2" x14ac:dyDescent="0.3">
      <c r="A324">
        <v>87</v>
      </c>
      <c r="B324">
        <v>7029</v>
      </c>
    </row>
    <row r="325" spans="1:2" x14ac:dyDescent="0.3">
      <c r="A325">
        <v>87</v>
      </c>
      <c r="B325">
        <v>6519</v>
      </c>
    </row>
    <row r="326" spans="1:2" x14ac:dyDescent="0.3">
      <c r="A326">
        <v>87</v>
      </c>
      <c r="B326">
        <v>6800</v>
      </c>
    </row>
    <row r="327" spans="1:2" x14ac:dyDescent="0.3">
      <c r="A327">
        <v>87</v>
      </c>
      <c r="B327">
        <v>7064</v>
      </c>
    </row>
    <row r="328" spans="1:2" x14ac:dyDescent="0.3">
      <c r="A328">
        <v>88</v>
      </c>
      <c r="B328">
        <v>6967</v>
      </c>
    </row>
    <row r="329" spans="1:2" x14ac:dyDescent="0.3">
      <c r="A329">
        <v>88</v>
      </c>
      <c r="B329">
        <v>7469</v>
      </c>
    </row>
    <row r="330" spans="1:2" x14ac:dyDescent="0.3">
      <c r="A330">
        <v>88</v>
      </c>
      <c r="B330">
        <v>6978</v>
      </c>
    </row>
    <row r="331" spans="1:2" x14ac:dyDescent="0.3">
      <c r="A331">
        <v>89</v>
      </c>
      <c r="B331">
        <v>7316</v>
      </c>
    </row>
    <row r="332" spans="1:2" x14ac:dyDescent="0.3">
      <c r="A332">
        <v>89</v>
      </c>
      <c r="B332">
        <v>7151</v>
      </c>
    </row>
    <row r="333" spans="1:2" x14ac:dyDescent="0.3">
      <c r="A333">
        <v>89</v>
      </c>
      <c r="B333">
        <v>7332</v>
      </c>
    </row>
    <row r="334" spans="1:2" x14ac:dyDescent="0.3">
      <c r="A334">
        <v>89</v>
      </c>
      <c r="B334">
        <v>7409</v>
      </c>
    </row>
    <row r="335" spans="1:2" x14ac:dyDescent="0.3">
      <c r="A335">
        <v>90</v>
      </c>
      <c r="B335">
        <v>7112</v>
      </c>
    </row>
    <row r="336" spans="1:2" x14ac:dyDescent="0.3">
      <c r="A336">
        <v>90</v>
      </c>
      <c r="B336">
        <v>6758</v>
      </c>
    </row>
    <row r="337" spans="1:2" x14ac:dyDescent="0.3">
      <c r="A337">
        <v>90</v>
      </c>
      <c r="B337">
        <v>7739</v>
      </c>
    </row>
    <row r="338" spans="1:2" x14ac:dyDescent="0.3">
      <c r="A338">
        <v>90</v>
      </c>
      <c r="B338">
        <v>7511</v>
      </c>
    </row>
    <row r="339" spans="1:2" x14ac:dyDescent="0.3">
      <c r="A339">
        <v>90</v>
      </c>
      <c r="B339">
        <v>7480</v>
      </c>
    </row>
    <row r="340" spans="1:2" x14ac:dyDescent="0.3">
      <c r="A340">
        <v>90</v>
      </c>
      <c r="B340">
        <v>7394</v>
      </c>
    </row>
    <row r="341" spans="1:2" x14ac:dyDescent="0.3">
      <c r="A341">
        <v>90</v>
      </c>
      <c r="B341">
        <v>7594</v>
      </c>
    </row>
    <row r="342" spans="1:2" x14ac:dyDescent="0.3">
      <c r="A342">
        <v>91</v>
      </c>
      <c r="B342">
        <v>7931</v>
      </c>
    </row>
    <row r="343" spans="1:2" x14ac:dyDescent="0.3">
      <c r="A343">
        <v>91</v>
      </c>
      <c r="B343">
        <v>8181</v>
      </c>
    </row>
    <row r="344" spans="1:2" x14ac:dyDescent="0.3">
      <c r="A344">
        <v>91</v>
      </c>
      <c r="B344">
        <v>7558</v>
      </c>
    </row>
    <row r="345" spans="1:2" x14ac:dyDescent="0.3">
      <c r="A345">
        <v>92</v>
      </c>
      <c r="B345">
        <v>7820</v>
      </c>
    </row>
    <row r="346" spans="1:2" x14ac:dyDescent="0.3">
      <c r="A346">
        <v>92</v>
      </c>
      <c r="B346">
        <v>7560</v>
      </c>
    </row>
    <row r="347" spans="1:2" x14ac:dyDescent="0.3">
      <c r="A347">
        <v>92</v>
      </c>
      <c r="B347">
        <v>7504</v>
      </c>
    </row>
    <row r="348" spans="1:2" x14ac:dyDescent="0.3">
      <c r="A348">
        <v>92</v>
      </c>
      <c r="B348">
        <v>7741</v>
      </c>
    </row>
    <row r="349" spans="1:2" x14ac:dyDescent="0.3">
      <c r="A349">
        <v>93</v>
      </c>
      <c r="B349">
        <v>7976</v>
      </c>
    </row>
    <row r="350" spans="1:2" x14ac:dyDescent="0.3">
      <c r="A350">
        <v>93</v>
      </c>
      <c r="B350">
        <v>7718</v>
      </c>
    </row>
    <row r="351" spans="1:2" x14ac:dyDescent="0.3">
      <c r="A351">
        <v>94</v>
      </c>
      <c r="B351">
        <v>8094</v>
      </c>
    </row>
    <row r="352" spans="1:2" x14ac:dyDescent="0.3">
      <c r="A352">
        <v>94</v>
      </c>
      <c r="B352">
        <v>7570</v>
      </c>
    </row>
    <row r="353" spans="1:2" x14ac:dyDescent="0.3">
      <c r="A353">
        <v>95</v>
      </c>
      <c r="B353">
        <v>7820</v>
      </c>
    </row>
    <row r="354" spans="1:2" x14ac:dyDescent="0.3">
      <c r="A354">
        <v>95</v>
      </c>
      <c r="B354">
        <v>8075</v>
      </c>
    </row>
    <row r="355" spans="1:2" x14ac:dyDescent="0.3">
      <c r="A355">
        <v>95</v>
      </c>
      <c r="B355">
        <v>8097</v>
      </c>
    </row>
    <row r="356" spans="1:2" x14ac:dyDescent="0.3">
      <c r="A356">
        <v>95</v>
      </c>
      <c r="B356">
        <v>8098</v>
      </c>
    </row>
    <row r="357" spans="1:2" x14ac:dyDescent="0.3">
      <c r="A357">
        <v>96</v>
      </c>
      <c r="B357">
        <v>8002</v>
      </c>
    </row>
    <row r="358" spans="1:2" x14ac:dyDescent="0.3">
      <c r="A358">
        <v>96</v>
      </c>
      <c r="B358">
        <v>8283</v>
      </c>
    </row>
    <row r="359" spans="1:2" x14ac:dyDescent="0.3">
      <c r="A359">
        <v>96</v>
      </c>
      <c r="B359">
        <v>8095</v>
      </c>
    </row>
    <row r="360" spans="1:2" x14ac:dyDescent="0.3">
      <c r="A360">
        <v>97</v>
      </c>
      <c r="B360">
        <v>8250</v>
      </c>
    </row>
    <row r="361" spans="1:2" x14ac:dyDescent="0.3">
      <c r="A361">
        <v>98</v>
      </c>
      <c r="B361">
        <v>8412</v>
      </c>
    </row>
    <row r="362" spans="1:2" x14ac:dyDescent="0.3">
      <c r="A362">
        <v>99</v>
      </c>
      <c r="B362">
        <v>8513</v>
      </c>
    </row>
    <row r="363" spans="1:2" x14ac:dyDescent="0.3">
      <c r="A363">
        <v>99</v>
      </c>
      <c r="B363">
        <v>8708</v>
      </c>
    </row>
    <row r="364" spans="1:2" x14ac:dyDescent="0.3">
      <c r="A364">
        <v>99</v>
      </c>
      <c r="B364">
        <v>8929</v>
      </c>
    </row>
    <row r="365" spans="1:2" x14ac:dyDescent="0.3">
      <c r="A365">
        <v>101</v>
      </c>
      <c r="B365">
        <v>8191</v>
      </c>
    </row>
    <row r="366" spans="1:2" x14ac:dyDescent="0.3">
      <c r="A366">
        <v>101</v>
      </c>
      <c r="B366">
        <v>8502</v>
      </c>
    </row>
  </sheetData>
  <mergeCells count="1">
    <mergeCell ref="F12:F13"/>
  </mergeCell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I372"/>
  <sheetViews>
    <sheetView zoomScaleNormal="100" workbookViewId="0">
      <selection activeCell="L4" sqref="L4"/>
    </sheetView>
  </sheetViews>
  <sheetFormatPr defaultRowHeight="14.4" x14ac:dyDescent="0.3"/>
  <cols>
    <col min="1" max="1" width="18.21875" customWidth="1"/>
    <col min="2" max="2" width="24.44140625" customWidth="1"/>
    <col min="5" max="5" width="12.21875" customWidth="1"/>
    <col min="6" max="6" width="18.77734375" customWidth="1"/>
    <col min="8" max="8" width="17" customWidth="1"/>
    <col min="9" max="9" width="16.6640625" customWidth="1"/>
  </cols>
  <sheetData>
    <row r="1" spans="1:9" x14ac:dyDescent="0.3">
      <c r="A1" t="s">
        <v>8</v>
      </c>
      <c r="B1" t="s">
        <v>9</v>
      </c>
      <c r="E1" s="7" t="s">
        <v>21</v>
      </c>
      <c r="F1" s="7" t="s">
        <v>22</v>
      </c>
    </row>
    <row r="2" spans="1:9" x14ac:dyDescent="0.3">
      <c r="A2">
        <v>39</v>
      </c>
      <c r="B2">
        <v>1317</v>
      </c>
      <c r="E2" s="6" t="s">
        <v>23</v>
      </c>
      <c r="F2" s="6" t="s">
        <v>23</v>
      </c>
      <c r="H2" s="41" t="s">
        <v>24</v>
      </c>
      <c r="I2" s="41"/>
    </row>
    <row r="3" spans="1:9" x14ac:dyDescent="0.3">
      <c r="A3">
        <v>40</v>
      </c>
      <c r="B3">
        <v>1188</v>
      </c>
      <c r="E3" s="6" t="s">
        <v>23</v>
      </c>
      <c r="F3" s="6" t="s">
        <v>23</v>
      </c>
      <c r="H3" s="7" t="s">
        <v>21</v>
      </c>
      <c r="I3" s="7" t="s">
        <v>22</v>
      </c>
    </row>
    <row r="4" spans="1:9" x14ac:dyDescent="0.3">
      <c r="A4">
        <v>41</v>
      </c>
      <c r="B4">
        <v>1882</v>
      </c>
      <c r="E4" s="6" t="s">
        <v>23</v>
      </c>
      <c r="F4" s="6" t="s">
        <v>23</v>
      </c>
      <c r="H4" s="6">
        <f>SQRT(SUMX2MY2(B5:B366,E5:E366)/COUNT(E5:E366))</f>
        <v>650.205012293084</v>
      </c>
      <c r="I4" s="6">
        <f>SQRT(SUMX2MY2(B8:B366,F8:F366)/COUNT(F8:F366))</f>
        <v>857.04649288270798</v>
      </c>
    </row>
    <row r="5" spans="1:9" x14ac:dyDescent="0.3">
      <c r="A5">
        <v>42</v>
      </c>
      <c r="B5">
        <v>1865</v>
      </c>
      <c r="E5" s="6">
        <f>AVERAGE(B2:B4)</f>
        <v>1462.3333333333333</v>
      </c>
      <c r="F5" s="6" t="s">
        <v>23</v>
      </c>
    </row>
    <row r="6" spans="1:9" x14ac:dyDescent="0.3">
      <c r="A6">
        <v>43</v>
      </c>
      <c r="B6">
        <v>1702</v>
      </c>
      <c r="E6" s="6">
        <f t="shared" ref="E6:E69" si="0">AVERAGE(B3:B5)</f>
        <v>1645</v>
      </c>
      <c r="F6" s="6" t="s">
        <v>23</v>
      </c>
    </row>
    <row r="7" spans="1:9" x14ac:dyDescent="0.3">
      <c r="A7">
        <v>43</v>
      </c>
      <c r="B7">
        <v>1588</v>
      </c>
      <c r="E7" s="6">
        <f t="shared" si="0"/>
        <v>1816.3333333333333</v>
      </c>
      <c r="F7" s="6" t="s">
        <v>23</v>
      </c>
    </row>
    <row r="8" spans="1:9" x14ac:dyDescent="0.3">
      <c r="A8">
        <v>44</v>
      </c>
      <c r="B8">
        <v>1907</v>
      </c>
      <c r="E8" s="6">
        <f t="shared" si="0"/>
        <v>1718.3333333333333</v>
      </c>
      <c r="F8" s="6">
        <f>AVERAGE(B2:B7)</f>
        <v>1590.3333333333333</v>
      </c>
    </row>
    <row r="9" spans="1:9" x14ac:dyDescent="0.3">
      <c r="A9">
        <v>44</v>
      </c>
      <c r="B9">
        <v>1957</v>
      </c>
      <c r="E9" s="6">
        <f t="shared" si="0"/>
        <v>1732.3333333333333</v>
      </c>
      <c r="F9" s="6">
        <f t="shared" ref="F9:F72" si="1">AVERAGE(B3:B8)</f>
        <v>1688.6666666666667</v>
      </c>
    </row>
    <row r="10" spans="1:9" x14ac:dyDescent="0.3">
      <c r="A10">
        <v>45</v>
      </c>
      <c r="B10">
        <v>2162</v>
      </c>
      <c r="E10" s="6">
        <f t="shared" si="0"/>
        <v>1817.3333333333333</v>
      </c>
      <c r="F10" s="6">
        <f t="shared" si="1"/>
        <v>1816.8333333333333</v>
      </c>
    </row>
    <row r="11" spans="1:9" x14ac:dyDescent="0.3">
      <c r="A11">
        <v>45</v>
      </c>
      <c r="B11">
        <v>2234</v>
      </c>
      <c r="E11" s="6">
        <f t="shared" si="0"/>
        <v>2008.6666666666667</v>
      </c>
      <c r="F11" s="6">
        <f t="shared" si="1"/>
        <v>1863.5</v>
      </c>
    </row>
    <row r="12" spans="1:9" x14ac:dyDescent="0.3">
      <c r="A12">
        <v>45</v>
      </c>
      <c r="B12">
        <v>1923</v>
      </c>
      <c r="E12" s="6">
        <f t="shared" si="0"/>
        <v>2117.6666666666665</v>
      </c>
      <c r="F12" s="6">
        <f t="shared" si="1"/>
        <v>1925</v>
      </c>
    </row>
    <row r="13" spans="1:9" x14ac:dyDescent="0.3">
      <c r="A13">
        <v>46</v>
      </c>
      <c r="B13">
        <v>2125</v>
      </c>
      <c r="E13" s="6">
        <f t="shared" si="0"/>
        <v>2106.3333333333335</v>
      </c>
      <c r="F13" s="6">
        <f t="shared" si="1"/>
        <v>1961.8333333333333</v>
      </c>
    </row>
    <row r="14" spans="1:9" x14ac:dyDescent="0.3">
      <c r="A14">
        <v>46</v>
      </c>
      <c r="B14">
        <v>1981</v>
      </c>
      <c r="E14" s="6">
        <f t="shared" si="0"/>
        <v>2094</v>
      </c>
      <c r="F14" s="6">
        <f t="shared" si="1"/>
        <v>2051.3333333333335</v>
      </c>
    </row>
    <row r="15" spans="1:9" x14ac:dyDescent="0.3">
      <c r="A15">
        <v>47</v>
      </c>
      <c r="B15">
        <v>2212</v>
      </c>
      <c r="E15" s="6">
        <f t="shared" si="0"/>
        <v>2009.6666666666667</v>
      </c>
      <c r="F15" s="6">
        <f t="shared" si="1"/>
        <v>2063.6666666666665</v>
      </c>
    </row>
    <row r="16" spans="1:9" x14ac:dyDescent="0.3">
      <c r="A16">
        <v>48</v>
      </c>
      <c r="B16">
        <v>2422</v>
      </c>
      <c r="E16" s="6">
        <f t="shared" si="0"/>
        <v>2106</v>
      </c>
      <c r="F16" s="6">
        <f t="shared" si="1"/>
        <v>2106.1666666666665</v>
      </c>
    </row>
    <row r="17" spans="1:6" x14ac:dyDescent="0.3">
      <c r="A17">
        <v>48</v>
      </c>
      <c r="B17">
        <v>2468</v>
      </c>
      <c r="E17" s="6">
        <f t="shared" si="0"/>
        <v>2205</v>
      </c>
      <c r="F17" s="6">
        <f t="shared" si="1"/>
        <v>2149.5</v>
      </c>
    </row>
    <row r="18" spans="1:6" x14ac:dyDescent="0.3">
      <c r="A18">
        <v>48</v>
      </c>
      <c r="B18">
        <v>2378</v>
      </c>
      <c r="E18" s="6">
        <f t="shared" si="0"/>
        <v>2367.3333333333335</v>
      </c>
      <c r="F18" s="6">
        <f t="shared" si="1"/>
        <v>2188.5</v>
      </c>
    </row>
    <row r="19" spans="1:6" x14ac:dyDescent="0.3">
      <c r="A19">
        <v>48</v>
      </c>
      <c r="B19">
        <v>2641</v>
      </c>
      <c r="E19" s="6">
        <f t="shared" si="0"/>
        <v>2422.6666666666665</v>
      </c>
      <c r="F19" s="6">
        <f t="shared" si="1"/>
        <v>2264.3333333333335</v>
      </c>
    </row>
    <row r="20" spans="1:6" x14ac:dyDescent="0.3">
      <c r="A20">
        <v>48</v>
      </c>
      <c r="B20">
        <v>2501</v>
      </c>
      <c r="E20" s="6">
        <f t="shared" si="0"/>
        <v>2495.6666666666665</v>
      </c>
      <c r="F20" s="6">
        <f t="shared" si="1"/>
        <v>2350.3333333333335</v>
      </c>
    </row>
    <row r="21" spans="1:6" x14ac:dyDescent="0.3">
      <c r="A21">
        <v>48</v>
      </c>
      <c r="B21">
        <v>2229</v>
      </c>
      <c r="E21" s="6">
        <f t="shared" si="0"/>
        <v>2506.6666666666665</v>
      </c>
      <c r="F21" s="6">
        <f t="shared" si="1"/>
        <v>2437</v>
      </c>
    </row>
    <row r="22" spans="1:6" x14ac:dyDescent="0.3">
      <c r="A22">
        <v>49</v>
      </c>
      <c r="B22">
        <v>2781</v>
      </c>
      <c r="E22" s="6">
        <f t="shared" si="0"/>
        <v>2457</v>
      </c>
      <c r="F22" s="6">
        <f t="shared" si="1"/>
        <v>2439.8333333333335</v>
      </c>
    </row>
    <row r="23" spans="1:6" x14ac:dyDescent="0.3">
      <c r="A23">
        <v>49</v>
      </c>
      <c r="B23">
        <v>2354</v>
      </c>
      <c r="E23" s="6">
        <f t="shared" si="0"/>
        <v>2503.6666666666665</v>
      </c>
      <c r="F23" s="6">
        <f t="shared" si="1"/>
        <v>2499.6666666666665</v>
      </c>
    </row>
    <row r="24" spans="1:6" x14ac:dyDescent="0.3">
      <c r="A24">
        <v>50</v>
      </c>
      <c r="B24">
        <v>2289</v>
      </c>
      <c r="E24" s="6">
        <f t="shared" si="0"/>
        <v>2454.6666666666665</v>
      </c>
      <c r="F24" s="6">
        <f t="shared" si="1"/>
        <v>2480.6666666666665</v>
      </c>
    </row>
    <row r="25" spans="1:6" x14ac:dyDescent="0.3">
      <c r="A25">
        <v>50</v>
      </c>
      <c r="B25">
        <v>2568</v>
      </c>
      <c r="E25" s="6">
        <f t="shared" si="0"/>
        <v>2474.6666666666665</v>
      </c>
      <c r="F25" s="6">
        <f t="shared" si="1"/>
        <v>2465.8333333333335</v>
      </c>
    </row>
    <row r="26" spans="1:6" x14ac:dyDescent="0.3">
      <c r="A26">
        <v>50</v>
      </c>
      <c r="B26">
        <v>2729</v>
      </c>
      <c r="E26" s="6">
        <f t="shared" si="0"/>
        <v>2403.6666666666665</v>
      </c>
      <c r="F26" s="6">
        <f t="shared" si="1"/>
        <v>2453.6666666666665</v>
      </c>
    </row>
    <row r="27" spans="1:6" x14ac:dyDescent="0.3">
      <c r="A27">
        <v>50</v>
      </c>
      <c r="B27">
        <v>2764</v>
      </c>
      <c r="E27" s="6">
        <f t="shared" si="0"/>
        <v>2528.6666666666665</v>
      </c>
      <c r="F27" s="6">
        <f t="shared" si="1"/>
        <v>2491.6666666666665</v>
      </c>
    </row>
    <row r="28" spans="1:6" x14ac:dyDescent="0.3">
      <c r="A28">
        <v>50</v>
      </c>
      <c r="B28">
        <v>2731</v>
      </c>
      <c r="E28" s="6">
        <f t="shared" si="0"/>
        <v>2687</v>
      </c>
      <c r="F28" s="6">
        <f t="shared" si="1"/>
        <v>2580.8333333333335</v>
      </c>
    </row>
    <row r="29" spans="1:6" x14ac:dyDescent="0.3">
      <c r="A29">
        <v>51</v>
      </c>
      <c r="B29">
        <v>2193</v>
      </c>
      <c r="E29" s="6">
        <f t="shared" si="0"/>
        <v>2741.3333333333335</v>
      </c>
      <c r="F29" s="6">
        <f t="shared" si="1"/>
        <v>2572.5</v>
      </c>
    </row>
    <row r="30" spans="1:6" x14ac:dyDescent="0.3">
      <c r="A30">
        <v>51</v>
      </c>
      <c r="B30">
        <v>3218</v>
      </c>
      <c r="E30" s="6">
        <f t="shared" si="0"/>
        <v>2562.6666666666665</v>
      </c>
      <c r="F30" s="6">
        <f t="shared" si="1"/>
        <v>2545.6666666666665</v>
      </c>
    </row>
    <row r="31" spans="1:6" x14ac:dyDescent="0.3">
      <c r="A31">
        <v>52</v>
      </c>
      <c r="B31">
        <v>3067</v>
      </c>
      <c r="E31" s="6">
        <f t="shared" si="0"/>
        <v>2714</v>
      </c>
      <c r="F31" s="6">
        <f t="shared" si="1"/>
        <v>2700.5</v>
      </c>
    </row>
    <row r="32" spans="1:6" x14ac:dyDescent="0.3">
      <c r="A32">
        <v>52</v>
      </c>
      <c r="B32">
        <v>2805</v>
      </c>
      <c r="E32" s="6">
        <f t="shared" si="0"/>
        <v>2826</v>
      </c>
      <c r="F32" s="6">
        <f t="shared" si="1"/>
        <v>2783.6666666666665</v>
      </c>
    </row>
    <row r="33" spans="1:6" x14ac:dyDescent="0.3">
      <c r="A33">
        <v>52</v>
      </c>
      <c r="B33">
        <v>2882</v>
      </c>
      <c r="E33" s="6">
        <f t="shared" si="0"/>
        <v>3030</v>
      </c>
      <c r="F33" s="6">
        <f t="shared" si="1"/>
        <v>2796.3333333333335</v>
      </c>
    </row>
    <row r="34" spans="1:6" x14ac:dyDescent="0.3">
      <c r="A34">
        <v>52</v>
      </c>
      <c r="B34">
        <v>2787</v>
      </c>
      <c r="E34" s="6">
        <f t="shared" si="0"/>
        <v>2918</v>
      </c>
      <c r="F34" s="6">
        <f t="shared" si="1"/>
        <v>2816</v>
      </c>
    </row>
    <row r="35" spans="1:6" x14ac:dyDescent="0.3">
      <c r="A35">
        <v>52</v>
      </c>
      <c r="B35">
        <v>2939</v>
      </c>
      <c r="E35" s="6">
        <f t="shared" si="0"/>
        <v>2824.6666666666665</v>
      </c>
      <c r="F35" s="6">
        <f t="shared" si="1"/>
        <v>2825.3333333333335</v>
      </c>
    </row>
    <row r="36" spans="1:6" x14ac:dyDescent="0.3">
      <c r="A36">
        <v>53</v>
      </c>
      <c r="B36">
        <v>3260</v>
      </c>
      <c r="E36" s="6">
        <f t="shared" si="0"/>
        <v>2869.3333333333335</v>
      </c>
      <c r="F36" s="6">
        <f t="shared" si="1"/>
        <v>2949.6666666666665</v>
      </c>
    </row>
    <row r="37" spans="1:6" x14ac:dyDescent="0.3">
      <c r="A37">
        <v>53</v>
      </c>
      <c r="B37">
        <v>3162</v>
      </c>
      <c r="E37" s="6">
        <f t="shared" si="0"/>
        <v>2995.3333333333335</v>
      </c>
      <c r="F37" s="6">
        <f t="shared" si="1"/>
        <v>2956.6666666666665</v>
      </c>
    </row>
    <row r="38" spans="1:6" x14ac:dyDescent="0.3">
      <c r="A38">
        <v>53</v>
      </c>
      <c r="B38">
        <v>2571</v>
      </c>
      <c r="E38" s="6">
        <f t="shared" si="0"/>
        <v>3120.3333333333335</v>
      </c>
      <c r="F38" s="6">
        <f t="shared" si="1"/>
        <v>2972.5</v>
      </c>
    </row>
    <row r="39" spans="1:6" x14ac:dyDescent="0.3">
      <c r="A39">
        <v>53</v>
      </c>
      <c r="B39">
        <v>2848</v>
      </c>
      <c r="E39" s="6">
        <f t="shared" si="0"/>
        <v>2997.6666666666665</v>
      </c>
      <c r="F39" s="6">
        <f t="shared" si="1"/>
        <v>2933.5</v>
      </c>
    </row>
    <row r="40" spans="1:6" x14ac:dyDescent="0.3">
      <c r="A40">
        <v>54</v>
      </c>
      <c r="B40">
        <v>3009</v>
      </c>
      <c r="E40" s="6">
        <f t="shared" si="0"/>
        <v>2860.3333333333335</v>
      </c>
      <c r="F40" s="6">
        <f t="shared" si="1"/>
        <v>2927.8333333333335</v>
      </c>
    </row>
    <row r="41" spans="1:6" x14ac:dyDescent="0.3">
      <c r="A41">
        <v>54</v>
      </c>
      <c r="B41">
        <v>3358</v>
      </c>
      <c r="E41" s="6">
        <f t="shared" si="0"/>
        <v>2809.3333333333335</v>
      </c>
      <c r="F41" s="6">
        <f t="shared" si="1"/>
        <v>2964.8333333333335</v>
      </c>
    </row>
    <row r="42" spans="1:6" x14ac:dyDescent="0.3">
      <c r="A42">
        <v>54</v>
      </c>
      <c r="B42">
        <v>2975</v>
      </c>
      <c r="E42" s="6">
        <f t="shared" si="0"/>
        <v>3071.6666666666665</v>
      </c>
      <c r="F42" s="6">
        <f t="shared" si="1"/>
        <v>3034.6666666666665</v>
      </c>
    </row>
    <row r="43" spans="1:6" x14ac:dyDescent="0.3">
      <c r="A43">
        <v>54</v>
      </c>
      <c r="B43">
        <v>3194</v>
      </c>
      <c r="E43" s="6">
        <f t="shared" si="0"/>
        <v>3114</v>
      </c>
      <c r="F43" s="6">
        <f t="shared" si="1"/>
        <v>2987.1666666666665</v>
      </c>
    </row>
    <row r="44" spans="1:6" x14ac:dyDescent="0.3">
      <c r="A44">
        <v>54</v>
      </c>
      <c r="B44">
        <v>3371</v>
      </c>
      <c r="E44" s="6">
        <f t="shared" si="0"/>
        <v>3175.6666666666665</v>
      </c>
      <c r="F44" s="6">
        <f t="shared" si="1"/>
        <v>2992.5</v>
      </c>
    </row>
    <row r="45" spans="1:6" x14ac:dyDescent="0.3">
      <c r="A45">
        <v>54</v>
      </c>
      <c r="B45">
        <v>2837</v>
      </c>
      <c r="E45" s="6">
        <f t="shared" si="0"/>
        <v>3180</v>
      </c>
      <c r="F45" s="6">
        <f t="shared" si="1"/>
        <v>3125.8333333333335</v>
      </c>
    </row>
    <row r="46" spans="1:6" x14ac:dyDescent="0.3">
      <c r="A46">
        <v>54</v>
      </c>
      <c r="B46">
        <v>2741</v>
      </c>
      <c r="E46" s="6">
        <f t="shared" si="0"/>
        <v>3134</v>
      </c>
      <c r="F46" s="6">
        <f t="shared" si="1"/>
        <v>3124</v>
      </c>
    </row>
    <row r="47" spans="1:6" x14ac:dyDescent="0.3">
      <c r="A47">
        <v>54</v>
      </c>
      <c r="B47">
        <v>2799</v>
      </c>
      <c r="E47" s="6">
        <f t="shared" si="0"/>
        <v>2983</v>
      </c>
      <c r="F47" s="6">
        <f t="shared" si="1"/>
        <v>3079.3333333333335</v>
      </c>
    </row>
    <row r="48" spans="1:6" x14ac:dyDescent="0.3">
      <c r="A48">
        <v>54</v>
      </c>
      <c r="B48">
        <v>3037</v>
      </c>
      <c r="E48" s="6">
        <f t="shared" si="0"/>
        <v>2792.3333333333335</v>
      </c>
      <c r="F48" s="6">
        <f t="shared" si="1"/>
        <v>2986.1666666666665</v>
      </c>
    </row>
    <row r="49" spans="1:6" x14ac:dyDescent="0.3">
      <c r="A49">
        <v>55</v>
      </c>
      <c r="B49">
        <v>2768</v>
      </c>
      <c r="E49" s="6">
        <f t="shared" si="0"/>
        <v>2859</v>
      </c>
      <c r="F49" s="6">
        <f t="shared" si="1"/>
        <v>2996.5</v>
      </c>
    </row>
    <row r="50" spans="1:6" x14ac:dyDescent="0.3">
      <c r="A50">
        <v>55</v>
      </c>
      <c r="B50">
        <v>2953</v>
      </c>
      <c r="E50" s="6">
        <f t="shared" si="0"/>
        <v>2868</v>
      </c>
      <c r="F50" s="6">
        <f t="shared" si="1"/>
        <v>2925.5</v>
      </c>
    </row>
    <row r="51" spans="1:6" x14ac:dyDescent="0.3">
      <c r="A51">
        <v>55</v>
      </c>
      <c r="B51">
        <v>3391</v>
      </c>
      <c r="E51" s="6">
        <f t="shared" si="0"/>
        <v>2919.3333333333335</v>
      </c>
      <c r="F51" s="6">
        <f t="shared" si="1"/>
        <v>2855.8333333333335</v>
      </c>
    </row>
    <row r="52" spans="1:6" x14ac:dyDescent="0.3">
      <c r="A52">
        <v>55</v>
      </c>
      <c r="B52">
        <v>3419</v>
      </c>
      <c r="E52" s="6">
        <f t="shared" si="0"/>
        <v>3037.3333333333335</v>
      </c>
      <c r="F52" s="6">
        <f t="shared" si="1"/>
        <v>2948.1666666666665</v>
      </c>
    </row>
    <row r="53" spans="1:6" x14ac:dyDescent="0.3">
      <c r="A53">
        <v>56</v>
      </c>
      <c r="B53">
        <v>3322</v>
      </c>
      <c r="E53" s="6">
        <f t="shared" si="0"/>
        <v>3254.3333333333335</v>
      </c>
      <c r="F53" s="6">
        <f t="shared" si="1"/>
        <v>3061.1666666666665</v>
      </c>
    </row>
    <row r="54" spans="1:6" x14ac:dyDescent="0.3">
      <c r="A54">
        <v>56</v>
      </c>
      <c r="B54">
        <v>3447</v>
      </c>
      <c r="E54" s="6">
        <f t="shared" si="0"/>
        <v>3377.3333333333335</v>
      </c>
      <c r="F54" s="6">
        <f t="shared" si="1"/>
        <v>3148.3333333333335</v>
      </c>
    </row>
    <row r="55" spans="1:6" x14ac:dyDescent="0.3">
      <c r="A55">
        <v>57</v>
      </c>
      <c r="B55">
        <v>3089</v>
      </c>
      <c r="E55" s="6">
        <f t="shared" si="0"/>
        <v>3396</v>
      </c>
      <c r="F55" s="6">
        <f t="shared" si="1"/>
        <v>3216.6666666666665</v>
      </c>
    </row>
    <row r="56" spans="1:6" x14ac:dyDescent="0.3">
      <c r="A56">
        <v>57</v>
      </c>
      <c r="B56">
        <v>3580</v>
      </c>
      <c r="E56" s="6">
        <f t="shared" si="0"/>
        <v>3286</v>
      </c>
      <c r="F56" s="6">
        <f t="shared" si="1"/>
        <v>3270.1666666666665</v>
      </c>
    </row>
    <row r="57" spans="1:6" x14ac:dyDescent="0.3">
      <c r="A57">
        <v>58</v>
      </c>
      <c r="B57">
        <v>3344</v>
      </c>
      <c r="E57" s="6">
        <f t="shared" si="0"/>
        <v>3372</v>
      </c>
      <c r="F57" s="6">
        <f t="shared" si="1"/>
        <v>3374.6666666666665</v>
      </c>
    </row>
    <row r="58" spans="1:6" x14ac:dyDescent="0.3">
      <c r="A58">
        <v>58</v>
      </c>
      <c r="B58">
        <v>3679</v>
      </c>
      <c r="E58" s="6">
        <f t="shared" si="0"/>
        <v>3337.6666666666665</v>
      </c>
      <c r="F58" s="6">
        <f t="shared" si="1"/>
        <v>3366.8333333333335</v>
      </c>
    </row>
    <row r="59" spans="1:6" x14ac:dyDescent="0.3">
      <c r="A59">
        <v>58</v>
      </c>
      <c r="B59">
        <v>3156</v>
      </c>
      <c r="E59" s="6">
        <f t="shared" si="0"/>
        <v>3534.3333333333335</v>
      </c>
      <c r="F59" s="6">
        <f t="shared" si="1"/>
        <v>3410.1666666666665</v>
      </c>
    </row>
    <row r="60" spans="1:6" x14ac:dyDescent="0.3">
      <c r="A60">
        <v>58</v>
      </c>
      <c r="B60">
        <v>3513</v>
      </c>
      <c r="E60" s="6">
        <f t="shared" si="0"/>
        <v>3393</v>
      </c>
      <c r="F60" s="6">
        <f t="shared" si="1"/>
        <v>3382.5</v>
      </c>
    </row>
    <row r="61" spans="1:6" x14ac:dyDescent="0.3">
      <c r="A61">
        <v>58</v>
      </c>
      <c r="B61">
        <v>3611</v>
      </c>
      <c r="E61" s="6">
        <f t="shared" si="0"/>
        <v>3449.3333333333335</v>
      </c>
      <c r="F61" s="6">
        <f t="shared" si="1"/>
        <v>3393.5</v>
      </c>
    </row>
    <row r="62" spans="1:6" x14ac:dyDescent="0.3">
      <c r="A62">
        <v>58</v>
      </c>
      <c r="B62">
        <v>3239</v>
      </c>
      <c r="E62" s="6">
        <f t="shared" si="0"/>
        <v>3426.6666666666665</v>
      </c>
      <c r="F62" s="6">
        <f t="shared" si="1"/>
        <v>3480.5</v>
      </c>
    </row>
    <row r="63" spans="1:6" x14ac:dyDescent="0.3">
      <c r="A63">
        <v>59</v>
      </c>
      <c r="B63">
        <v>3818</v>
      </c>
      <c r="E63" s="6">
        <f t="shared" si="0"/>
        <v>3454.3333333333335</v>
      </c>
      <c r="F63" s="6">
        <f t="shared" si="1"/>
        <v>3423.6666666666665</v>
      </c>
    </row>
    <row r="64" spans="1:6" x14ac:dyDescent="0.3">
      <c r="A64">
        <v>59</v>
      </c>
      <c r="B64">
        <v>2969</v>
      </c>
      <c r="E64" s="6">
        <f t="shared" si="0"/>
        <v>3556</v>
      </c>
      <c r="F64" s="6">
        <f t="shared" si="1"/>
        <v>3502.6666666666665</v>
      </c>
    </row>
    <row r="65" spans="1:6" x14ac:dyDescent="0.3">
      <c r="A65">
        <v>59</v>
      </c>
      <c r="B65">
        <v>3847</v>
      </c>
      <c r="E65" s="6">
        <f t="shared" si="0"/>
        <v>3342</v>
      </c>
      <c r="F65" s="6">
        <f t="shared" si="1"/>
        <v>3384.3333333333335</v>
      </c>
    </row>
    <row r="66" spans="1:6" x14ac:dyDescent="0.3">
      <c r="A66">
        <v>59</v>
      </c>
      <c r="B66">
        <v>3774</v>
      </c>
      <c r="E66" s="6">
        <f t="shared" si="0"/>
        <v>3544.6666666666665</v>
      </c>
      <c r="F66" s="6">
        <f t="shared" si="1"/>
        <v>3499.5</v>
      </c>
    </row>
    <row r="67" spans="1:6" x14ac:dyDescent="0.3">
      <c r="A67">
        <v>59</v>
      </c>
      <c r="B67">
        <v>3671</v>
      </c>
      <c r="E67" s="6">
        <f t="shared" si="0"/>
        <v>3530</v>
      </c>
      <c r="F67" s="6">
        <f t="shared" si="1"/>
        <v>3543</v>
      </c>
    </row>
    <row r="68" spans="1:6" x14ac:dyDescent="0.3">
      <c r="A68">
        <v>59</v>
      </c>
      <c r="B68">
        <v>3229</v>
      </c>
      <c r="E68" s="6">
        <f t="shared" si="0"/>
        <v>3764</v>
      </c>
      <c r="F68" s="6">
        <f t="shared" si="1"/>
        <v>3553</v>
      </c>
    </row>
    <row r="69" spans="1:6" x14ac:dyDescent="0.3">
      <c r="A69">
        <v>59</v>
      </c>
      <c r="B69">
        <v>3750</v>
      </c>
      <c r="E69" s="6">
        <f t="shared" si="0"/>
        <v>3558</v>
      </c>
      <c r="F69" s="6">
        <f t="shared" si="1"/>
        <v>3551.3333333333335</v>
      </c>
    </row>
    <row r="70" spans="1:6" x14ac:dyDescent="0.3">
      <c r="A70">
        <v>59</v>
      </c>
      <c r="B70">
        <v>3533</v>
      </c>
      <c r="E70" s="6">
        <f t="shared" ref="E70:E133" si="2">AVERAGE(B67:B69)</f>
        <v>3550</v>
      </c>
      <c r="F70" s="6">
        <f t="shared" si="1"/>
        <v>3540</v>
      </c>
    </row>
    <row r="71" spans="1:6" x14ac:dyDescent="0.3">
      <c r="A71">
        <v>60</v>
      </c>
      <c r="B71">
        <v>3506</v>
      </c>
      <c r="E71" s="6">
        <f t="shared" si="2"/>
        <v>3504</v>
      </c>
      <c r="F71" s="6">
        <f t="shared" si="1"/>
        <v>3634</v>
      </c>
    </row>
    <row r="72" spans="1:6" x14ac:dyDescent="0.3">
      <c r="A72">
        <v>60</v>
      </c>
      <c r="B72">
        <v>3625</v>
      </c>
      <c r="E72" s="6">
        <f t="shared" si="2"/>
        <v>3596.3333333333335</v>
      </c>
      <c r="F72" s="6">
        <f t="shared" si="1"/>
        <v>3577.1666666666665</v>
      </c>
    </row>
    <row r="73" spans="1:6" x14ac:dyDescent="0.3">
      <c r="A73">
        <v>60</v>
      </c>
      <c r="B73">
        <v>4025</v>
      </c>
      <c r="E73" s="6">
        <f t="shared" si="2"/>
        <v>3554.6666666666665</v>
      </c>
      <c r="F73" s="6">
        <f t="shared" ref="F73:F136" si="3">AVERAGE(B67:B72)</f>
        <v>3552.3333333333335</v>
      </c>
    </row>
    <row r="74" spans="1:6" x14ac:dyDescent="0.3">
      <c r="A74">
        <v>60</v>
      </c>
      <c r="B74">
        <v>3969</v>
      </c>
      <c r="E74" s="6">
        <f t="shared" si="2"/>
        <v>3718.6666666666665</v>
      </c>
      <c r="F74" s="6">
        <f t="shared" si="3"/>
        <v>3611.3333333333335</v>
      </c>
    </row>
    <row r="75" spans="1:6" x14ac:dyDescent="0.3">
      <c r="A75">
        <v>60</v>
      </c>
      <c r="B75">
        <v>4095</v>
      </c>
      <c r="E75" s="6">
        <f t="shared" si="2"/>
        <v>3873</v>
      </c>
      <c r="F75" s="6">
        <f t="shared" si="3"/>
        <v>3734.6666666666665</v>
      </c>
    </row>
    <row r="76" spans="1:6" x14ac:dyDescent="0.3">
      <c r="A76">
        <v>61</v>
      </c>
      <c r="B76">
        <v>3796</v>
      </c>
      <c r="E76" s="6">
        <f t="shared" si="2"/>
        <v>4029.6666666666665</v>
      </c>
      <c r="F76" s="6">
        <f t="shared" si="3"/>
        <v>3792.1666666666665</v>
      </c>
    </row>
    <row r="77" spans="1:6" x14ac:dyDescent="0.3">
      <c r="A77">
        <v>61</v>
      </c>
      <c r="B77">
        <v>3810</v>
      </c>
      <c r="E77" s="6">
        <f t="shared" si="2"/>
        <v>3953.3333333333335</v>
      </c>
      <c r="F77" s="6">
        <f t="shared" si="3"/>
        <v>3836</v>
      </c>
    </row>
    <row r="78" spans="1:6" x14ac:dyDescent="0.3">
      <c r="A78">
        <v>61</v>
      </c>
      <c r="B78">
        <v>3821</v>
      </c>
      <c r="E78" s="6">
        <f t="shared" si="2"/>
        <v>3900.3333333333335</v>
      </c>
      <c r="F78" s="6">
        <f t="shared" si="3"/>
        <v>3886.6666666666665</v>
      </c>
    </row>
    <row r="79" spans="1:6" x14ac:dyDescent="0.3">
      <c r="A79">
        <v>61</v>
      </c>
      <c r="B79">
        <v>3730</v>
      </c>
      <c r="E79" s="6">
        <f t="shared" si="2"/>
        <v>3809</v>
      </c>
      <c r="F79" s="6">
        <f t="shared" si="3"/>
        <v>3919.3333333333335</v>
      </c>
    </row>
    <row r="80" spans="1:6" x14ac:dyDescent="0.3">
      <c r="A80">
        <v>61</v>
      </c>
      <c r="B80">
        <v>3953</v>
      </c>
      <c r="E80" s="6">
        <f t="shared" si="2"/>
        <v>3787</v>
      </c>
      <c r="F80" s="6">
        <f t="shared" si="3"/>
        <v>3870.1666666666665</v>
      </c>
    </row>
    <row r="81" spans="1:6" x14ac:dyDescent="0.3">
      <c r="A81">
        <v>61</v>
      </c>
      <c r="B81">
        <v>3742</v>
      </c>
      <c r="E81" s="6">
        <f t="shared" si="2"/>
        <v>3834.6666666666665</v>
      </c>
      <c r="F81" s="6">
        <f t="shared" si="3"/>
        <v>3867.5</v>
      </c>
    </row>
    <row r="82" spans="1:6" x14ac:dyDescent="0.3">
      <c r="A82">
        <v>61</v>
      </c>
      <c r="B82">
        <v>3942</v>
      </c>
      <c r="E82" s="6">
        <f t="shared" si="2"/>
        <v>3808.3333333333335</v>
      </c>
      <c r="F82" s="6">
        <f t="shared" si="3"/>
        <v>3808.6666666666665</v>
      </c>
    </row>
    <row r="83" spans="1:6" x14ac:dyDescent="0.3">
      <c r="A83">
        <v>61</v>
      </c>
      <c r="B83">
        <v>3816</v>
      </c>
      <c r="E83" s="6">
        <f t="shared" si="2"/>
        <v>3879</v>
      </c>
      <c r="F83" s="6">
        <f t="shared" si="3"/>
        <v>3833</v>
      </c>
    </row>
    <row r="84" spans="1:6" x14ac:dyDescent="0.3">
      <c r="A84">
        <v>61</v>
      </c>
      <c r="B84">
        <v>3766</v>
      </c>
      <c r="E84" s="6">
        <f t="shared" si="2"/>
        <v>3833.3333333333335</v>
      </c>
      <c r="F84" s="6">
        <f t="shared" si="3"/>
        <v>3834</v>
      </c>
    </row>
    <row r="85" spans="1:6" x14ac:dyDescent="0.3">
      <c r="A85">
        <v>62</v>
      </c>
      <c r="B85">
        <v>3904</v>
      </c>
      <c r="E85" s="6">
        <f t="shared" si="2"/>
        <v>3841.3333333333335</v>
      </c>
      <c r="F85" s="6">
        <f t="shared" si="3"/>
        <v>3824.8333333333335</v>
      </c>
    </row>
    <row r="86" spans="1:6" x14ac:dyDescent="0.3">
      <c r="A86">
        <v>62</v>
      </c>
      <c r="B86">
        <v>4144</v>
      </c>
      <c r="E86" s="6">
        <f t="shared" si="2"/>
        <v>3828.6666666666665</v>
      </c>
      <c r="F86" s="6">
        <f t="shared" si="3"/>
        <v>3853.8333333333335</v>
      </c>
    </row>
    <row r="87" spans="1:6" x14ac:dyDescent="0.3">
      <c r="A87">
        <v>62</v>
      </c>
      <c r="B87">
        <v>4019</v>
      </c>
      <c r="E87" s="6">
        <f t="shared" si="2"/>
        <v>3938</v>
      </c>
      <c r="F87" s="6">
        <f t="shared" si="3"/>
        <v>3885.6666666666665</v>
      </c>
    </row>
    <row r="88" spans="1:6" x14ac:dyDescent="0.3">
      <c r="A88">
        <v>62</v>
      </c>
      <c r="B88">
        <v>3793</v>
      </c>
      <c r="E88" s="6">
        <f t="shared" si="2"/>
        <v>4022.3333333333335</v>
      </c>
      <c r="F88" s="6">
        <f t="shared" si="3"/>
        <v>3931.8333333333335</v>
      </c>
    </row>
    <row r="89" spans="1:6" x14ac:dyDescent="0.3">
      <c r="A89">
        <v>63</v>
      </c>
      <c r="B89">
        <v>5017</v>
      </c>
      <c r="E89" s="6">
        <f t="shared" si="2"/>
        <v>3985.3333333333335</v>
      </c>
      <c r="F89" s="6">
        <f t="shared" si="3"/>
        <v>3907</v>
      </c>
    </row>
    <row r="90" spans="1:6" x14ac:dyDescent="0.3">
      <c r="A90">
        <v>63</v>
      </c>
      <c r="B90">
        <v>4415</v>
      </c>
      <c r="E90" s="6">
        <f t="shared" si="2"/>
        <v>4276.333333333333</v>
      </c>
      <c r="F90" s="6">
        <f t="shared" si="3"/>
        <v>4107.166666666667</v>
      </c>
    </row>
    <row r="91" spans="1:6" x14ac:dyDescent="0.3">
      <c r="A91">
        <v>63</v>
      </c>
      <c r="B91">
        <v>4158</v>
      </c>
      <c r="E91" s="6">
        <f t="shared" si="2"/>
        <v>4408.333333333333</v>
      </c>
      <c r="F91" s="6">
        <f t="shared" si="3"/>
        <v>4215.333333333333</v>
      </c>
    </row>
    <row r="92" spans="1:6" x14ac:dyDescent="0.3">
      <c r="A92">
        <v>63</v>
      </c>
      <c r="B92">
        <v>4059</v>
      </c>
      <c r="E92" s="6">
        <f t="shared" si="2"/>
        <v>4530</v>
      </c>
      <c r="F92" s="6">
        <f t="shared" si="3"/>
        <v>4257.666666666667</v>
      </c>
    </row>
    <row r="93" spans="1:6" x14ac:dyDescent="0.3">
      <c r="A93">
        <v>63</v>
      </c>
      <c r="B93">
        <v>3917</v>
      </c>
      <c r="E93" s="6">
        <f t="shared" si="2"/>
        <v>4210.666666666667</v>
      </c>
      <c r="F93" s="6">
        <f t="shared" si="3"/>
        <v>4243.5</v>
      </c>
    </row>
    <row r="94" spans="1:6" x14ac:dyDescent="0.3">
      <c r="A94">
        <v>64</v>
      </c>
      <c r="B94">
        <v>4057</v>
      </c>
      <c r="E94" s="6">
        <f t="shared" si="2"/>
        <v>4044.6666666666665</v>
      </c>
      <c r="F94" s="6">
        <f t="shared" si="3"/>
        <v>4226.5</v>
      </c>
    </row>
    <row r="95" spans="1:6" x14ac:dyDescent="0.3">
      <c r="A95">
        <v>64</v>
      </c>
      <c r="B95">
        <v>4028</v>
      </c>
      <c r="E95" s="6">
        <f t="shared" si="2"/>
        <v>4011</v>
      </c>
      <c r="F95" s="6">
        <f t="shared" si="3"/>
        <v>4270.5</v>
      </c>
    </row>
    <row r="96" spans="1:6" x14ac:dyDescent="0.3">
      <c r="A96">
        <v>64</v>
      </c>
      <c r="B96">
        <v>4121</v>
      </c>
      <c r="E96" s="6">
        <f t="shared" si="2"/>
        <v>4000.6666666666665</v>
      </c>
      <c r="F96" s="6">
        <f t="shared" si="3"/>
        <v>4105.666666666667</v>
      </c>
    </row>
    <row r="97" spans="1:6" x14ac:dyDescent="0.3">
      <c r="A97">
        <v>64</v>
      </c>
      <c r="B97">
        <v>4485</v>
      </c>
      <c r="E97" s="6">
        <f t="shared" si="2"/>
        <v>4068.6666666666665</v>
      </c>
      <c r="F97" s="6">
        <f t="shared" si="3"/>
        <v>4056.6666666666665</v>
      </c>
    </row>
    <row r="98" spans="1:6" x14ac:dyDescent="0.3">
      <c r="A98">
        <v>64</v>
      </c>
      <c r="B98">
        <v>4094</v>
      </c>
      <c r="E98" s="6">
        <f t="shared" si="2"/>
        <v>4211.333333333333</v>
      </c>
      <c r="F98" s="6">
        <f t="shared" si="3"/>
        <v>4111.166666666667</v>
      </c>
    </row>
    <row r="99" spans="1:6" x14ac:dyDescent="0.3">
      <c r="A99">
        <v>64</v>
      </c>
      <c r="B99">
        <v>4014</v>
      </c>
      <c r="E99" s="6">
        <f t="shared" si="2"/>
        <v>4233.333333333333</v>
      </c>
      <c r="F99" s="6">
        <f t="shared" si="3"/>
        <v>4117</v>
      </c>
    </row>
    <row r="100" spans="1:6" x14ac:dyDescent="0.3">
      <c r="A100">
        <v>64</v>
      </c>
      <c r="B100">
        <v>3857</v>
      </c>
      <c r="E100" s="6">
        <f t="shared" si="2"/>
        <v>4197.666666666667</v>
      </c>
      <c r="F100" s="6">
        <f t="shared" si="3"/>
        <v>4133.166666666667</v>
      </c>
    </row>
    <row r="101" spans="1:6" x14ac:dyDescent="0.3">
      <c r="A101">
        <v>64</v>
      </c>
      <c r="B101">
        <v>4407</v>
      </c>
      <c r="E101" s="6">
        <f t="shared" si="2"/>
        <v>3988.3333333333335</v>
      </c>
      <c r="F101" s="6">
        <f t="shared" si="3"/>
        <v>4099.833333333333</v>
      </c>
    </row>
    <row r="102" spans="1:6" x14ac:dyDescent="0.3">
      <c r="A102">
        <v>64</v>
      </c>
      <c r="B102">
        <v>4410</v>
      </c>
      <c r="E102" s="6">
        <f t="shared" si="2"/>
        <v>4092.6666666666665</v>
      </c>
      <c r="F102" s="6">
        <f t="shared" si="3"/>
        <v>4163</v>
      </c>
    </row>
    <row r="103" spans="1:6" x14ac:dyDescent="0.3">
      <c r="A103">
        <v>65</v>
      </c>
      <c r="B103">
        <v>4736</v>
      </c>
      <c r="E103" s="6">
        <f t="shared" si="2"/>
        <v>4224.666666666667</v>
      </c>
      <c r="F103" s="6">
        <f t="shared" si="3"/>
        <v>4211.166666666667</v>
      </c>
    </row>
    <row r="104" spans="1:6" x14ac:dyDescent="0.3">
      <c r="A104">
        <v>65</v>
      </c>
      <c r="B104">
        <v>4538</v>
      </c>
      <c r="E104" s="6">
        <f t="shared" si="2"/>
        <v>4517.666666666667</v>
      </c>
      <c r="F104" s="6">
        <f t="shared" si="3"/>
        <v>4253</v>
      </c>
    </row>
    <row r="105" spans="1:6" x14ac:dyDescent="0.3">
      <c r="A105">
        <v>65</v>
      </c>
      <c r="B105">
        <v>4109</v>
      </c>
      <c r="E105" s="6">
        <f t="shared" si="2"/>
        <v>4561.333333333333</v>
      </c>
      <c r="F105" s="6">
        <f t="shared" si="3"/>
        <v>4327</v>
      </c>
    </row>
    <row r="106" spans="1:6" x14ac:dyDescent="0.3">
      <c r="A106">
        <v>65</v>
      </c>
      <c r="B106">
        <v>4378</v>
      </c>
      <c r="E106" s="6">
        <f t="shared" si="2"/>
        <v>4461</v>
      </c>
      <c r="F106" s="6">
        <f t="shared" si="3"/>
        <v>4342.833333333333</v>
      </c>
    </row>
    <row r="107" spans="1:6" x14ac:dyDescent="0.3">
      <c r="A107">
        <v>65</v>
      </c>
      <c r="B107">
        <v>4272</v>
      </c>
      <c r="E107" s="6">
        <f t="shared" si="2"/>
        <v>4341.666666666667</v>
      </c>
      <c r="F107" s="6">
        <f t="shared" si="3"/>
        <v>4429.666666666667</v>
      </c>
    </row>
    <row r="108" spans="1:6" x14ac:dyDescent="0.3">
      <c r="A108">
        <v>65</v>
      </c>
      <c r="B108">
        <v>4210</v>
      </c>
      <c r="E108" s="6">
        <f t="shared" si="2"/>
        <v>4253</v>
      </c>
      <c r="F108" s="6">
        <f t="shared" si="3"/>
        <v>4407.166666666667</v>
      </c>
    </row>
    <row r="109" spans="1:6" x14ac:dyDescent="0.3">
      <c r="A109">
        <v>65</v>
      </c>
      <c r="B109">
        <v>4328</v>
      </c>
      <c r="E109" s="6">
        <f t="shared" si="2"/>
        <v>4286.666666666667</v>
      </c>
      <c r="F109" s="6">
        <f t="shared" si="3"/>
        <v>4373.833333333333</v>
      </c>
    </row>
    <row r="110" spans="1:6" x14ac:dyDescent="0.3">
      <c r="A110">
        <v>65</v>
      </c>
      <c r="B110">
        <v>4431</v>
      </c>
      <c r="E110" s="6">
        <f t="shared" si="2"/>
        <v>4270</v>
      </c>
      <c r="F110" s="6">
        <f t="shared" si="3"/>
        <v>4305.833333333333</v>
      </c>
    </row>
    <row r="111" spans="1:6" x14ac:dyDescent="0.3">
      <c r="A111">
        <v>65</v>
      </c>
      <c r="B111">
        <v>4271</v>
      </c>
      <c r="E111" s="6">
        <f t="shared" si="2"/>
        <v>4323</v>
      </c>
      <c r="F111" s="6">
        <f t="shared" si="3"/>
        <v>4288</v>
      </c>
    </row>
    <row r="112" spans="1:6" x14ac:dyDescent="0.3">
      <c r="A112">
        <v>66</v>
      </c>
      <c r="B112">
        <v>4303</v>
      </c>
      <c r="E112" s="6">
        <f t="shared" si="2"/>
        <v>4343.333333333333</v>
      </c>
      <c r="F112" s="6">
        <f t="shared" si="3"/>
        <v>4315</v>
      </c>
    </row>
    <row r="113" spans="1:6" x14ac:dyDescent="0.3">
      <c r="A113">
        <v>66</v>
      </c>
      <c r="B113">
        <v>4216</v>
      </c>
      <c r="E113" s="6">
        <f t="shared" si="2"/>
        <v>4335</v>
      </c>
      <c r="F113" s="6">
        <f t="shared" si="3"/>
        <v>4302.5</v>
      </c>
    </row>
    <row r="114" spans="1:6" x14ac:dyDescent="0.3">
      <c r="A114">
        <v>66</v>
      </c>
      <c r="B114">
        <v>4674</v>
      </c>
      <c r="E114" s="6">
        <f t="shared" si="2"/>
        <v>4263.333333333333</v>
      </c>
      <c r="F114" s="6">
        <f t="shared" si="3"/>
        <v>4293.166666666667</v>
      </c>
    </row>
    <row r="115" spans="1:6" x14ac:dyDescent="0.3">
      <c r="A115">
        <v>66</v>
      </c>
      <c r="B115">
        <v>4768</v>
      </c>
      <c r="E115" s="6">
        <f t="shared" si="2"/>
        <v>4397.666666666667</v>
      </c>
      <c r="F115" s="6">
        <f t="shared" si="3"/>
        <v>4370.5</v>
      </c>
    </row>
    <row r="116" spans="1:6" x14ac:dyDescent="0.3">
      <c r="A116">
        <v>66</v>
      </c>
      <c r="B116">
        <v>4448</v>
      </c>
      <c r="E116" s="6">
        <f t="shared" si="2"/>
        <v>4552.666666666667</v>
      </c>
      <c r="F116" s="6">
        <f t="shared" si="3"/>
        <v>4443.833333333333</v>
      </c>
    </row>
    <row r="117" spans="1:6" x14ac:dyDescent="0.3">
      <c r="A117">
        <v>66</v>
      </c>
      <c r="B117">
        <v>4752</v>
      </c>
      <c r="E117" s="6">
        <f t="shared" si="2"/>
        <v>4630</v>
      </c>
      <c r="F117" s="6">
        <f t="shared" si="3"/>
        <v>4446.666666666667</v>
      </c>
    </row>
    <row r="118" spans="1:6" x14ac:dyDescent="0.3">
      <c r="A118">
        <v>66</v>
      </c>
      <c r="B118">
        <v>4498</v>
      </c>
      <c r="E118" s="6">
        <f t="shared" si="2"/>
        <v>4656</v>
      </c>
      <c r="F118" s="6">
        <f t="shared" si="3"/>
        <v>4526.833333333333</v>
      </c>
    </row>
    <row r="119" spans="1:6" x14ac:dyDescent="0.3">
      <c r="A119">
        <v>66</v>
      </c>
      <c r="B119">
        <v>4507</v>
      </c>
      <c r="E119" s="6">
        <f t="shared" si="2"/>
        <v>4566</v>
      </c>
      <c r="F119" s="6">
        <f t="shared" si="3"/>
        <v>4559.333333333333</v>
      </c>
    </row>
    <row r="120" spans="1:6" x14ac:dyDescent="0.3">
      <c r="A120">
        <v>66</v>
      </c>
      <c r="B120">
        <v>4542</v>
      </c>
      <c r="E120" s="6">
        <f t="shared" si="2"/>
        <v>4585.666666666667</v>
      </c>
      <c r="F120" s="6">
        <f t="shared" si="3"/>
        <v>4607.833333333333</v>
      </c>
    </row>
    <row r="121" spans="1:6" x14ac:dyDescent="0.3">
      <c r="A121">
        <v>66</v>
      </c>
      <c r="B121">
        <v>4736</v>
      </c>
      <c r="E121" s="6">
        <f t="shared" si="2"/>
        <v>4515.666666666667</v>
      </c>
      <c r="F121" s="6">
        <f t="shared" si="3"/>
        <v>4585.833333333333</v>
      </c>
    </row>
    <row r="122" spans="1:6" x14ac:dyDescent="0.3">
      <c r="A122">
        <v>66</v>
      </c>
      <c r="B122">
        <v>4826</v>
      </c>
      <c r="E122" s="6">
        <f t="shared" si="2"/>
        <v>4595</v>
      </c>
      <c r="F122" s="6">
        <f t="shared" si="3"/>
        <v>4580.5</v>
      </c>
    </row>
    <row r="123" spans="1:6" x14ac:dyDescent="0.3">
      <c r="A123">
        <v>66</v>
      </c>
      <c r="B123">
        <v>5175</v>
      </c>
      <c r="E123" s="6">
        <f t="shared" si="2"/>
        <v>4701.333333333333</v>
      </c>
      <c r="F123" s="6">
        <f t="shared" si="3"/>
        <v>4643.5</v>
      </c>
    </row>
    <row r="124" spans="1:6" x14ac:dyDescent="0.3">
      <c r="A124">
        <v>66</v>
      </c>
      <c r="B124">
        <v>4505</v>
      </c>
      <c r="E124" s="6">
        <f t="shared" si="2"/>
        <v>4912.333333333333</v>
      </c>
      <c r="F124" s="6">
        <f t="shared" si="3"/>
        <v>4714</v>
      </c>
    </row>
    <row r="125" spans="1:6" x14ac:dyDescent="0.3">
      <c r="A125">
        <v>66</v>
      </c>
      <c r="B125">
        <v>4065</v>
      </c>
      <c r="E125" s="6">
        <f t="shared" si="2"/>
        <v>4835.333333333333</v>
      </c>
      <c r="F125" s="6">
        <f t="shared" si="3"/>
        <v>4715.166666666667</v>
      </c>
    </row>
    <row r="126" spans="1:6" x14ac:dyDescent="0.3">
      <c r="A126">
        <v>67</v>
      </c>
      <c r="B126">
        <v>4865</v>
      </c>
      <c r="E126" s="6">
        <f t="shared" si="2"/>
        <v>4581.666666666667</v>
      </c>
      <c r="F126" s="6">
        <f t="shared" si="3"/>
        <v>4641.5</v>
      </c>
    </row>
    <row r="127" spans="1:6" x14ac:dyDescent="0.3">
      <c r="A127">
        <v>67</v>
      </c>
      <c r="B127">
        <v>4526</v>
      </c>
      <c r="E127" s="6">
        <f t="shared" si="2"/>
        <v>4478.333333333333</v>
      </c>
      <c r="F127" s="6">
        <f t="shared" si="3"/>
        <v>4695.333333333333</v>
      </c>
    </row>
    <row r="128" spans="1:6" x14ac:dyDescent="0.3">
      <c r="A128">
        <v>67</v>
      </c>
      <c r="B128">
        <v>4604</v>
      </c>
      <c r="E128" s="6">
        <f t="shared" si="2"/>
        <v>4485.333333333333</v>
      </c>
      <c r="F128" s="6">
        <f t="shared" si="3"/>
        <v>4660.333333333333</v>
      </c>
    </row>
    <row r="129" spans="1:6" x14ac:dyDescent="0.3">
      <c r="A129">
        <v>67</v>
      </c>
      <c r="B129">
        <v>4485</v>
      </c>
      <c r="E129" s="6">
        <f t="shared" si="2"/>
        <v>4665</v>
      </c>
      <c r="F129" s="6">
        <f t="shared" si="3"/>
        <v>4623.333333333333</v>
      </c>
    </row>
    <row r="130" spans="1:6" x14ac:dyDescent="0.3">
      <c r="A130">
        <v>67</v>
      </c>
      <c r="B130">
        <v>4294</v>
      </c>
      <c r="E130" s="6">
        <f t="shared" si="2"/>
        <v>4538.333333333333</v>
      </c>
      <c r="F130" s="6">
        <f t="shared" si="3"/>
        <v>4508.333333333333</v>
      </c>
    </row>
    <row r="131" spans="1:6" x14ac:dyDescent="0.3">
      <c r="A131">
        <v>67</v>
      </c>
      <c r="B131">
        <v>5062</v>
      </c>
      <c r="E131" s="6">
        <f t="shared" si="2"/>
        <v>4461</v>
      </c>
      <c r="F131" s="6">
        <f t="shared" si="3"/>
        <v>4473.166666666667</v>
      </c>
    </row>
    <row r="132" spans="1:6" x14ac:dyDescent="0.3">
      <c r="A132">
        <v>68</v>
      </c>
      <c r="B132">
        <v>4565</v>
      </c>
      <c r="E132" s="6">
        <f t="shared" si="2"/>
        <v>4613.666666666667</v>
      </c>
      <c r="F132" s="6">
        <f t="shared" si="3"/>
        <v>4639.333333333333</v>
      </c>
    </row>
    <row r="133" spans="1:6" x14ac:dyDescent="0.3">
      <c r="A133">
        <v>68</v>
      </c>
      <c r="B133">
        <v>4937</v>
      </c>
      <c r="E133" s="6">
        <f t="shared" si="2"/>
        <v>4640.333333333333</v>
      </c>
      <c r="F133" s="6">
        <f t="shared" si="3"/>
        <v>4589.333333333333</v>
      </c>
    </row>
    <row r="134" spans="1:6" x14ac:dyDescent="0.3">
      <c r="A134">
        <v>68</v>
      </c>
      <c r="B134">
        <v>4589</v>
      </c>
      <c r="E134" s="6">
        <f t="shared" ref="E134:E197" si="4">AVERAGE(B131:B133)</f>
        <v>4854.666666666667</v>
      </c>
      <c r="F134" s="6">
        <f t="shared" si="3"/>
        <v>4657.833333333333</v>
      </c>
    </row>
    <row r="135" spans="1:6" x14ac:dyDescent="0.3">
      <c r="A135">
        <v>68</v>
      </c>
      <c r="B135">
        <v>5074</v>
      </c>
      <c r="E135" s="6">
        <f t="shared" si="4"/>
        <v>4697</v>
      </c>
      <c r="F135" s="6">
        <f t="shared" si="3"/>
        <v>4655.333333333333</v>
      </c>
    </row>
    <row r="136" spans="1:6" x14ac:dyDescent="0.3">
      <c r="A136">
        <v>68</v>
      </c>
      <c r="B136">
        <v>4717</v>
      </c>
      <c r="E136" s="6">
        <f t="shared" si="4"/>
        <v>4866.666666666667</v>
      </c>
      <c r="F136" s="6">
        <f t="shared" si="3"/>
        <v>4753.5</v>
      </c>
    </row>
    <row r="137" spans="1:6" x14ac:dyDescent="0.3">
      <c r="A137">
        <v>68</v>
      </c>
      <c r="B137">
        <v>4960</v>
      </c>
      <c r="E137" s="6">
        <f t="shared" si="4"/>
        <v>4793.333333333333</v>
      </c>
      <c r="F137" s="6">
        <f t="shared" ref="F137:F200" si="5">AVERAGE(B131:B136)</f>
        <v>4824</v>
      </c>
    </row>
    <row r="138" spans="1:6" x14ac:dyDescent="0.3">
      <c r="A138">
        <v>68</v>
      </c>
      <c r="B138">
        <v>4168</v>
      </c>
      <c r="E138" s="6">
        <f t="shared" si="4"/>
        <v>4917</v>
      </c>
      <c r="F138" s="6">
        <f t="shared" si="5"/>
        <v>4807</v>
      </c>
    </row>
    <row r="139" spans="1:6" x14ac:dyDescent="0.3">
      <c r="A139">
        <v>68</v>
      </c>
      <c r="B139">
        <v>4690</v>
      </c>
      <c r="E139" s="6">
        <f t="shared" si="4"/>
        <v>4615</v>
      </c>
      <c r="F139" s="6">
        <f t="shared" si="5"/>
        <v>4740.833333333333</v>
      </c>
    </row>
    <row r="140" spans="1:6" x14ac:dyDescent="0.3">
      <c r="A140">
        <v>68</v>
      </c>
      <c r="B140">
        <v>4735</v>
      </c>
      <c r="E140" s="6">
        <f t="shared" si="4"/>
        <v>4606</v>
      </c>
      <c r="F140" s="6">
        <f t="shared" si="5"/>
        <v>4699.666666666667</v>
      </c>
    </row>
    <row r="141" spans="1:6" x14ac:dyDescent="0.3">
      <c r="A141">
        <v>68</v>
      </c>
      <c r="B141">
        <v>4773</v>
      </c>
      <c r="E141" s="6">
        <f t="shared" si="4"/>
        <v>4531</v>
      </c>
      <c r="F141" s="6">
        <f t="shared" si="5"/>
        <v>4724</v>
      </c>
    </row>
    <row r="142" spans="1:6" x14ac:dyDescent="0.3">
      <c r="A142">
        <v>68</v>
      </c>
      <c r="B142">
        <v>4373</v>
      </c>
      <c r="E142" s="6">
        <f t="shared" si="4"/>
        <v>4732.666666666667</v>
      </c>
      <c r="F142" s="6">
        <f t="shared" si="5"/>
        <v>4673.833333333333</v>
      </c>
    </row>
    <row r="143" spans="1:6" x14ac:dyDescent="0.3">
      <c r="A143">
        <v>68</v>
      </c>
      <c r="B143">
        <v>4747</v>
      </c>
      <c r="E143" s="6">
        <f t="shared" si="4"/>
        <v>4627</v>
      </c>
      <c r="F143" s="6">
        <f t="shared" si="5"/>
        <v>4616.5</v>
      </c>
    </row>
    <row r="144" spans="1:6" x14ac:dyDescent="0.3">
      <c r="A144">
        <v>69</v>
      </c>
      <c r="B144">
        <v>5138</v>
      </c>
      <c r="E144" s="6">
        <f t="shared" si="4"/>
        <v>4631</v>
      </c>
      <c r="F144" s="6">
        <f t="shared" si="5"/>
        <v>4581</v>
      </c>
    </row>
    <row r="145" spans="1:6" x14ac:dyDescent="0.3">
      <c r="A145">
        <v>69</v>
      </c>
      <c r="B145">
        <v>4174</v>
      </c>
      <c r="E145" s="6">
        <f t="shared" si="4"/>
        <v>4752.666666666667</v>
      </c>
      <c r="F145" s="6">
        <f t="shared" si="5"/>
        <v>4742.666666666667</v>
      </c>
    </row>
    <row r="146" spans="1:6" x14ac:dyDescent="0.3">
      <c r="A146">
        <v>69</v>
      </c>
      <c r="B146">
        <v>4988</v>
      </c>
      <c r="E146" s="6">
        <f t="shared" si="4"/>
        <v>4686.333333333333</v>
      </c>
      <c r="F146" s="6">
        <f t="shared" si="5"/>
        <v>4656.666666666667</v>
      </c>
    </row>
    <row r="147" spans="1:6" x14ac:dyDescent="0.3">
      <c r="A147">
        <v>69</v>
      </c>
      <c r="B147">
        <v>4778</v>
      </c>
      <c r="E147" s="6">
        <f t="shared" si="4"/>
        <v>4766.666666666667</v>
      </c>
      <c r="F147" s="6">
        <f t="shared" si="5"/>
        <v>4698.833333333333</v>
      </c>
    </row>
    <row r="148" spans="1:6" x14ac:dyDescent="0.3">
      <c r="A148">
        <v>69</v>
      </c>
      <c r="B148">
        <v>4250</v>
      </c>
      <c r="E148" s="6">
        <f t="shared" si="4"/>
        <v>4646.666666666667</v>
      </c>
      <c r="F148" s="6">
        <f t="shared" si="5"/>
        <v>4699.666666666667</v>
      </c>
    </row>
    <row r="149" spans="1:6" x14ac:dyDescent="0.3">
      <c r="A149">
        <v>69</v>
      </c>
      <c r="B149">
        <v>4877</v>
      </c>
      <c r="E149" s="6">
        <f t="shared" si="4"/>
        <v>4672</v>
      </c>
      <c r="F149" s="6">
        <f t="shared" si="5"/>
        <v>4679.166666666667</v>
      </c>
    </row>
    <row r="150" spans="1:6" x14ac:dyDescent="0.3">
      <c r="A150">
        <v>70</v>
      </c>
      <c r="B150">
        <v>4946</v>
      </c>
      <c r="E150" s="6">
        <f t="shared" si="4"/>
        <v>4635</v>
      </c>
      <c r="F150" s="6">
        <f t="shared" si="5"/>
        <v>4700.833333333333</v>
      </c>
    </row>
    <row r="151" spans="1:6" x14ac:dyDescent="0.3">
      <c r="A151">
        <v>70</v>
      </c>
      <c r="B151">
        <v>5087</v>
      </c>
      <c r="E151" s="6">
        <f t="shared" si="4"/>
        <v>4691</v>
      </c>
      <c r="F151" s="6">
        <f t="shared" si="5"/>
        <v>4668.833333333333</v>
      </c>
    </row>
    <row r="152" spans="1:6" x14ac:dyDescent="0.3">
      <c r="A152">
        <v>70</v>
      </c>
      <c r="B152">
        <v>4912</v>
      </c>
      <c r="E152" s="6">
        <f t="shared" si="4"/>
        <v>4970</v>
      </c>
      <c r="F152" s="6">
        <f t="shared" si="5"/>
        <v>4821</v>
      </c>
    </row>
    <row r="153" spans="1:6" x14ac:dyDescent="0.3">
      <c r="A153">
        <v>70</v>
      </c>
      <c r="B153">
        <v>4995</v>
      </c>
      <c r="E153" s="6">
        <f t="shared" si="4"/>
        <v>4981.666666666667</v>
      </c>
      <c r="F153" s="6">
        <f t="shared" si="5"/>
        <v>4808.333333333333</v>
      </c>
    </row>
    <row r="154" spans="1:6" x14ac:dyDescent="0.3">
      <c r="A154">
        <v>70</v>
      </c>
      <c r="B154">
        <v>5031</v>
      </c>
      <c r="E154" s="6">
        <f t="shared" si="4"/>
        <v>4998</v>
      </c>
      <c r="F154" s="6">
        <f t="shared" si="5"/>
        <v>4844.5</v>
      </c>
    </row>
    <row r="155" spans="1:6" x14ac:dyDescent="0.3">
      <c r="A155">
        <v>70</v>
      </c>
      <c r="B155">
        <v>4932</v>
      </c>
      <c r="E155" s="6">
        <f t="shared" si="4"/>
        <v>4979.333333333333</v>
      </c>
      <c r="F155" s="6">
        <f t="shared" si="5"/>
        <v>4974.666666666667</v>
      </c>
    </row>
    <row r="156" spans="1:6" x14ac:dyDescent="0.3">
      <c r="A156">
        <v>70</v>
      </c>
      <c r="B156">
        <v>5267</v>
      </c>
      <c r="E156" s="6">
        <f t="shared" si="4"/>
        <v>4986</v>
      </c>
      <c r="F156" s="6">
        <f t="shared" si="5"/>
        <v>4983.833333333333</v>
      </c>
    </row>
    <row r="157" spans="1:6" x14ac:dyDescent="0.3">
      <c r="A157">
        <v>70</v>
      </c>
      <c r="B157">
        <v>5205</v>
      </c>
      <c r="E157" s="6">
        <f t="shared" si="4"/>
        <v>5076.666666666667</v>
      </c>
      <c r="F157" s="6">
        <f t="shared" si="5"/>
        <v>5037.333333333333</v>
      </c>
    </row>
    <row r="158" spans="1:6" x14ac:dyDescent="0.3">
      <c r="A158">
        <v>70</v>
      </c>
      <c r="B158">
        <v>4882</v>
      </c>
      <c r="E158" s="6">
        <f t="shared" si="4"/>
        <v>5134.666666666667</v>
      </c>
      <c r="F158" s="6">
        <f t="shared" si="5"/>
        <v>5057</v>
      </c>
    </row>
    <row r="159" spans="1:6" x14ac:dyDescent="0.3">
      <c r="A159">
        <v>71</v>
      </c>
      <c r="B159">
        <v>5333</v>
      </c>
      <c r="E159" s="6">
        <f t="shared" si="4"/>
        <v>5118</v>
      </c>
      <c r="F159" s="6">
        <f t="shared" si="5"/>
        <v>5052</v>
      </c>
    </row>
    <row r="160" spans="1:6" x14ac:dyDescent="0.3">
      <c r="A160">
        <v>71</v>
      </c>
      <c r="B160">
        <v>5459</v>
      </c>
      <c r="E160" s="6">
        <f t="shared" si="4"/>
        <v>5140</v>
      </c>
      <c r="F160" s="6">
        <f t="shared" si="5"/>
        <v>5108.333333333333</v>
      </c>
    </row>
    <row r="161" spans="1:6" x14ac:dyDescent="0.3">
      <c r="A161">
        <v>71</v>
      </c>
      <c r="B161">
        <v>5377</v>
      </c>
      <c r="E161" s="6">
        <f t="shared" si="4"/>
        <v>5224.666666666667</v>
      </c>
      <c r="F161" s="6">
        <f t="shared" si="5"/>
        <v>5179.666666666667</v>
      </c>
    </row>
    <row r="162" spans="1:6" x14ac:dyDescent="0.3">
      <c r="A162">
        <v>71</v>
      </c>
      <c r="B162">
        <v>4960</v>
      </c>
      <c r="E162" s="6">
        <f t="shared" si="4"/>
        <v>5389.666666666667</v>
      </c>
      <c r="F162" s="6">
        <f t="shared" si="5"/>
        <v>5253.833333333333</v>
      </c>
    </row>
    <row r="163" spans="1:6" x14ac:dyDescent="0.3">
      <c r="A163">
        <v>71</v>
      </c>
      <c r="B163">
        <v>5217</v>
      </c>
      <c r="E163" s="6">
        <f t="shared" si="4"/>
        <v>5265.333333333333</v>
      </c>
      <c r="F163" s="6">
        <f t="shared" si="5"/>
        <v>5202.666666666667</v>
      </c>
    </row>
    <row r="164" spans="1:6" x14ac:dyDescent="0.3">
      <c r="A164">
        <v>71</v>
      </c>
      <c r="B164">
        <v>4674</v>
      </c>
      <c r="E164" s="6">
        <f t="shared" si="4"/>
        <v>5184.666666666667</v>
      </c>
      <c r="F164" s="6">
        <f t="shared" si="5"/>
        <v>5204.666666666667</v>
      </c>
    </row>
    <row r="165" spans="1:6" x14ac:dyDescent="0.3">
      <c r="A165">
        <v>71</v>
      </c>
      <c r="B165">
        <v>5304</v>
      </c>
      <c r="E165" s="6">
        <f t="shared" si="4"/>
        <v>4950.333333333333</v>
      </c>
      <c r="F165" s="6">
        <f t="shared" si="5"/>
        <v>5170</v>
      </c>
    </row>
    <row r="166" spans="1:6" x14ac:dyDescent="0.3">
      <c r="A166">
        <v>71</v>
      </c>
      <c r="B166">
        <v>4934</v>
      </c>
      <c r="E166" s="6">
        <f t="shared" si="4"/>
        <v>5065</v>
      </c>
      <c r="F166" s="6">
        <f t="shared" si="5"/>
        <v>5165.166666666667</v>
      </c>
    </row>
    <row r="167" spans="1:6" x14ac:dyDescent="0.3">
      <c r="A167">
        <v>71</v>
      </c>
      <c r="B167">
        <v>5504</v>
      </c>
      <c r="E167" s="6">
        <f t="shared" si="4"/>
        <v>4970.666666666667</v>
      </c>
      <c r="F167" s="6">
        <f t="shared" si="5"/>
        <v>5077.666666666667</v>
      </c>
    </row>
    <row r="168" spans="1:6" x14ac:dyDescent="0.3">
      <c r="A168">
        <v>72</v>
      </c>
      <c r="B168">
        <v>5718</v>
      </c>
      <c r="E168" s="6">
        <f t="shared" si="4"/>
        <v>5247.333333333333</v>
      </c>
      <c r="F168" s="6">
        <f t="shared" si="5"/>
        <v>5098.833333333333</v>
      </c>
    </row>
    <row r="169" spans="1:6" x14ac:dyDescent="0.3">
      <c r="A169">
        <v>72</v>
      </c>
      <c r="B169">
        <v>5126</v>
      </c>
      <c r="E169" s="6">
        <f t="shared" si="4"/>
        <v>5385.333333333333</v>
      </c>
      <c r="F169" s="6">
        <f t="shared" si="5"/>
        <v>5225.166666666667</v>
      </c>
    </row>
    <row r="170" spans="1:6" x14ac:dyDescent="0.3">
      <c r="A170">
        <v>72</v>
      </c>
      <c r="B170">
        <v>5378</v>
      </c>
      <c r="E170" s="6">
        <f t="shared" si="4"/>
        <v>5449.333333333333</v>
      </c>
      <c r="F170" s="6">
        <f t="shared" si="5"/>
        <v>5210</v>
      </c>
    </row>
    <row r="171" spans="1:6" x14ac:dyDescent="0.3">
      <c r="A171">
        <v>72</v>
      </c>
      <c r="B171">
        <v>5155</v>
      </c>
      <c r="E171" s="6">
        <f t="shared" si="4"/>
        <v>5407.333333333333</v>
      </c>
      <c r="F171" s="6">
        <f t="shared" si="5"/>
        <v>5327.333333333333</v>
      </c>
    </row>
    <row r="172" spans="1:6" x14ac:dyDescent="0.3">
      <c r="A172">
        <v>72</v>
      </c>
      <c r="B172">
        <v>5001</v>
      </c>
      <c r="E172" s="6">
        <f t="shared" si="4"/>
        <v>5219.666666666667</v>
      </c>
      <c r="F172" s="6">
        <f t="shared" si="5"/>
        <v>5302.5</v>
      </c>
    </row>
    <row r="173" spans="1:6" x14ac:dyDescent="0.3">
      <c r="A173">
        <v>72</v>
      </c>
      <c r="B173">
        <v>5359</v>
      </c>
      <c r="E173" s="6">
        <f t="shared" si="4"/>
        <v>5178</v>
      </c>
      <c r="F173" s="6">
        <f t="shared" si="5"/>
        <v>5313.666666666667</v>
      </c>
    </row>
    <row r="174" spans="1:6" x14ac:dyDescent="0.3">
      <c r="A174">
        <v>72</v>
      </c>
      <c r="B174">
        <v>5247</v>
      </c>
      <c r="E174" s="6">
        <f t="shared" si="4"/>
        <v>5171.666666666667</v>
      </c>
      <c r="F174" s="6">
        <f t="shared" si="5"/>
        <v>5289.5</v>
      </c>
    </row>
    <row r="175" spans="1:6" x14ac:dyDescent="0.3">
      <c r="A175">
        <v>72</v>
      </c>
      <c r="B175">
        <v>4896</v>
      </c>
      <c r="E175" s="6">
        <f t="shared" si="4"/>
        <v>5202.333333333333</v>
      </c>
      <c r="F175" s="6">
        <f t="shared" si="5"/>
        <v>5211</v>
      </c>
    </row>
    <row r="176" spans="1:6" x14ac:dyDescent="0.3">
      <c r="A176">
        <v>72</v>
      </c>
      <c r="B176">
        <v>5357</v>
      </c>
      <c r="E176" s="6">
        <f t="shared" si="4"/>
        <v>5167.333333333333</v>
      </c>
      <c r="F176" s="6">
        <f t="shared" si="5"/>
        <v>5172.666666666667</v>
      </c>
    </row>
    <row r="177" spans="1:6" x14ac:dyDescent="0.3">
      <c r="A177">
        <v>72</v>
      </c>
      <c r="B177">
        <v>5079</v>
      </c>
      <c r="E177" s="6">
        <f t="shared" si="4"/>
        <v>5166.666666666667</v>
      </c>
      <c r="F177" s="6">
        <f t="shared" si="5"/>
        <v>5169.166666666667</v>
      </c>
    </row>
    <row r="178" spans="1:6" x14ac:dyDescent="0.3">
      <c r="A178">
        <v>73</v>
      </c>
      <c r="B178">
        <v>5213</v>
      </c>
      <c r="E178" s="6">
        <f t="shared" si="4"/>
        <v>5110.666666666667</v>
      </c>
      <c r="F178" s="6">
        <f t="shared" si="5"/>
        <v>5156.5</v>
      </c>
    </row>
    <row r="179" spans="1:6" x14ac:dyDescent="0.3">
      <c r="A179">
        <v>73</v>
      </c>
      <c r="B179">
        <v>5242</v>
      </c>
      <c r="E179" s="6">
        <f t="shared" si="4"/>
        <v>5216.333333333333</v>
      </c>
      <c r="F179" s="6">
        <f t="shared" si="5"/>
        <v>5191.833333333333</v>
      </c>
    </row>
    <row r="180" spans="1:6" x14ac:dyDescent="0.3">
      <c r="A180">
        <v>73</v>
      </c>
      <c r="B180">
        <v>5467</v>
      </c>
      <c r="E180" s="6">
        <f t="shared" si="4"/>
        <v>5178</v>
      </c>
      <c r="F180" s="6">
        <f t="shared" si="5"/>
        <v>5172.333333333333</v>
      </c>
    </row>
    <row r="181" spans="1:6" x14ac:dyDescent="0.3">
      <c r="A181">
        <v>73</v>
      </c>
      <c r="B181">
        <v>5182</v>
      </c>
      <c r="E181" s="6">
        <f t="shared" si="4"/>
        <v>5307.333333333333</v>
      </c>
      <c r="F181" s="6">
        <f t="shared" si="5"/>
        <v>5209</v>
      </c>
    </row>
    <row r="182" spans="1:6" x14ac:dyDescent="0.3">
      <c r="A182">
        <v>73</v>
      </c>
      <c r="B182">
        <v>5321</v>
      </c>
      <c r="E182" s="6">
        <f t="shared" si="4"/>
        <v>5297</v>
      </c>
      <c r="F182" s="6">
        <f t="shared" si="5"/>
        <v>5256.666666666667</v>
      </c>
    </row>
    <row r="183" spans="1:6" x14ac:dyDescent="0.3">
      <c r="A183">
        <v>73</v>
      </c>
      <c r="B183">
        <v>5440</v>
      </c>
      <c r="E183" s="6">
        <f t="shared" si="4"/>
        <v>5323.333333333333</v>
      </c>
      <c r="F183" s="6">
        <f t="shared" si="5"/>
        <v>5250.666666666667</v>
      </c>
    </row>
    <row r="184" spans="1:6" x14ac:dyDescent="0.3">
      <c r="A184">
        <v>73</v>
      </c>
      <c r="B184">
        <v>5501</v>
      </c>
      <c r="E184" s="6">
        <f t="shared" si="4"/>
        <v>5314.333333333333</v>
      </c>
      <c r="F184" s="6">
        <f t="shared" si="5"/>
        <v>5310.833333333333</v>
      </c>
    </row>
    <row r="185" spans="1:6" x14ac:dyDescent="0.3">
      <c r="A185">
        <v>73</v>
      </c>
      <c r="B185">
        <v>5408</v>
      </c>
      <c r="E185" s="6">
        <f t="shared" si="4"/>
        <v>5420.666666666667</v>
      </c>
      <c r="F185" s="6">
        <f t="shared" si="5"/>
        <v>5358.833333333333</v>
      </c>
    </row>
    <row r="186" spans="1:6" x14ac:dyDescent="0.3">
      <c r="A186">
        <v>73</v>
      </c>
      <c r="B186">
        <v>5397</v>
      </c>
      <c r="E186" s="6">
        <f t="shared" si="4"/>
        <v>5449.666666666667</v>
      </c>
      <c r="F186" s="6">
        <f t="shared" si="5"/>
        <v>5386.5</v>
      </c>
    </row>
    <row r="187" spans="1:6" x14ac:dyDescent="0.3">
      <c r="A187">
        <v>74</v>
      </c>
      <c r="B187">
        <v>5528</v>
      </c>
      <c r="E187" s="6">
        <f t="shared" si="4"/>
        <v>5435.333333333333</v>
      </c>
      <c r="F187" s="6">
        <f t="shared" si="5"/>
        <v>5374.833333333333</v>
      </c>
    </row>
    <row r="188" spans="1:6" x14ac:dyDescent="0.3">
      <c r="A188">
        <v>74</v>
      </c>
      <c r="B188">
        <v>5436</v>
      </c>
      <c r="E188" s="6">
        <f t="shared" si="4"/>
        <v>5444.333333333333</v>
      </c>
      <c r="F188" s="6">
        <f t="shared" si="5"/>
        <v>5432.5</v>
      </c>
    </row>
    <row r="189" spans="1:6" x14ac:dyDescent="0.3">
      <c r="A189">
        <v>74</v>
      </c>
      <c r="B189">
        <v>5362</v>
      </c>
      <c r="E189" s="6">
        <f t="shared" si="4"/>
        <v>5453.666666666667</v>
      </c>
      <c r="F189" s="6">
        <f t="shared" si="5"/>
        <v>5451.666666666667</v>
      </c>
    </row>
    <row r="190" spans="1:6" x14ac:dyDescent="0.3">
      <c r="A190">
        <v>74</v>
      </c>
      <c r="B190">
        <v>5065</v>
      </c>
      <c r="E190" s="6">
        <f t="shared" si="4"/>
        <v>5442</v>
      </c>
      <c r="F190" s="6">
        <f t="shared" si="5"/>
        <v>5438.666666666667</v>
      </c>
    </row>
    <row r="191" spans="1:6" x14ac:dyDescent="0.3">
      <c r="A191">
        <v>74</v>
      </c>
      <c r="B191">
        <v>5552</v>
      </c>
      <c r="E191" s="6">
        <f t="shared" si="4"/>
        <v>5287.666666666667</v>
      </c>
      <c r="F191" s="6">
        <f t="shared" si="5"/>
        <v>5366</v>
      </c>
    </row>
    <row r="192" spans="1:6" x14ac:dyDescent="0.3">
      <c r="A192">
        <v>74</v>
      </c>
      <c r="B192">
        <v>5861</v>
      </c>
      <c r="E192" s="6">
        <f t="shared" si="4"/>
        <v>5326.333333333333</v>
      </c>
      <c r="F192" s="6">
        <f t="shared" si="5"/>
        <v>5390</v>
      </c>
    </row>
    <row r="193" spans="1:6" x14ac:dyDescent="0.3">
      <c r="A193">
        <v>74</v>
      </c>
      <c r="B193">
        <v>5064</v>
      </c>
      <c r="E193" s="6">
        <f t="shared" si="4"/>
        <v>5492.666666666667</v>
      </c>
      <c r="F193" s="6">
        <f t="shared" si="5"/>
        <v>5467.333333333333</v>
      </c>
    </row>
    <row r="194" spans="1:6" x14ac:dyDescent="0.3">
      <c r="A194">
        <v>74</v>
      </c>
      <c r="B194">
        <v>5428</v>
      </c>
      <c r="E194" s="6">
        <f t="shared" si="4"/>
        <v>5492.333333333333</v>
      </c>
      <c r="F194" s="6">
        <f t="shared" si="5"/>
        <v>5390</v>
      </c>
    </row>
    <row r="195" spans="1:6" x14ac:dyDescent="0.3">
      <c r="A195">
        <v>74</v>
      </c>
      <c r="B195">
        <v>5395</v>
      </c>
      <c r="E195" s="6">
        <f t="shared" si="4"/>
        <v>5451</v>
      </c>
      <c r="F195" s="6">
        <f t="shared" si="5"/>
        <v>5388.666666666667</v>
      </c>
    </row>
    <row r="196" spans="1:6" x14ac:dyDescent="0.3">
      <c r="A196">
        <v>74</v>
      </c>
      <c r="B196">
        <v>5344</v>
      </c>
      <c r="E196" s="6">
        <f t="shared" si="4"/>
        <v>5295.666666666667</v>
      </c>
      <c r="F196" s="6">
        <f t="shared" si="5"/>
        <v>5394.166666666667</v>
      </c>
    </row>
    <row r="197" spans="1:6" x14ac:dyDescent="0.3">
      <c r="A197">
        <v>74</v>
      </c>
      <c r="B197">
        <v>5710</v>
      </c>
      <c r="E197" s="6">
        <f t="shared" si="4"/>
        <v>5389</v>
      </c>
      <c r="F197" s="6">
        <f t="shared" si="5"/>
        <v>5440.666666666667</v>
      </c>
    </row>
    <row r="198" spans="1:6" x14ac:dyDescent="0.3">
      <c r="A198">
        <v>74</v>
      </c>
      <c r="B198">
        <v>5426</v>
      </c>
      <c r="E198" s="6">
        <f t="shared" ref="E198:E261" si="6">AVERAGE(B195:B197)</f>
        <v>5483</v>
      </c>
      <c r="F198" s="6">
        <f t="shared" si="5"/>
        <v>5467</v>
      </c>
    </row>
    <row r="199" spans="1:6" x14ac:dyDescent="0.3">
      <c r="A199">
        <v>75</v>
      </c>
      <c r="B199">
        <v>5534</v>
      </c>
      <c r="E199" s="6">
        <f t="shared" si="6"/>
        <v>5493.333333333333</v>
      </c>
      <c r="F199" s="6">
        <f t="shared" si="5"/>
        <v>5394.5</v>
      </c>
    </row>
    <row r="200" spans="1:6" x14ac:dyDescent="0.3">
      <c r="A200">
        <v>75</v>
      </c>
      <c r="B200">
        <v>5371</v>
      </c>
      <c r="E200" s="6">
        <f t="shared" si="6"/>
        <v>5556.666666666667</v>
      </c>
      <c r="F200" s="6">
        <f t="shared" si="5"/>
        <v>5472.833333333333</v>
      </c>
    </row>
    <row r="201" spans="1:6" x14ac:dyDescent="0.3">
      <c r="A201">
        <v>75</v>
      </c>
      <c r="B201">
        <v>5784</v>
      </c>
      <c r="E201" s="6">
        <f t="shared" si="6"/>
        <v>5443.666666666667</v>
      </c>
      <c r="F201" s="6">
        <f t="shared" ref="F201:F264" si="7">AVERAGE(B195:B200)</f>
        <v>5463.333333333333</v>
      </c>
    </row>
    <row r="202" spans="1:6" x14ac:dyDescent="0.3">
      <c r="A202">
        <v>75</v>
      </c>
      <c r="B202">
        <v>5591</v>
      </c>
      <c r="E202" s="6">
        <f t="shared" si="6"/>
        <v>5563</v>
      </c>
      <c r="F202" s="6">
        <f t="shared" si="7"/>
        <v>5528.166666666667</v>
      </c>
    </row>
    <row r="203" spans="1:6" x14ac:dyDescent="0.3">
      <c r="A203">
        <v>75</v>
      </c>
      <c r="B203">
        <v>5862</v>
      </c>
      <c r="E203" s="6">
        <f t="shared" si="6"/>
        <v>5582</v>
      </c>
      <c r="F203" s="6">
        <f t="shared" si="7"/>
        <v>5569.333333333333</v>
      </c>
    </row>
    <row r="204" spans="1:6" x14ac:dyDescent="0.3">
      <c r="A204">
        <v>75</v>
      </c>
      <c r="B204">
        <v>5885</v>
      </c>
      <c r="E204" s="6">
        <f t="shared" si="6"/>
        <v>5745.666666666667</v>
      </c>
      <c r="F204" s="6">
        <f t="shared" si="7"/>
        <v>5594.666666666667</v>
      </c>
    </row>
    <row r="205" spans="1:6" x14ac:dyDescent="0.3">
      <c r="A205">
        <v>76</v>
      </c>
      <c r="B205">
        <v>5284</v>
      </c>
      <c r="E205" s="6">
        <f t="shared" si="6"/>
        <v>5779.333333333333</v>
      </c>
      <c r="F205" s="6">
        <f t="shared" si="7"/>
        <v>5671.166666666667</v>
      </c>
    </row>
    <row r="206" spans="1:6" x14ac:dyDescent="0.3">
      <c r="A206">
        <v>76</v>
      </c>
      <c r="B206">
        <v>5659</v>
      </c>
      <c r="E206" s="6">
        <f t="shared" si="6"/>
        <v>5677</v>
      </c>
      <c r="F206" s="6">
        <f t="shared" si="7"/>
        <v>5629.5</v>
      </c>
    </row>
    <row r="207" spans="1:6" x14ac:dyDescent="0.3">
      <c r="A207">
        <v>76</v>
      </c>
      <c r="B207">
        <v>5943</v>
      </c>
      <c r="E207" s="6">
        <f t="shared" si="6"/>
        <v>5609.333333333333</v>
      </c>
      <c r="F207" s="6">
        <f t="shared" si="7"/>
        <v>5677.5</v>
      </c>
    </row>
    <row r="208" spans="1:6" x14ac:dyDescent="0.3">
      <c r="A208">
        <v>76</v>
      </c>
      <c r="B208">
        <v>5969</v>
      </c>
      <c r="E208" s="6">
        <f t="shared" si="6"/>
        <v>5628.666666666667</v>
      </c>
      <c r="F208" s="6">
        <f t="shared" si="7"/>
        <v>5704</v>
      </c>
    </row>
    <row r="209" spans="1:6" x14ac:dyDescent="0.3">
      <c r="A209">
        <v>76</v>
      </c>
      <c r="B209">
        <v>5383</v>
      </c>
      <c r="E209" s="6">
        <f t="shared" si="6"/>
        <v>5857</v>
      </c>
      <c r="F209" s="6">
        <f t="shared" si="7"/>
        <v>5767</v>
      </c>
    </row>
    <row r="210" spans="1:6" x14ac:dyDescent="0.3">
      <c r="A210">
        <v>76</v>
      </c>
      <c r="B210">
        <v>5941</v>
      </c>
      <c r="E210" s="6">
        <f t="shared" si="6"/>
        <v>5765</v>
      </c>
      <c r="F210" s="6">
        <f t="shared" si="7"/>
        <v>5687.166666666667</v>
      </c>
    </row>
    <row r="211" spans="1:6" x14ac:dyDescent="0.3">
      <c r="A211">
        <v>76</v>
      </c>
      <c r="B211">
        <v>5317</v>
      </c>
      <c r="E211" s="6">
        <f t="shared" si="6"/>
        <v>5764.333333333333</v>
      </c>
      <c r="F211" s="6">
        <f t="shared" si="7"/>
        <v>5696.5</v>
      </c>
    </row>
    <row r="212" spans="1:6" x14ac:dyDescent="0.3">
      <c r="A212">
        <v>76</v>
      </c>
      <c r="B212">
        <v>5348</v>
      </c>
      <c r="E212" s="6">
        <f t="shared" si="6"/>
        <v>5547</v>
      </c>
      <c r="F212" s="6">
        <f t="shared" si="7"/>
        <v>5702</v>
      </c>
    </row>
    <row r="213" spans="1:6" x14ac:dyDescent="0.3">
      <c r="A213">
        <v>76</v>
      </c>
      <c r="B213">
        <v>5994</v>
      </c>
      <c r="E213" s="6">
        <f t="shared" si="6"/>
        <v>5535.333333333333</v>
      </c>
      <c r="F213" s="6">
        <f t="shared" si="7"/>
        <v>5650.166666666667</v>
      </c>
    </row>
    <row r="214" spans="1:6" x14ac:dyDescent="0.3">
      <c r="A214">
        <v>76</v>
      </c>
      <c r="B214">
        <v>6031</v>
      </c>
      <c r="E214" s="6">
        <f t="shared" si="6"/>
        <v>5553</v>
      </c>
      <c r="F214" s="6">
        <f t="shared" si="7"/>
        <v>5658.666666666667</v>
      </c>
    </row>
    <row r="215" spans="1:6" x14ac:dyDescent="0.3">
      <c r="A215">
        <v>76</v>
      </c>
      <c r="B215">
        <v>6033</v>
      </c>
      <c r="E215" s="6">
        <f t="shared" si="6"/>
        <v>5791</v>
      </c>
      <c r="F215" s="6">
        <f t="shared" si="7"/>
        <v>5669</v>
      </c>
    </row>
    <row r="216" spans="1:6" x14ac:dyDescent="0.3">
      <c r="A216">
        <v>77</v>
      </c>
      <c r="B216">
        <v>5382</v>
      </c>
      <c r="E216" s="6">
        <f t="shared" si="6"/>
        <v>6019.333333333333</v>
      </c>
      <c r="F216" s="6">
        <f t="shared" si="7"/>
        <v>5777.333333333333</v>
      </c>
    </row>
    <row r="217" spans="1:6" x14ac:dyDescent="0.3">
      <c r="A217">
        <v>77</v>
      </c>
      <c r="B217">
        <v>5307</v>
      </c>
      <c r="E217" s="6">
        <f t="shared" si="6"/>
        <v>5815.333333333333</v>
      </c>
      <c r="F217" s="6">
        <f t="shared" si="7"/>
        <v>5684.166666666667</v>
      </c>
    </row>
    <row r="218" spans="1:6" x14ac:dyDescent="0.3">
      <c r="A218">
        <v>77</v>
      </c>
      <c r="B218">
        <v>5948</v>
      </c>
      <c r="E218" s="6">
        <f t="shared" si="6"/>
        <v>5574</v>
      </c>
      <c r="F218" s="6">
        <f t="shared" si="7"/>
        <v>5682.5</v>
      </c>
    </row>
    <row r="219" spans="1:6" x14ac:dyDescent="0.3">
      <c r="A219">
        <v>77</v>
      </c>
      <c r="B219">
        <v>5410</v>
      </c>
      <c r="E219" s="6">
        <f t="shared" si="6"/>
        <v>5545.666666666667</v>
      </c>
      <c r="F219" s="6">
        <f t="shared" si="7"/>
        <v>5782.5</v>
      </c>
    </row>
    <row r="220" spans="1:6" x14ac:dyDescent="0.3">
      <c r="A220">
        <v>77</v>
      </c>
      <c r="B220">
        <v>5633</v>
      </c>
      <c r="E220" s="6">
        <f t="shared" si="6"/>
        <v>5555</v>
      </c>
      <c r="F220" s="6">
        <f t="shared" si="7"/>
        <v>5685.166666666667</v>
      </c>
    </row>
    <row r="221" spans="1:6" x14ac:dyDescent="0.3">
      <c r="A221">
        <v>77</v>
      </c>
      <c r="B221">
        <v>5987</v>
      </c>
      <c r="E221" s="6">
        <f t="shared" si="6"/>
        <v>5663.666666666667</v>
      </c>
      <c r="F221" s="6">
        <f t="shared" si="7"/>
        <v>5618.833333333333</v>
      </c>
    </row>
    <row r="222" spans="1:6" x14ac:dyDescent="0.3">
      <c r="A222">
        <v>77</v>
      </c>
      <c r="B222">
        <v>6075</v>
      </c>
      <c r="E222" s="6">
        <f t="shared" si="6"/>
        <v>5676.666666666667</v>
      </c>
      <c r="F222" s="6">
        <f t="shared" si="7"/>
        <v>5611.166666666667</v>
      </c>
    </row>
    <row r="223" spans="1:6" x14ac:dyDescent="0.3">
      <c r="A223">
        <v>77</v>
      </c>
      <c r="B223">
        <v>5643</v>
      </c>
      <c r="E223" s="6">
        <f t="shared" si="6"/>
        <v>5898.333333333333</v>
      </c>
      <c r="F223" s="6">
        <f t="shared" si="7"/>
        <v>5726.666666666667</v>
      </c>
    </row>
    <row r="224" spans="1:6" x14ac:dyDescent="0.3">
      <c r="A224">
        <v>77</v>
      </c>
      <c r="B224">
        <v>6086</v>
      </c>
      <c r="E224" s="6">
        <f t="shared" si="6"/>
        <v>5901.666666666667</v>
      </c>
      <c r="F224" s="6">
        <f t="shared" si="7"/>
        <v>5782.666666666667</v>
      </c>
    </row>
    <row r="225" spans="1:6" x14ac:dyDescent="0.3">
      <c r="A225">
        <v>77</v>
      </c>
      <c r="B225">
        <v>5507</v>
      </c>
      <c r="E225" s="6">
        <f t="shared" si="6"/>
        <v>5934.666666666667</v>
      </c>
      <c r="F225" s="6">
        <f t="shared" si="7"/>
        <v>5805.666666666667</v>
      </c>
    </row>
    <row r="226" spans="1:6" x14ac:dyDescent="0.3">
      <c r="A226">
        <v>77</v>
      </c>
      <c r="B226">
        <v>5839</v>
      </c>
      <c r="E226" s="6">
        <f t="shared" si="6"/>
        <v>5745.333333333333</v>
      </c>
      <c r="F226" s="6">
        <f t="shared" si="7"/>
        <v>5821.833333333333</v>
      </c>
    </row>
    <row r="227" spans="1:6" x14ac:dyDescent="0.3">
      <c r="A227">
        <v>77</v>
      </c>
      <c r="B227">
        <v>5872</v>
      </c>
      <c r="E227" s="6">
        <f t="shared" si="6"/>
        <v>5810.666666666667</v>
      </c>
      <c r="F227" s="6">
        <f t="shared" si="7"/>
        <v>5856.166666666667</v>
      </c>
    </row>
    <row r="228" spans="1:6" x14ac:dyDescent="0.3">
      <c r="A228">
        <v>77</v>
      </c>
      <c r="B228">
        <v>5752</v>
      </c>
      <c r="E228" s="6">
        <f t="shared" si="6"/>
        <v>5739.333333333333</v>
      </c>
      <c r="F228" s="6">
        <f t="shared" si="7"/>
        <v>5837</v>
      </c>
    </row>
    <row r="229" spans="1:6" x14ac:dyDescent="0.3">
      <c r="A229">
        <v>77</v>
      </c>
      <c r="B229">
        <v>5633</v>
      </c>
      <c r="E229" s="6">
        <f t="shared" si="6"/>
        <v>5821</v>
      </c>
      <c r="F229" s="6">
        <f t="shared" si="7"/>
        <v>5783.166666666667</v>
      </c>
    </row>
    <row r="230" spans="1:6" x14ac:dyDescent="0.3">
      <c r="A230">
        <v>77</v>
      </c>
      <c r="B230">
        <v>5747</v>
      </c>
      <c r="E230" s="6">
        <f t="shared" si="6"/>
        <v>5752.333333333333</v>
      </c>
      <c r="F230" s="6">
        <f t="shared" si="7"/>
        <v>5781.5</v>
      </c>
    </row>
    <row r="231" spans="1:6" x14ac:dyDescent="0.3">
      <c r="A231">
        <v>78</v>
      </c>
      <c r="B231">
        <v>5813</v>
      </c>
      <c r="E231" s="6">
        <f t="shared" si="6"/>
        <v>5710.666666666667</v>
      </c>
      <c r="F231" s="6">
        <f t="shared" si="7"/>
        <v>5725</v>
      </c>
    </row>
    <row r="232" spans="1:6" x14ac:dyDescent="0.3">
      <c r="A232">
        <v>78</v>
      </c>
      <c r="B232">
        <v>6046</v>
      </c>
      <c r="E232" s="6">
        <f t="shared" si="6"/>
        <v>5731</v>
      </c>
      <c r="F232" s="6">
        <f t="shared" si="7"/>
        <v>5776</v>
      </c>
    </row>
    <row r="233" spans="1:6" x14ac:dyDescent="0.3">
      <c r="A233">
        <v>78</v>
      </c>
      <c r="B233">
        <v>6033</v>
      </c>
      <c r="E233" s="6">
        <f t="shared" si="6"/>
        <v>5868.666666666667</v>
      </c>
      <c r="F233" s="6">
        <f t="shared" si="7"/>
        <v>5810.5</v>
      </c>
    </row>
    <row r="234" spans="1:6" x14ac:dyDescent="0.3">
      <c r="A234">
        <v>78</v>
      </c>
      <c r="B234">
        <v>6089</v>
      </c>
      <c r="E234" s="6">
        <f t="shared" si="6"/>
        <v>5964</v>
      </c>
      <c r="F234" s="6">
        <f t="shared" si="7"/>
        <v>5837.333333333333</v>
      </c>
    </row>
    <row r="235" spans="1:6" x14ac:dyDescent="0.3">
      <c r="A235">
        <v>78</v>
      </c>
      <c r="B235">
        <v>6258</v>
      </c>
      <c r="E235" s="6">
        <f t="shared" si="6"/>
        <v>6056</v>
      </c>
      <c r="F235" s="6">
        <f t="shared" si="7"/>
        <v>5893.5</v>
      </c>
    </row>
    <row r="236" spans="1:6" x14ac:dyDescent="0.3">
      <c r="A236">
        <v>78</v>
      </c>
      <c r="B236">
        <v>6122</v>
      </c>
      <c r="E236" s="6">
        <f t="shared" si="6"/>
        <v>6126.666666666667</v>
      </c>
      <c r="F236" s="6">
        <f t="shared" si="7"/>
        <v>5997.666666666667</v>
      </c>
    </row>
    <row r="237" spans="1:6" x14ac:dyDescent="0.3">
      <c r="A237">
        <v>78</v>
      </c>
      <c r="B237">
        <v>5962</v>
      </c>
      <c r="E237" s="6">
        <f t="shared" si="6"/>
        <v>6156.333333333333</v>
      </c>
      <c r="F237" s="6">
        <f t="shared" si="7"/>
        <v>6060.166666666667</v>
      </c>
    </row>
    <row r="238" spans="1:6" x14ac:dyDescent="0.3">
      <c r="A238">
        <v>78</v>
      </c>
      <c r="B238">
        <v>5831</v>
      </c>
      <c r="E238" s="6">
        <f t="shared" si="6"/>
        <v>6114</v>
      </c>
      <c r="F238" s="6">
        <f t="shared" si="7"/>
        <v>6085</v>
      </c>
    </row>
    <row r="239" spans="1:6" x14ac:dyDescent="0.3">
      <c r="A239">
        <v>78</v>
      </c>
      <c r="B239">
        <v>5912</v>
      </c>
      <c r="E239" s="6">
        <f t="shared" si="6"/>
        <v>5971.666666666667</v>
      </c>
      <c r="F239" s="6">
        <f t="shared" si="7"/>
        <v>6049.166666666667</v>
      </c>
    </row>
    <row r="240" spans="1:6" x14ac:dyDescent="0.3">
      <c r="A240">
        <v>78</v>
      </c>
      <c r="B240">
        <v>5793</v>
      </c>
      <c r="E240" s="6">
        <f t="shared" si="6"/>
        <v>5901.666666666667</v>
      </c>
      <c r="F240" s="6">
        <f t="shared" si="7"/>
        <v>6029</v>
      </c>
    </row>
    <row r="241" spans="1:6" x14ac:dyDescent="0.3">
      <c r="A241">
        <v>78</v>
      </c>
      <c r="B241">
        <v>5725</v>
      </c>
      <c r="E241" s="6">
        <f t="shared" si="6"/>
        <v>5845.333333333333</v>
      </c>
      <c r="F241" s="6">
        <f t="shared" si="7"/>
        <v>5979.666666666667</v>
      </c>
    </row>
    <row r="242" spans="1:6" x14ac:dyDescent="0.3">
      <c r="A242">
        <v>78</v>
      </c>
      <c r="B242">
        <v>6220</v>
      </c>
      <c r="E242" s="6">
        <f t="shared" si="6"/>
        <v>5810</v>
      </c>
      <c r="F242" s="6">
        <f t="shared" si="7"/>
        <v>5890.833333333333</v>
      </c>
    </row>
    <row r="243" spans="1:6" x14ac:dyDescent="0.3">
      <c r="A243">
        <v>79</v>
      </c>
      <c r="B243">
        <v>5970</v>
      </c>
      <c r="E243" s="6">
        <f t="shared" si="6"/>
        <v>5912.666666666667</v>
      </c>
      <c r="F243" s="6">
        <f t="shared" si="7"/>
        <v>5907.166666666667</v>
      </c>
    </row>
    <row r="244" spans="1:6" x14ac:dyDescent="0.3">
      <c r="A244">
        <v>79</v>
      </c>
      <c r="B244">
        <v>6482</v>
      </c>
      <c r="E244" s="6">
        <f t="shared" si="6"/>
        <v>5971.666666666667</v>
      </c>
      <c r="F244" s="6">
        <f t="shared" si="7"/>
        <v>5908.5</v>
      </c>
    </row>
    <row r="245" spans="1:6" x14ac:dyDescent="0.3">
      <c r="A245">
        <v>79</v>
      </c>
      <c r="B245">
        <v>5706</v>
      </c>
      <c r="E245" s="6">
        <f t="shared" si="6"/>
        <v>6224</v>
      </c>
      <c r="F245" s="6">
        <f t="shared" si="7"/>
        <v>6017</v>
      </c>
    </row>
    <row r="246" spans="1:6" x14ac:dyDescent="0.3">
      <c r="A246">
        <v>79</v>
      </c>
      <c r="B246">
        <v>6252</v>
      </c>
      <c r="E246" s="6">
        <f t="shared" si="6"/>
        <v>6052.666666666667</v>
      </c>
      <c r="F246" s="6">
        <f t="shared" si="7"/>
        <v>5982.666666666667</v>
      </c>
    </row>
    <row r="247" spans="1:6" x14ac:dyDescent="0.3">
      <c r="A247">
        <v>79</v>
      </c>
      <c r="B247">
        <v>5993</v>
      </c>
      <c r="E247" s="6">
        <f t="shared" si="6"/>
        <v>6146.666666666667</v>
      </c>
      <c r="F247" s="6">
        <f t="shared" si="7"/>
        <v>6059.166666666667</v>
      </c>
    </row>
    <row r="248" spans="1:6" x14ac:dyDescent="0.3">
      <c r="A248">
        <v>79</v>
      </c>
      <c r="B248">
        <v>6171</v>
      </c>
      <c r="E248" s="6">
        <f t="shared" si="6"/>
        <v>5983.666666666667</v>
      </c>
      <c r="F248" s="6">
        <f t="shared" si="7"/>
        <v>6103.833333333333</v>
      </c>
    </row>
    <row r="249" spans="1:6" x14ac:dyDescent="0.3">
      <c r="A249">
        <v>79</v>
      </c>
      <c r="B249">
        <v>5949</v>
      </c>
      <c r="E249" s="6">
        <f t="shared" si="6"/>
        <v>6138.666666666667</v>
      </c>
      <c r="F249" s="6">
        <f t="shared" si="7"/>
        <v>6095.666666666667</v>
      </c>
    </row>
    <row r="250" spans="1:6" x14ac:dyDescent="0.3">
      <c r="A250">
        <v>79</v>
      </c>
      <c r="B250">
        <v>6742</v>
      </c>
      <c r="E250" s="6">
        <f t="shared" si="6"/>
        <v>6037.666666666667</v>
      </c>
      <c r="F250" s="6">
        <f t="shared" si="7"/>
        <v>6092.166666666667</v>
      </c>
    </row>
    <row r="251" spans="1:6" x14ac:dyDescent="0.3">
      <c r="A251">
        <v>79</v>
      </c>
      <c r="B251">
        <v>5634</v>
      </c>
      <c r="E251" s="6">
        <f t="shared" si="6"/>
        <v>6287.333333333333</v>
      </c>
      <c r="F251" s="6">
        <f t="shared" si="7"/>
        <v>6135.5</v>
      </c>
    </row>
    <row r="252" spans="1:6" x14ac:dyDescent="0.3">
      <c r="A252">
        <v>79</v>
      </c>
      <c r="B252">
        <v>5969</v>
      </c>
      <c r="E252" s="6">
        <f t="shared" si="6"/>
        <v>6108.333333333333</v>
      </c>
      <c r="F252" s="6">
        <f t="shared" si="7"/>
        <v>6123.5</v>
      </c>
    </row>
    <row r="253" spans="1:6" x14ac:dyDescent="0.3">
      <c r="A253">
        <v>79</v>
      </c>
      <c r="B253">
        <v>5744</v>
      </c>
      <c r="E253" s="6">
        <f t="shared" si="6"/>
        <v>6115</v>
      </c>
      <c r="F253" s="6">
        <f t="shared" si="7"/>
        <v>6076.333333333333</v>
      </c>
    </row>
    <row r="254" spans="1:6" x14ac:dyDescent="0.3">
      <c r="A254">
        <v>79</v>
      </c>
      <c r="B254">
        <v>6463</v>
      </c>
      <c r="E254" s="6">
        <f t="shared" si="6"/>
        <v>5782.333333333333</v>
      </c>
      <c r="F254" s="6">
        <f t="shared" si="7"/>
        <v>6034.833333333333</v>
      </c>
    </row>
    <row r="255" spans="1:6" x14ac:dyDescent="0.3">
      <c r="A255">
        <v>80</v>
      </c>
      <c r="B255">
        <v>5547</v>
      </c>
      <c r="E255" s="6">
        <f t="shared" si="6"/>
        <v>6058.666666666667</v>
      </c>
      <c r="F255" s="6">
        <f t="shared" si="7"/>
        <v>6083.5</v>
      </c>
    </row>
    <row r="256" spans="1:6" x14ac:dyDescent="0.3">
      <c r="A256">
        <v>80</v>
      </c>
      <c r="B256">
        <v>6122</v>
      </c>
      <c r="E256" s="6">
        <f t="shared" si="6"/>
        <v>5918</v>
      </c>
      <c r="F256" s="6">
        <f t="shared" si="7"/>
        <v>6016.5</v>
      </c>
    </row>
    <row r="257" spans="1:6" x14ac:dyDescent="0.3">
      <c r="A257">
        <v>80</v>
      </c>
      <c r="B257">
        <v>6279</v>
      </c>
      <c r="E257" s="6">
        <f t="shared" si="6"/>
        <v>6044</v>
      </c>
      <c r="F257" s="6">
        <f t="shared" si="7"/>
        <v>5913.166666666667</v>
      </c>
    </row>
    <row r="258" spans="1:6" x14ac:dyDescent="0.3">
      <c r="A258">
        <v>80</v>
      </c>
      <c r="B258">
        <v>5991</v>
      </c>
      <c r="E258" s="6">
        <f t="shared" si="6"/>
        <v>5982.666666666667</v>
      </c>
      <c r="F258" s="6">
        <f t="shared" si="7"/>
        <v>6020.666666666667</v>
      </c>
    </row>
    <row r="259" spans="1:6" x14ac:dyDescent="0.3">
      <c r="A259">
        <v>80</v>
      </c>
      <c r="B259">
        <v>6159</v>
      </c>
      <c r="E259" s="6">
        <f t="shared" si="6"/>
        <v>6130.666666666667</v>
      </c>
      <c r="F259" s="6">
        <f t="shared" si="7"/>
        <v>6024.333333333333</v>
      </c>
    </row>
    <row r="260" spans="1:6" x14ac:dyDescent="0.3">
      <c r="A260">
        <v>80</v>
      </c>
      <c r="B260">
        <v>6346</v>
      </c>
      <c r="E260" s="6">
        <f t="shared" si="6"/>
        <v>6143</v>
      </c>
      <c r="F260" s="6">
        <f t="shared" si="7"/>
        <v>6093.5</v>
      </c>
    </row>
    <row r="261" spans="1:6" x14ac:dyDescent="0.3">
      <c r="A261">
        <v>80</v>
      </c>
      <c r="B261">
        <v>6445</v>
      </c>
      <c r="E261" s="6">
        <f t="shared" si="6"/>
        <v>6165.333333333333</v>
      </c>
      <c r="F261" s="6">
        <f t="shared" si="7"/>
        <v>6074</v>
      </c>
    </row>
    <row r="262" spans="1:6" x14ac:dyDescent="0.3">
      <c r="A262">
        <v>80</v>
      </c>
      <c r="B262">
        <v>6542</v>
      </c>
      <c r="E262" s="6">
        <f t="shared" ref="E262:E325" si="8">AVERAGE(B259:B261)</f>
        <v>6316.666666666667</v>
      </c>
      <c r="F262" s="6">
        <f t="shared" si="7"/>
        <v>6223.666666666667</v>
      </c>
    </row>
    <row r="263" spans="1:6" x14ac:dyDescent="0.3">
      <c r="A263">
        <v>80</v>
      </c>
      <c r="B263">
        <v>6182</v>
      </c>
      <c r="E263" s="6">
        <f t="shared" si="8"/>
        <v>6444.333333333333</v>
      </c>
      <c r="F263" s="6">
        <f t="shared" si="7"/>
        <v>6293.666666666667</v>
      </c>
    </row>
    <row r="264" spans="1:6" x14ac:dyDescent="0.3">
      <c r="A264">
        <v>81</v>
      </c>
      <c r="B264">
        <v>6436</v>
      </c>
      <c r="E264" s="6">
        <f t="shared" si="8"/>
        <v>6389.666666666667</v>
      </c>
      <c r="F264" s="6">
        <f t="shared" si="7"/>
        <v>6277.5</v>
      </c>
    </row>
    <row r="265" spans="1:6" x14ac:dyDescent="0.3">
      <c r="A265">
        <v>81</v>
      </c>
      <c r="B265">
        <v>5811</v>
      </c>
      <c r="E265" s="6">
        <f t="shared" si="8"/>
        <v>6386.666666666667</v>
      </c>
      <c r="F265" s="6">
        <f t="shared" ref="F265:F328" si="9">AVERAGE(B259:B264)</f>
        <v>6351.666666666667</v>
      </c>
    </row>
    <row r="266" spans="1:6" x14ac:dyDescent="0.3">
      <c r="A266">
        <v>81</v>
      </c>
      <c r="B266">
        <v>5947</v>
      </c>
      <c r="E266" s="6">
        <f t="shared" si="8"/>
        <v>6143</v>
      </c>
      <c r="F266" s="6">
        <f t="shared" si="9"/>
        <v>6293.666666666667</v>
      </c>
    </row>
    <row r="267" spans="1:6" x14ac:dyDescent="0.3">
      <c r="A267">
        <v>81</v>
      </c>
      <c r="B267">
        <v>6586</v>
      </c>
      <c r="E267" s="6">
        <f t="shared" si="8"/>
        <v>6064.666666666667</v>
      </c>
      <c r="F267" s="6">
        <f t="shared" si="9"/>
        <v>6227.166666666667</v>
      </c>
    </row>
    <row r="268" spans="1:6" x14ac:dyDescent="0.3">
      <c r="A268">
        <v>81</v>
      </c>
      <c r="B268">
        <v>6152</v>
      </c>
      <c r="E268" s="6">
        <f t="shared" si="8"/>
        <v>6114.666666666667</v>
      </c>
      <c r="F268" s="6">
        <f t="shared" si="9"/>
        <v>6250.666666666667</v>
      </c>
    </row>
    <row r="269" spans="1:6" x14ac:dyDescent="0.3">
      <c r="A269">
        <v>81</v>
      </c>
      <c r="B269">
        <v>6212</v>
      </c>
      <c r="E269" s="6">
        <f t="shared" si="8"/>
        <v>6228.333333333333</v>
      </c>
      <c r="F269" s="6">
        <f t="shared" si="9"/>
        <v>6185.666666666667</v>
      </c>
    </row>
    <row r="270" spans="1:6" x14ac:dyDescent="0.3">
      <c r="A270">
        <v>81</v>
      </c>
      <c r="B270">
        <v>6423</v>
      </c>
      <c r="E270" s="6">
        <f t="shared" si="8"/>
        <v>6316.666666666667</v>
      </c>
      <c r="F270" s="6">
        <f t="shared" si="9"/>
        <v>6190.666666666667</v>
      </c>
    </row>
    <row r="271" spans="1:6" x14ac:dyDescent="0.3">
      <c r="A271">
        <v>81</v>
      </c>
      <c r="B271">
        <v>6236</v>
      </c>
      <c r="E271" s="6">
        <f t="shared" si="8"/>
        <v>6262.333333333333</v>
      </c>
      <c r="F271" s="6">
        <f t="shared" si="9"/>
        <v>6188.5</v>
      </c>
    </row>
    <row r="272" spans="1:6" x14ac:dyDescent="0.3">
      <c r="A272">
        <v>81</v>
      </c>
      <c r="B272">
        <v>6232</v>
      </c>
      <c r="E272" s="6">
        <f t="shared" si="8"/>
        <v>6290.333333333333</v>
      </c>
      <c r="F272" s="6">
        <f t="shared" si="9"/>
        <v>6259.333333333333</v>
      </c>
    </row>
    <row r="273" spans="1:6" x14ac:dyDescent="0.3">
      <c r="A273">
        <v>82</v>
      </c>
      <c r="B273">
        <v>6497</v>
      </c>
      <c r="E273" s="6">
        <f t="shared" si="8"/>
        <v>6297</v>
      </c>
      <c r="F273" s="6">
        <f t="shared" si="9"/>
        <v>6306.833333333333</v>
      </c>
    </row>
    <row r="274" spans="1:6" x14ac:dyDescent="0.3">
      <c r="A274">
        <v>82</v>
      </c>
      <c r="B274">
        <v>6615</v>
      </c>
      <c r="E274" s="6">
        <f t="shared" si="8"/>
        <v>6321.666666666667</v>
      </c>
      <c r="F274" s="6">
        <f t="shared" si="9"/>
        <v>6292</v>
      </c>
    </row>
    <row r="275" spans="1:6" x14ac:dyDescent="0.3">
      <c r="A275">
        <v>82</v>
      </c>
      <c r="B275">
        <v>6402</v>
      </c>
      <c r="E275" s="6">
        <f t="shared" si="8"/>
        <v>6448</v>
      </c>
      <c r="F275" s="6">
        <f t="shared" si="9"/>
        <v>6369.166666666667</v>
      </c>
    </row>
    <row r="276" spans="1:6" x14ac:dyDescent="0.3">
      <c r="A276">
        <v>82</v>
      </c>
      <c r="B276">
        <v>6341</v>
      </c>
      <c r="E276" s="6">
        <f t="shared" si="8"/>
        <v>6504.666666666667</v>
      </c>
      <c r="F276" s="6">
        <f t="shared" si="9"/>
        <v>6400.833333333333</v>
      </c>
    </row>
    <row r="277" spans="1:6" x14ac:dyDescent="0.3">
      <c r="A277">
        <v>82</v>
      </c>
      <c r="B277">
        <v>6185</v>
      </c>
      <c r="E277" s="6">
        <f t="shared" si="8"/>
        <v>6452.666666666667</v>
      </c>
      <c r="F277" s="6">
        <f t="shared" si="9"/>
        <v>6387.166666666667</v>
      </c>
    </row>
    <row r="278" spans="1:6" x14ac:dyDescent="0.3">
      <c r="A278">
        <v>82</v>
      </c>
      <c r="B278">
        <v>6549</v>
      </c>
      <c r="E278" s="6">
        <f t="shared" si="8"/>
        <v>6309.333333333333</v>
      </c>
      <c r="F278" s="6">
        <f t="shared" si="9"/>
        <v>6378.666666666667</v>
      </c>
    </row>
    <row r="279" spans="1:6" x14ac:dyDescent="0.3">
      <c r="A279">
        <v>82</v>
      </c>
      <c r="B279">
        <v>6439</v>
      </c>
      <c r="E279" s="6">
        <f t="shared" si="8"/>
        <v>6358.333333333333</v>
      </c>
      <c r="F279" s="6">
        <f t="shared" si="9"/>
        <v>6431.5</v>
      </c>
    </row>
    <row r="280" spans="1:6" x14ac:dyDescent="0.3">
      <c r="A280">
        <v>82</v>
      </c>
      <c r="B280">
        <v>6606</v>
      </c>
      <c r="E280" s="6">
        <f t="shared" si="8"/>
        <v>6391</v>
      </c>
      <c r="F280" s="6">
        <f t="shared" si="9"/>
        <v>6421.833333333333</v>
      </c>
    </row>
    <row r="281" spans="1:6" x14ac:dyDescent="0.3">
      <c r="A281">
        <v>82</v>
      </c>
      <c r="B281">
        <v>6486</v>
      </c>
      <c r="E281" s="6">
        <f t="shared" si="8"/>
        <v>6531.333333333333</v>
      </c>
      <c r="F281" s="6">
        <f t="shared" si="9"/>
        <v>6420.333333333333</v>
      </c>
    </row>
    <row r="282" spans="1:6" x14ac:dyDescent="0.3">
      <c r="A282">
        <v>82</v>
      </c>
      <c r="B282">
        <v>6285</v>
      </c>
      <c r="E282" s="6">
        <f t="shared" si="8"/>
        <v>6510.333333333333</v>
      </c>
      <c r="F282" s="6">
        <f t="shared" si="9"/>
        <v>6434.333333333333</v>
      </c>
    </row>
    <row r="283" spans="1:6" x14ac:dyDescent="0.3">
      <c r="A283">
        <v>82</v>
      </c>
      <c r="B283">
        <v>6657</v>
      </c>
      <c r="E283" s="6">
        <f t="shared" si="8"/>
        <v>6459</v>
      </c>
      <c r="F283" s="6">
        <f t="shared" si="9"/>
        <v>6425</v>
      </c>
    </row>
    <row r="284" spans="1:6" x14ac:dyDescent="0.3">
      <c r="A284">
        <v>83</v>
      </c>
      <c r="B284">
        <v>6554</v>
      </c>
      <c r="E284" s="6">
        <f t="shared" si="8"/>
        <v>6476</v>
      </c>
      <c r="F284" s="6">
        <f t="shared" si="9"/>
        <v>6503.666666666667</v>
      </c>
    </row>
    <row r="285" spans="1:6" x14ac:dyDescent="0.3">
      <c r="A285">
        <v>83</v>
      </c>
      <c r="B285">
        <v>6258</v>
      </c>
      <c r="E285" s="6">
        <f t="shared" si="8"/>
        <v>6498.666666666667</v>
      </c>
      <c r="F285" s="6">
        <f t="shared" si="9"/>
        <v>6504.5</v>
      </c>
    </row>
    <row r="286" spans="1:6" x14ac:dyDescent="0.3">
      <c r="A286">
        <v>83</v>
      </c>
      <c r="B286">
        <v>6329</v>
      </c>
      <c r="E286" s="6">
        <f t="shared" si="8"/>
        <v>6489.666666666667</v>
      </c>
      <c r="F286" s="6">
        <f t="shared" si="9"/>
        <v>6474.333333333333</v>
      </c>
    </row>
    <row r="287" spans="1:6" x14ac:dyDescent="0.3">
      <c r="A287">
        <v>83</v>
      </c>
      <c r="B287">
        <v>6438</v>
      </c>
      <c r="E287" s="6">
        <f t="shared" si="8"/>
        <v>6380.333333333333</v>
      </c>
      <c r="F287" s="6">
        <f t="shared" si="9"/>
        <v>6428.166666666667</v>
      </c>
    </row>
    <row r="288" spans="1:6" x14ac:dyDescent="0.3">
      <c r="A288">
        <v>83</v>
      </c>
      <c r="B288">
        <v>6078</v>
      </c>
      <c r="E288" s="6">
        <f t="shared" si="8"/>
        <v>6341.666666666667</v>
      </c>
      <c r="F288" s="6">
        <f t="shared" si="9"/>
        <v>6420.166666666667</v>
      </c>
    </row>
    <row r="289" spans="1:6" x14ac:dyDescent="0.3">
      <c r="A289">
        <v>83</v>
      </c>
      <c r="B289">
        <v>6566</v>
      </c>
      <c r="E289" s="6">
        <f t="shared" si="8"/>
        <v>6281.666666666667</v>
      </c>
      <c r="F289" s="6">
        <f t="shared" si="9"/>
        <v>6385.666666666667</v>
      </c>
    </row>
    <row r="290" spans="1:6" x14ac:dyDescent="0.3">
      <c r="A290">
        <v>84</v>
      </c>
      <c r="B290">
        <v>6661</v>
      </c>
      <c r="E290" s="6">
        <f t="shared" si="8"/>
        <v>6360.666666666667</v>
      </c>
      <c r="F290" s="6">
        <f t="shared" si="9"/>
        <v>6370.5</v>
      </c>
    </row>
    <row r="291" spans="1:6" x14ac:dyDescent="0.3">
      <c r="A291">
        <v>84</v>
      </c>
      <c r="B291">
        <v>6512</v>
      </c>
      <c r="E291" s="6">
        <f t="shared" si="8"/>
        <v>6435</v>
      </c>
      <c r="F291" s="6">
        <f t="shared" si="9"/>
        <v>6388.333333333333</v>
      </c>
    </row>
    <row r="292" spans="1:6" x14ac:dyDescent="0.3">
      <c r="A292">
        <v>84</v>
      </c>
      <c r="B292">
        <v>6313</v>
      </c>
      <c r="E292" s="6">
        <f t="shared" si="8"/>
        <v>6579.666666666667</v>
      </c>
      <c r="F292" s="6">
        <f t="shared" si="9"/>
        <v>6430.666666666667</v>
      </c>
    </row>
    <row r="293" spans="1:6" x14ac:dyDescent="0.3">
      <c r="A293">
        <v>84</v>
      </c>
      <c r="B293">
        <v>6335</v>
      </c>
      <c r="E293" s="6">
        <f t="shared" si="8"/>
        <v>6495.333333333333</v>
      </c>
      <c r="F293" s="6">
        <f t="shared" si="9"/>
        <v>6428</v>
      </c>
    </row>
    <row r="294" spans="1:6" x14ac:dyDescent="0.3">
      <c r="A294">
        <v>84</v>
      </c>
      <c r="B294">
        <v>6540</v>
      </c>
      <c r="E294" s="6">
        <f t="shared" si="8"/>
        <v>6386.666666666667</v>
      </c>
      <c r="F294" s="6">
        <f t="shared" si="9"/>
        <v>6410.833333333333</v>
      </c>
    </row>
    <row r="295" spans="1:6" x14ac:dyDescent="0.3">
      <c r="A295">
        <v>84</v>
      </c>
      <c r="B295">
        <v>6541</v>
      </c>
      <c r="E295" s="6">
        <f t="shared" si="8"/>
        <v>6396</v>
      </c>
      <c r="F295" s="6">
        <f t="shared" si="9"/>
        <v>6487.833333333333</v>
      </c>
    </row>
    <row r="296" spans="1:6" x14ac:dyDescent="0.3">
      <c r="A296">
        <v>84</v>
      </c>
      <c r="B296">
        <v>6828</v>
      </c>
      <c r="E296" s="6">
        <f t="shared" si="8"/>
        <v>6472</v>
      </c>
      <c r="F296" s="6">
        <f t="shared" si="9"/>
        <v>6483.666666666667</v>
      </c>
    </row>
    <row r="297" spans="1:6" x14ac:dyDescent="0.3">
      <c r="A297">
        <v>84</v>
      </c>
      <c r="B297">
        <v>6410</v>
      </c>
      <c r="E297" s="6">
        <f t="shared" si="8"/>
        <v>6636.333333333333</v>
      </c>
      <c r="F297" s="6">
        <f t="shared" si="9"/>
        <v>6511.5</v>
      </c>
    </row>
    <row r="298" spans="1:6" x14ac:dyDescent="0.3">
      <c r="A298">
        <v>84</v>
      </c>
      <c r="B298">
        <v>6626</v>
      </c>
      <c r="E298" s="6">
        <f t="shared" si="8"/>
        <v>6593</v>
      </c>
      <c r="F298" s="6">
        <f t="shared" si="9"/>
        <v>6494.5</v>
      </c>
    </row>
    <row r="299" spans="1:6" x14ac:dyDescent="0.3">
      <c r="A299">
        <v>84</v>
      </c>
      <c r="B299">
        <v>6363</v>
      </c>
      <c r="E299" s="6">
        <f t="shared" si="8"/>
        <v>6621.333333333333</v>
      </c>
      <c r="F299" s="6">
        <f t="shared" si="9"/>
        <v>6546.666666666667</v>
      </c>
    </row>
    <row r="300" spans="1:6" x14ac:dyDescent="0.3">
      <c r="A300">
        <v>84</v>
      </c>
      <c r="B300">
        <v>6758</v>
      </c>
      <c r="E300" s="6">
        <f t="shared" si="8"/>
        <v>6466.333333333333</v>
      </c>
      <c r="F300" s="6">
        <f t="shared" si="9"/>
        <v>6551.333333333333</v>
      </c>
    </row>
    <row r="301" spans="1:6" x14ac:dyDescent="0.3">
      <c r="A301">
        <v>84</v>
      </c>
      <c r="B301">
        <v>6854</v>
      </c>
      <c r="E301" s="6">
        <f t="shared" si="8"/>
        <v>6582.333333333333</v>
      </c>
      <c r="F301" s="6">
        <f t="shared" si="9"/>
        <v>6587.666666666667</v>
      </c>
    </row>
    <row r="302" spans="1:6" x14ac:dyDescent="0.3">
      <c r="A302">
        <v>84</v>
      </c>
      <c r="B302">
        <v>6520</v>
      </c>
      <c r="E302" s="6">
        <f t="shared" si="8"/>
        <v>6658.333333333333</v>
      </c>
      <c r="F302" s="6">
        <f t="shared" si="9"/>
        <v>6639.833333333333</v>
      </c>
    </row>
    <row r="303" spans="1:6" x14ac:dyDescent="0.3">
      <c r="A303">
        <v>85</v>
      </c>
      <c r="B303">
        <v>6793</v>
      </c>
      <c r="E303" s="6">
        <f t="shared" si="8"/>
        <v>6710.666666666667</v>
      </c>
      <c r="F303" s="6">
        <f t="shared" si="9"/>
        <v>6588.5</v>
      </c>
    </row>
    <row r="304" spans="1:6" x14ac:dyDescent="0.3">
      <c r="A304">
        <v>85</v>
      </c>
      <c r="B304">
        <v>6788</v>
      </c>
      <c r="E304" s="6">
        <f t="shared" si="8"/>
        <v>6722.333333333333</v>
      </c>
      <c r="F304" s="6">
        <f t="shared" si="9"/>
        <v>6652.333333333333</v>
      </c>
    </row>
    <row r="305" spans="1:6" x14ac:dyDescent="0.3">
      <c r="A305">
        <v>85</v>
      </c>
      <c r="B305">
        <v>6971</v>
      </c>
      <c r="E305" s="6">
        <f t="shared" si="8"/>
        <v>6700.333333333333</v>
      </c>
      <c r="F305" s="6">
        <f t="shared" si="9"/>
        <v>6679.333333333333</v>
      </c>
    </row>
    <row r="306" spans="1:6" x14ac:dyDescent="0.3">
      <c r="A306">
        <v>85</v>
      </c>
      <c r="B306">
        <v>6422</v>
      </c>
      <c r="E306" s="6">
        <f t="shared" si="8"/>
        <v>6850.666666666667</v>
      </c>
      <c r="F306" s="6">
        <f t="shared" si="9"/>
        <v>6780.666666666667</v>
      </c>
    </row>
    <row r="307" spans="1:6" x14ac:dyDescent="0.3">
      <c r="A307">
        <v>85</v>
      </c>
      <c r="B307">
        <v>6182</v>
      </c>
      <c r="E307" s="6">
        <f t="shared" si="8"/>
        <v>6727</v>
      </c>
      <c r="F307" s="6">
        <f t="shared" si="9"/>
        <v>6724.666666666667</v>
      </c>
    </row>
    <row r="308" spans="1:6" x14ac:dyDescent="0.3">
      <c r="A308">
        <v>85</v>
      </c>
      <c r="B308">
        <v>6828</v>
      </c>
      <c r="E308" s="6">
        <f t="shared" si="8"/>
        <v>6525</v>
      </c>
      <c r="F308" s="6">
        <f t="shared" si="9"/>
        <v>6612.666666666667</v>
      </c>
    </row>
    <row r="309" spans="1:6" x14ac:dyDescent="0.3">
      <c r="A309">
        <v>85</v>
      </c>
      <c r="B309">
        <v>6299</v>
      </c>
      <c r="E309" s="6">
        <f t="shared" si="8"/>
        <v>6477.333333333333</v>
      </c>
      <c r="F309" s="6">
        <f t="shared" si="9"/>
        <v>6664</v>
      </c>
    </row>
    <row r="310" spans="1:6" x14ac:dyDescent="0.3">
      <c r="A310">
        <v>85</v>
      </c>
      <c r="B310">
        <v>6496</v>
      </c>
      <c r="E310" s="6">
        <f t="shared" si="8"/>
        <v>6436.333333333333</v>
      </c>
      <c r="F310" s="6">
        <f t="shared" si="9"/>
        <v>6581.666666666667</v>
      </c>
    </row>
    <row r="311" spans="1:6" x14ac:dyDescent="0.3">
      <c r="A311">
        <v>85</v>
      </c>
      <c r="B311">
        <v>6599</v>
      </c>
      <c r="E311" s="6">
        <f t="shared" si="8"/>
        <v>6541</v>
      </c>
      <c r="F311" s="6">
        <f t="shared" si="9"/>
        <v>6533</v>
      </c>
    </row>
    <row r="312" spans="1:6" x14ac:dyDescent="0.3">
      <c r="A312">
        <v>85</v>
      </c>
      <c r="B312">
        <v>7030</v>
      </c>
      <c r="E312" s="6">
        <f t="shared" si="8"/>
        <v>6464.666666666667</v>
      </c>
      <c r="F312" s="6">
        <f t="shared" si="9"/>
        <v>6471</v>
      </c>
    </row>
    <row r="313" spans="1:6" x14ac:dyDescent="0.3">
      <c r="A313">
        <v>85</v>
      </c>
      <c r="B313">
        <v>6431</v>
      </c>
      <c r="E313" s="6">
        <f t="shared" si="8"/>
        <v>6708.333333333333</v>
      </c>
      <c r="F313" s="6">
        <f t="shared" si="9"/>
        <v>6572.333333333333</v>
      </c>
    </row>
    <row r="314" spans="1:6" x14ac:dyDescent="0.3">
      <c r="A314">
        <v>86</v>
      </c>
      <c r="B314">
        <v>6959</v>
      </c>
      <c r="E314" s="6">
        <f t="shared" si="8"/>
        <v>6686.666666666667</v>
      </c>
      <c r="F314" s="6">
        <f t="shared" si="9"/>
        <v>6613.833333333333</v>
      </c>
    </row>
    <row r="315" spans="1:6" x14ac:dyDescent="0.3">
      <c r="A315">
        <v>86</v>
      </c>
      <c r="B315">
        <v>6835</v>
      </c>
      <c r="E315" s="6">
        <f t="shared" si="8"/>
        <v>6806.666666666667</v>
      </c>
      <c r="F315" s="6">
        <f t="shared" si="9"/>
        <v>6635.666666666667</v>
      </c>
    </row>
    <row r="316" spans="1:6" x14ac:dyDescent="0.3">
      <c r="A316">
        <v>86</v>
      </c>
      <c r="B316">
        <v>6966</v>
      </c>
      <c r="E316" s="6">
        <f t="shared" si="8"/>
        <v>6741.666666666667</v>
      </c>
      <c r="F316" s="6">
        <f t="shared" si="9"/>
        <v>6725</v>
      </c>
    </row>
    <row r="317" spans="1:6" x14ac:dyDescent="0.3">
      <c r="A317">
        <v>86</v>
      </c>
      <c r="B317">
        <v>7146</v>
      </c>
      <c r="E317" s="6">
        <f t="shared" si="8"/>
        <v>6920</v>
      </c>
      <c r="F317" s="6">
        <f t="shared" si="9"/>
        <v>6803.333333333333</v>
      </c>
    </row>
    <row r="318" spans="1:6" x14ac:dyDescent="0.3">
      <c r="A318">
        <v>86</v>
      </c>
      <c r="B318">
        <v>6990</v>
      </c>
      <c r="E318" s="6">
        <f t="shared" si="8"/>
        <v>6982.333333333333</v>
      </c>
      <c r="F318" s="6">
        <f t="shared" si="9"/>
        <v>6894.5</v>
      </c>
    </row>
    <row r="319" spans="1:6" x14ac:dyDescent="0.3">
      <c r="A319">
        <v>86</v>
      </c>
      <c r="B319">
        <v>6919</v>
      </c>
      <c r="E319" s="6">
        <f t="shared" si="8"/>
        <v>7034</v>
      </c>
      <c r="F319" s="6">
        <f t="shared" si="9"/>
        <v>6887.833333333333</v>
      </c>
    </row>
    <row r="320" spans="1:6" x14ac:dyDescent="0.3">
      <c r="A320">
        <v>86</v>
      </c>
      <c r="B320">
        <v>6797</v>
      </c>
      <c r="E320" s="6">
        <f t="shared" si="8"/>
        <v>7018.333333333333</v>
      </c>
      <c r="F320" s="6">
        <f t="shared" si="9"/>
        <v>6969.166666666667</v>
      </c>
    </row>
    <row r="321" spans="1:6" x14ac:dyDescent="0.3">
      <c r="A321">
        <v>86</v>
      </c>
      <c r="B321">
        <v>6485</v>
      </c>
      <c r="E321" s="6">
        <f t="shared" si="8"/>
        <v>6902</v>
      </c>
      <c r="F321" s="6">
        <f t="shared" si="9"/>
        <v>6942.166666666667</v>
      </c>
    </row>
    <row r="322" spans="1:6" x14ac:dyDescent="0.3">
      <c r="A322">
        <v>87</v>
      </c>
      <c r="B322">
        <v>7043</v>
      </c>
      <c r="E322" s="6">
        <f t="shared" si="8"/>
        <v>6733.666666666667</v>
      </c>
      <c r="F322" s="6">
        <f t="shared" si="9"/>
        <v>6883.833333333333</v>
      </c>
    </row>
    <row r="323" spans="1:6" x14ac:dyDescent="0.3">
      <c r="A323">
        <v>87</v>
      </c>
      <c r="B323">
        <v>6848</v>
      </c>
      <c r="E323" s="6">
        <f t="shared" si="8"/>
        <v>6775</v>
      </c>
      <c r="F323" s="6">
        <f t="shared" si="9"/>
        <v>6896.666666666667</v>
      </c>
    </row>
    <row r="324" spans="1:6" x14ac:dyDescent="0.3">
      <c r="A324">
        <v>87</v>
      </c>
      <c r="B324">
        <v>7029</v>
      </c>
      <c r="E324" s="6">
        <f t="shared" si="8"/>
        <v>6792</v>
      </c>
      <c r="F324" s="6">
        <f t="shared" si="9"/>
        <v>6847</v>
      </c>
    </row>
    <row r="325" spans="1:6" x14ac:dyDescent="0.3">
      <c r="A325">
        <v>87</v>
      </c>
      <c r="B325">
        <v>6519</v>
      </c>
      <c r="E325" s="6">
        <f t="shared" si="8"/>
        <v>6973.333333333333</v>
      </c>
      <c r="F325" s="6">
        <f t="shared" si="9"/>
        <v>6853.5</v>
      </c>
    </row>
    <row r="326" spans="1:6" x14ac:dyDescent="0.3">
      <c r="A326">
        <v>87</v>
      </c>
      <c r="B326">
        <v>6800</v>
      </c>
      <c r="E326" s="6">
        <f t="shared" ref="E326:E366" si="10">AVERAGE(B323:B325)</f>
        <v>6798.666666666667</v>
      </c>
      <c r="F326" s="6">
        <f t="shared" si="9"/>
        <v>6786.833333333333</v>
      </c>
    </row>
    <row r="327" spans="1:6" x14ac:dyDescent="0.3">
      <c r="A327">
        <v>87</v>
      </c>
      <c r="B327">
        <v>7064</v>
      </c>
      <c r="E327" s="6">
        <f t="shared" si="10"/>
        <v>6782.666666666667</v>
      </c>
      <c r="F327" s="6">
        <f t="shared" si="9"/>
        <v>6787.333333333333</v>
      </c>
    </row>
    <row r="328" spans="1:6" x14ac:dyDescent="0.3">
      <c r="A328">
        <v>88</v>
      </c>
      <c r="B328">
        <v>6967</v>
      </c>
      <c r="E328" s="6">
        <f t="shared" si="10"/>
        <v>6794.333333333333</v>
      </c>
      <c r="F328" s="6">
        <f t="shared" si="9"/>
        <v>6883.833333333333</v>
      </c>
    </row>
    <row r="329" spans="1:6" x14ac:dyDescent="0.3">
      <c r="A329">
        <v>88</v>
      </c>
      <c r="B329">
        <v>7469</v>
      </c>
      <c r="E329" s="6">
        <f t="shared" si="10"/>
        <v>6943.666666666667</v>
      </c>
      <c r="F329" s="6">
        <f t="shared" ref="F329:F366" si="11">AVERAGE(B323:B328)</f>
        <v>6871.166666666667</v>
      </c>
    </row>
    <row r="330" spans="1:6" x14ac:dyDescent="0.3">
      <c r="A330">
        <v>88</v>
      </c>
      <c r="B330">
        <v>6978</v>
      </c>
      <c r="E330" s="6">
        <f t="shared" si="10"/>
        <v>7166.666666666667</v>
      </c>
      <c r="F330" s="6">
        <f t="shared" si="11"/>
        <v>6974.666666666667</v>
      </c>
    </row>
    <row r="331" spans="1:6" x14ac:dyDescent="0.3">
      <c r="A331">
        <v>89</v>
      </c>
      <c r="B331">
        <v>7316</v>
      </c>
      <c r="E331" s="6">
        <f t="shared" si="10"/>
        <v>7138</v>
      </c>
      <c r="F331" s="6">
        <f t="shared" si="11"/>
        <v>6966.166666666667</v>
      </c>
    </row>
    <row r="332" spans="1:6" x14ac:dyDescent="0.3">
      <c r="A332">
        <v>89</v>
      </c>
      <c r="B332">
        <v>7151</v>
      </c>
      <c r="E332" s="6">
        <f t="shared" si="10"/>
        <v>7254.333333333333</v>
      </c>
      <c r="F332" s="6">
        <f t="shared" si="11"/>
        <v>7099</v>
      </c>
    </row>
    <row r="333" spans="1:6" x14ac:dyDescent="0.3">
      <c r="A333">
        <v>89</v>
      </c>
      <c r="B333">
        <v>7332</v>
      </c>
      <c r="E333" s="6">
        <f t="shared" si="10"/>
        <v>7148.333333333333</v>
      </c>
      <c r="F333" s="6">
        <f t="shared" si="11"/>
        <v>7157.5</v>
      </c>
    </row>
    <row r="334" spans="1:6" x14ac:dyDescent="0.3">
      <c r="A334">
        <v>89</v>
      </c>
      <c r="B334">
        <v>7409</v>
      </c>
      <c r="E334" s="6">
        <f t="shared" si="10"/>
        <v>7266.333333333333</v>
      </c>
      <c r="F334" s="6">
        <f t="shared" si="11"/>
        <v>7202.166666666667</v>
      </c>
    </row>
    <row r="335" spans="1:6" x14ac:dyDescent="0.3">
      <c r="A335">
        <v>90</v>
      </c>
      <c r="B335">
        <v>7112</v>
      </c>
      <c r="E335" s="6">
        <f t="shared" si="10"/>
        <v>7297.333333333333</v>
      </c>
      <c r="F335" s="6">
        <f t="shared" si="11"/>
        <v>7275.833333333333</v>
      </c>
    </row>
    <row r="336" spans="1:6" x14ac:dyDescent="0.3">
      <c r="A336">
        <v>90</v>
      </c>
      <c r="B336">
        <v>6758</v>
      </c>
      <c r="E336" s="6">
        <f t="shared" si="10"/>
        <v>7284.333333333333</v>
      </c>
      <c r="F336" s="6">
        <f t="shared" si="11"/>
        <v>7216.333333333333</v>
      </c>
    </row>
    <row r="337" spans="1:6" x14ac:dyDescent="0.3">
      <c r="A337">
        <v>90</v>
      </c>
      <c r="B337">
        <v>7739</v>
      </c>
      <c r="E337" s="6">
        <f t="shared" si="10"/>
        <v>7093</v>
      </c>
      <c r="F337" s="6">
        <f t="shared" si="11"/>
        <v>7179.666666666667</v>
      </c>
    </row>
    <row r="338" spans="1:6" x14ac:dyDescent="0.3">
      <c r="A338">
        <v>90</v>
      </c>
      <c r="B338">
        <v>7511</v>
      </c>
      <c r="E338" s="6">
        <f t="shared" si="10"/>
        <v>7203</v>
      </c>
      <c r="F338" s="6">
        <f t="shared" si="11"/>
        <v>7250.166666666667</v>
      </c>
    </row>
    <row r="339" spans="1:6" x14ac:dyDescent="0.3">
      <c r="A339">
        <v>90</v>
      </c>
      <c r="B339">
        <v>7480</v>
      </c>
      <c r="E339" s="6">
        <f t="shared" si="10"/>
        <v>7336</v>
      </c>
      <c r="F339" s="6">
        <f t="shared" si="11"/>
        <v>7310.166666666667</v>
      </c>
    </row>
    <row r="340" spans="1:6" x14ac:dyDescent="0.3">
      <c r="A340">
        <v>90</v>
      </c>
      <c r="B340">
        <v>7394</v>
      </c>
      <c r="E340" s="6">
        <f t="shared" si="10"/>
        <v>7576.666666666667</v>
      </c>
      <c r="F340" s="6">
        <f t="shared" si="11"/>
        <v>7334.833333333333</v>
      </c>
    </row>
    <row r="341" spans="1:6" x14ac:dyDescent="0.3">
      <c r="A341">
        <v>90</v>
      </c>
      <c r="B341">
        <v>7594</v>
      </c>
      <c r="E341" s="6">
        <f t="shared" si="10"/>
        <v>7461.666666666667</v>
      </c>
      <c r="F341" s="6">
        <f t="shared" si="11"/>
        <v>7332.333333333333</v>
      </c>
    </row>
    <row r="342" spans="1:6" x14ac:dyDescent="0.3">
      <c r="A342">
        <v>91</v>
      </c>
      <c r="B342">
        <v>7931</v>
      </c>
      <c r="E342" s="6">
        <f t="shared" si="10"/>
        <v>7489.333333333333</v>
      </c>
      <c r="F342" s="6">
        <f t="shared" si="11"/>
        <v>7412.666666666667</v>
      </c>
    </row>
    <row r="343" spans="1:6" x14ac:dyDescent="0.3">
      <c r="A343">
        <v>91</v>
      </c>
      <c r="B343">
        <v>8181</v>
      </c>
      <c r="E343" s="6">
        <f t="shared" si="10"/>
        <v>7639.666666666667</v>
      </c>
      <c r="F343" s="6">
        <f t="shared" si="11"/>
        <v>7608.166666666667</v>
      </c>
    </row>
    <row r="344" spans="1:6" x14ac:dyDescent="0.3">
      <c r="A344">
        <v>91</v>
      </c>
      <c r="B344">
        <v>7558</v>
      </c>
      <c r="E344" s="6">
        <f t="shared" si="10"/>
        <v>7902</v>
      </c>
      <c r="F344" s="6">
        <f t="shared" si="11"/>
        <v>7681.833333333333</v>
      </c>
    </row>
    <row r="345" spans="1:6" x14ac:dyDescent="0.3">
      <c r="A345">
        <v>92</v>
      </c>
      <c r="B345">
        <v>7820</v>
      </c>
      <c r="E345" s="6">
        <f t="shared" si="10"/>
        <v>7890</v>
      </c>
      <c r="F345" s="6">
        <f t="shared" si="11"/>
        <v>7689.666666666667</v>
      </c>
    </row>
    <row r="346" spans="1:6" x14ac:dyDescent="0.3">
      <c r="A346">
        <v>92</v>
      </c>
      <c r="B346">
        <v>7560</v>
      </c>
      <c r="E346" s="6">
        <f t="shared" si="10"/>
        <v>7853</v>
      </c>
      <c r="F346" s="6">
        <f t="shared" si="11"/>
        <v>7746.333333333333</v>
      </c>
    </row>
    <row r="347" spans="1:6" x14ac:dyDescent="0.3">
      <c r="A347">
        <v>92</v>
      </c>
      <c r="B347">
        <v>7504</v>
      </c>
      <c r="E347" s="6">
        <f t="shared" si="10"/>
        <v>7646</v>
      </c>
      <c r="F347" s="6">
        <f t="shared" si="11"/>
        <v>7774</v>
      </c>
    </row>
    <row r="348" spans="1:6" x14ac:dyDescent="0.3">
      <c r="A348">
        <v>92</v>
      </c>
      <c r="B348">
        <v>7741</v>
      </c>
      <c r="E348" s="6">
        <f t="shared" si="10"/>
        <v>7628</v>
      </c>
      <c r="F348" s="6">
        <f t="shared" si="11"/>
        <v>7759</v>
      </c>
    </row>
    <row r="349" spans="1:6" x14ac:dyDescent="0.3">
      <c r="A349">
        <v>93</v>
      </c>
      <c r="B349">
        <v>7976</v>
      </c>
      <c r="E349" s="6">
        <f t="shared" si="10"/>
        <v>7601.666666666667</v>
      </c>
      <c r="F349" s="6">
        <f t="shared" si="11"/>
        <v>7727.333333333333</v>
      </c>
    </row>
    <row r="350" spans="1:6" x14ac:dyDescent="0.3">
      <c r="A350">
        <v>93</v>
      </c>
      <c r="B350">
        <v>7718</v>
      </c>
      <c r="E350" s="6">
        <f t="shared" si="10"/>
        <v>7740.333333333333</v>
      </c>
      <c r="F350" s="6">
        <f t="shared" si="11"/>
        <v>7693.166666666667</v>
      </c>
    </row>
    <row r="351" spans="1:6" x14ac:dyDescent="0.3">
      <c r="A351">
        <v>94</v>
      </c>
      <c r="B351">
        <v>8094</v>
      </c>
      <c r="E351" s="6">
        <f t="shared" si="10"/>
        <v>7811.666666666667</v>
      </c>
      <c r="F351" s="6">
        <f t="shared" si="11"/>
        <v>7719.833333333333</v>
      </c>
    </row>
    <row r="352" spans="1:6" x14ac:dyDescent="0.3">
      <c r="A352">
        <v>94</v>
      </c>
      <c r="B352">
        <v>7570</v>
      </c>
      <c r="E352" s="6">
        <f t="shared" si="10"/>
        <v>7929.333333333333</v>
      </c>
      <c r="F352" s="6">
        <f t="shared" si="11"/>
        <v>7765.5</v>
      </c>
    </row>
    <row r="353" spans="1:8" x14ac:dyDescent="0.3">
      <c r="A353">
        <v>95</v>
      </c>
      <c r="B353">
        <v>7820</v>
      </c>
      <c r="E353" s="6">
        <f t="shared" si="10"/>
        <v>7794</v>
      </c>
      <c r="F353" s="6">
        <f t="shared" si="11"/>
        <v>7767.166666666667</v>
      </c>
    </row>
    <row r="354" spans="1:8" x14ac:dyDescent="0.3">
      <c r="A354">
        <v>95</v>
      </c>
      <c r="B354">
        <v>8075</v>
      </c>
      <c r="E354" s="6">
        <f t="shared" si="10"/>
        <v>7828</v>
      </c>
      <c r="F354" s="6">
        <f t="shared" si="11"/>
        <v>7819.833333333333</v>
      </c>
    </row>
    <row r="355" spans="1:8" x14ac:dyDescent="0.3">
      <c r="A355">
        <v>95</v>
      </c>
      <c r="B355">
        <v>8097</v>
      </c>
      <c r="E355" s="6">
        <f t="shared" si="10"/>
        <v>7821.666666666667</v>
      </c>
      <c r="F355" s="6">
        <f t="shared" si="11"/>
        <v>7875.5</v>
      </c>
    </row>
    <row r="356" spans="1:8" x14ac:dyDescent="0.3">
      <c r="A356">
        <v>95</v>
      </c>
      <c r="B356">
        <v>8098</v>
      </c>
      <c r="E356" s="6">
        <f t="shared" si="10"/>
        <v>7997.333333333333</v>
      </c>
      <c r="F356" s="6">
        <f t="shared" si="11"/>
        <v>7895.666666666667</v>
      </c>
    </row>
    <row r="357" spans="1:8" x14ac:dyDescent="0.3">
      <c r="A357">
        <v>96</v>
      </c>
      <c r="B357">
        <v>8002</v>
      </c>
      <c r="E357" s="6">
        <f t="shared" si="10"/>
        <v>8090</v>
      </c>
      <c r="F357" s="6">
        <f t="shared" si="11"/>
        <v>7959</v>
      </c>
    </row>
    <row r="358" spans="1:8" x14ac:dyDescent="0.3">
      <c r="A358">
        <v>96</v>
      </c>
      <c r="B358">
        <v>8283</v>
      </c>
      <c r="E358" s="6">
        <f t="shared" si="10"/>
        <v>8065.666666666667</v>
      </c>
      <c r="F358" s="6">
        <f t="shared" si="11"/>
        <v>7943.666666666667</v>
      </c>
    </row>
    <row r="359" spans="1:8" x14ac:dyDescent="0.3">
      <c r="A359">
        <v>96</v>
      </c>
      <c r="B359">
        <v>8095</v>
      </c>
      <c r="E359" s="6">
        <f t="shared" si="10"/>
        <v>8127.666666666667</v>
      </c>
      <c r="F359" s="6">
        <f t="shared" si="11"/>
        <v>8062.5</v>
      </c>
    </row>
    <row r="360" spans="1:8" x14ac:dyDescent="0.3">
      <c r="A360">
        <v>97</v>
      </c>
      <c r="B360">
        <v>8250</v>
      </c>
      <c r="E360" s="6">
        <f t="shared" si="10"/>
        <v>8126.666666666667</v>
      </c>
      <c r="F360" s="6">
        <f t="shared" si="11"/>
        <v>8108.333333333333</v>
      </c>
    </row>
    <row r="361" spans="1:8" x14ac:dyDescent="0.3">
      <c r="A361">
        <v>98</v>
      </c>
      <c r="B361">
        <v>8412</v>
      </c>
      <c r="E361" s="6">
        <f t="shared" si="10"/>
        <v>8209.3333333333339</v>
      </c>
      <c r="F361" s="6">
        <f t="shared" si="11"/>
        <v>8137.5</v>
      </c>
    </row>
    <row r="362" spans="1:8" x14ac:dyDescent="0.3">
      <c r="A362">
        <v>99</v>
      </c>
      <c r="B362">
        <v>8513</v>
      </c>
      <c r="E362" s="6">
        <f t="shared" si="10"/>
        <v>8252.3333333333339</v>
      </c>
      <c r="F362" s="6">
        <f t="shared" si="11"/>
        <v>8190</v>
      </c>
    </row>
    <row r="363" spans="1:8" x14ac:dyDescent="0.3">
      <c r="A363">
        <v>99</v>
      </c>
      <c r="B363">
        <v>8708</v>
      </c>
      <c r="E363" s="6">
        <f t="shared" si="10"/>
        <v>8391.6666666666661</v>
      </c>
      <c r="F363" s="6">
        <f t="shared" si="11"/>
        <v>8259.1666666666661</v>
      </c>
    </row>
    <row r="364" spans="1:8" x14ac:dyDescent="0.3">
      <c r="A364">
        <v>99</v>
      </c>
      <c r="B364">
        <v>8929</v>
      </c>
      <c r="E364" s="6">
        <f t="shared" si="10"/>
        <v>8544.3333333333339</v>
      </c>
      <c r="F364" s="6">
        <f t="shared" si="11"/>
        <v>8376.8333333333339</v>
      </c>
    </row>
    <row r="365" spans="1:8" x14ac:dyDescent="0.3">
      <c r="A365">
        <v>101</v>
      </c>
      <c r="B365">
        <v>8191</v>
      </c>
      <c r="E365" s="6">
        <f t="shared" si="10"/>
        <v>8716.6666666666661</v>
      </c>
      <c r="F365" s="6">
        <f t="shared" si="11"/>
        <v>8484.5</v>
      </c>
    </row>
    <row r="366" spans="1:8" x14ac:dyDescent="0.3">
      <c r="A366">
        <v>101</v>
      </c>
      <c r="B366">
        <v>8502</v>
      </c>
      <c r="E366" s="6">
        <f t="shared" si="10"/>
        <v>8609.3333333333339</v>
      </c>
      <c r="F366" s="6">
        <f t="shared" si="11"/>
        <v>8500.5</v>
      </c>
    </row>
    <row r="367" spans="1:8" x14ac:dyDescent="0.3">
      <c r="E367" s="6">
        <f t="shared" ref="E367:E369" si="12">AVERAGE(B364:B366)</f>
        <v>8540.6666666666661</v>
      </c>
      <c r="F367" s="6">
        <f t="shared" ref="F367:F372" si="13">AVERAGE(B361:B366)</f>
        <v>8542.5</v>
      </c>
      <c r="H367" s="8" t="s">
        <v>25</v>
      </c>
    </row>
    <row r="368" spans="1:8" x14ac:dyDescent="0.3">
      <c r="E368" s="6">
        <f t="shared" si="12"/>
        <v>8346.5</v>
      </c>
      <c r="F368" s="6">
        <f t="shared" si="13"/>
        <v>8568.6</v>
      </c>
      <c r="H368" s="8" t="s">
        <v>25</v>
      </c>
    </row>
    <row r="369" spans="5:8" x14ac:dyDescent="0.3">
      <c r="E369" s="6">
        <f t="shared" si="12"/>
        <v>8502</v>
      </c>
      <c r="F369" s="6">
        <f t="shared" si="13"/>
        <v>8582.5</v>
      </c>
      <c r="H369" s="8" t="s">
        <v>25</v>
      </c>
    </row>
    <row r="370" spans="5:8" x14ac:dyDescent="0.3">
      <c r="F370" s="6">
        <f t="shared" si="13"/>
        <v>8540.6666666666661</v>
      </c>
      <c r="H370" s="8" t="s">
        <v>25</v>
      </c>
    </row>
    <row r="371" spans="5:8" x14ac:dyDescent="0.3">
      <c r="F371" s="6">
        <f t="shared" si="13"/>
        <v>8346.5</v>
      </c>
      <c r="H371" s="8" t="s">
        <v>25</v>
      </c>
    </row>
    <row r="372" spans="5:8" x14ac:dyDescent="0.3">
      <c r="F372" s="6">
        <f t="shared" si="13"/>
        <v>8502</v>
      </c>
      <c r="H372" s="8" t="s">
        <v>25</v>
      </c>
    </row>
  </sheetData>
  <mergeCells count="1">
    <mergeCell ref="H2:I2"/>
  </mergeCell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268E9-32FD-45BF-B1DF-161160503FAF}">
  <sheetPr codeName="Sheet4"/>
  <dimension ref="A1:H366"/>
  <sheetViews>
    <sheetView workbookViewId="0">
      <selection activeCell="J7" sqref="J7"/>
    </sheetView>
  </sheetViews>
  <sheetFormatPr defaultRowHeight="14.4" x14ac:dyDescent="0.3"/>
  <cols>
    <col min="1" max="1" width="21" customWidth="1"/>
    <col min="2" max="2" width="27.5546875" customWidth="1"/>
    <col min="4" max="4" width="11.44140625" customWidth="1"/>
    <col min="5" max="5" width="15.33203125" customWidth="1"/>
    <col min="7" max="7" width="14.109375" customWidth="1"/>
    <col min="8" max="8" width="18.21875" customWidth="1"/>
  </cols>
  <sheetData>
    <row r="1" spans="1:8" x14ac:dyDescent="0.3">
      <c r="A1" t="s">
        <v>8</v>
      </c>
      <c r="B1" t="s">
        <v>9</v>
      </c>
      <c r="D1" s="7" t="s">
        <v>57</v>
      </c>
      <c r="E1" s="7" t="s">
        <v>60</v>
      </c>
    </row>
    <row r="2" spans="1:8" x14ac:dyDescent="0.3">
      <c r="A2">
        <v>39</v>
      </c>
      <c r="B2">
        <v>1317</v>
      </c>
      <c r="D2" s="6" t="s">
        <v>23</v>
      </c>
      <c r="E2" s="6" t="s">
        <v>23</v>
      </c>
    </row>
    <row r="3" spans="1:8" x14ac:dyDescent="0.3">
      <c r="A3">
        <v>40</v>
      </c>
      <c r="B3">
        <v>1188</v>
      </c>
      <c r="D3" s="6">
        <v>1317</v>
      </c>
      <c r="E3" s="6" t="s">
        <v>23</v>
      </c>
      <c r="G3" s="7" t="s">
        <v>52</v>
      </c>
      <c r="H3" s="7" t="s">
        <v>58</v>
      </c>
    </row>
    <row r="4" spans="1:8" x14ac:dyDescent="0.3">
      <c r="A4">
        <v>41</v>
      </c>
      <c r="B4">
        <v>1882</v>
      </c>
      <c r="D4" s="6">
        <f>$G$4*Linear_Regression53[[#This Row],[Ice Cream Profits (USD)]]+$H$4*D3</f>
        <v>1373.5</v>
      </c>
      <c r="E4" s="6" t="s">
        <v>23</v>
      </c>
      <c r="G4" s="13">
        <v>0.1</v>
      </c>
      <c r="H4" s="13">
        <f>1-G4</f>
        <v>0.9</v>
      </c>
    </row>
    <row r="5" spans="1:8" x14ac:dyDescent="0.3">
      <c r="A5">
        <v>42</v>
      </c>
      <c r="B5">
        <v>1865</v>
      </c>
      <c r="D5" s="6">
        <f>$G$4*Linear_Regression53[[#This Row],[Ice Cream Profits (USD)]]+$H$4*D4</f>
        <v>1422.65</v>
      </c>
      <c r="E5" s="6" t="s">
        <v>23</v>
      </c>
    </row>
    <row r="6" spans="1:8" x14ac:dyDescent="0.3">
      <c r="A6">
        <v>43</v>
      </c>
      <c r="B6">
        <v>1702</v>
      </c>
      <c r="D6" s="6">
        <f>$G$4*Linear_Regression53[[#This Row],[Ice Cream Profits (USD)]]+$H$4*D5</f>
        <v>1450.5850000000003</v>
      </c>
      <c r="E6" s="6">
        <f>SQRT(SUMX2MY2(B3:B5,D3:D5)/3)</f>
        <v>963.77188302004333</v>
      </c>
    </row>
    <row r="7" spans="1:8" x14ac:dyDescent="0.3">
      <c r="A7">
        <v>43</v>
      </c>
      <c r="B7">
        <v>1588</v>
      </c>
      <c r="D7" s="6">
        <f>$G$4*Linear_Regression53[[#This Row],[Ice Cream Profits (USD)]]+$H$4*D6</f>
        <v>1464.3265000000001</v>
      </c>
      <c r="E7" s="6">
        <f t="shared" ref="E7:E70" si="0">SQRT(SUMX2MY2(B4:B6,D4:D6)/3)</f>
        <v>1140.5146331481239</v>
      </c>
      <c r="G7" s="42" t="s">
        <v>59</v>
      </c>
      <c r="H7" s="42"/>
    </row>
    <row r="8" spans="1:8" x14ac:dyDescent="0.3">
      <c r="A8">
        <v>44</v>
      </c>
      <c r="B8">
        <v>1907</v>
      </c>
      <c r="D8" s="6">
        <f>$G$4*Linear_Regression53[[#This Row],[Ice Cream Profits (USD)]]+$H$4*D7</f>
        <v>1508.5938500000002</v>
      </c>
      <c r="E8" s="6">
        <f t="shared" si="0"/>
        <v>935.30583886996533</v>
      </c>
      <c r="G8" s="41">
        <f>SQRT(SUMX2MY2(B3:B366,D3:D366)/COUNT(B3:B366))</f>
        <v>1309.3956017153839</v>
      </c>
      <c r="H8" s="41"/>
    </row>
    <row r="9" spans="1:8" x14ac:dyDescent="0.3">
      <c r="A9">
        <v>44</v>
      </c>
      <c r="B9">
        <v>1957</v>
      </c>
      <c r="D9" s="6">
        <f>$G$4*Linear_Regression53[[#This Row],[Ice Cream Profits (USD)]]+$H$4*D8</f>
        <v>1553.4344650000003</v>
      </c>
      <c r="E9" s="6">
        <f t="shared" si="0"/>
        <v>918.49381324625256</v>
      </c>
    </row>
    <row r="10" spans="1:8" x14ac:dyDescent="0.3">
      <c r="A10">
        <v>45</v>
      </c>
      <c r="B10">
        <v>2162</v>
      </c>
      <c r="D10" s="6">
        <f>$G$4*Linear_Regression53[[#This Row],[Ice Cream Profits (USD)]]+$H$4*D9</f>
        <v>1614.2910185000003</v>
      </c>
      <c r="E10" s="6">
        <f t="shared" si="0"/>
        <v>1025.5040809426503</v>
      </c>
    </row>
    <row r="11" spans="1:8" x14ac:dyDescent="0.3">
      <c r="A11">
        <v>45</v>
      </c>
      <c r="B11">
        <v>2234</v>
      </c>
      <c r="D11" s="6">
        <f>$G$4*Linear_Regression53[[#This Row],[Ice Cream Profits (USD)]]+$H$4*D10</f>
        <v>1676.2619166500003</v>
      </c>
      <c r="E11" s="6">
        <f t="shared" si="0"/>
        <v>1270.9304290273026</v>
      </c>
    </row>
    <row r="12" spans="1:8" x14ac:dyDescent="0.3">
      <c r="A12">
        <v>45</v>
      </c>
      <c r="B12">
        <v>1923</v>
      </c>
      <c r="D12" s="6">
        <f>$G$4*Linear_Regression53[[#This Row],[Ice Cream Profits (USD)]]+$H$4*D11</f>
        <v>1700.9357249850002</v>
      </c>
      <c r="E12" s="6">
        <f t="shared" si="0"/>
        <v>1374.2756707115768</v>
      </c>
    </row>
    <row r="13" spans="1:8" x14ac:dyDescent="0.3">
      <c r="A13">
        <v>46</v>
      </c>
      <c r="B13">
        <v>2125</v>
      </c>
      <c r="D13" s="6">
        <f>$G$4*Linear_Regression53[[#This Row],[Ice Cream Profits (USD)]]+$H$4*D12</f>
        <v>1743.3421524865003</v>
      </c>
      <c r="E13" s="6">
        <f t="shared" si="0"/>
        <v>1297.9415952254105</v>
      </c>
    </row>
    <row r="14" spans="1:8" x14ac:dyDescent="0.3">
      <c r="A14">
        <v>46</v>
      </c>
      <c r="B14">
        <v>1981</v>
      </c>
      <c r="D14" s="6">
        <f>$G$4*Linear_Regression53[[#This Row],[Ice Cream Profits (USD)]]+$H$4*D13</f>
        <v>1767.1079372378504</v>
      </c>
      <c r="E14" s="6">
        <f t="shared" si="0"/>
        <v>1219.5671070264173</v>
      </c>
    </row>
    <row r="15" spans="1:8" x14ac:dyDescent="0.3">
      <c r="A15">
        <v>47</v>
      </c>
      <c r="B15">
        <v>2212</v>
      </c>
      <c r="D15" s="6">
        <f>$G$4*Linear_Regression53[[#This Row],[Ice Cream Profits (USD)]]+$H$4*D14</f>
        <v>1811.5971435140655</v>
      </c>
      <c r="E15" s="6">
        <f t="shared" si="0"/>
        <v>1013.709415461268</v>
      </c>
    </row>
    <row r="16" spans="1:8" x14ac:dyDescent="0.3">
      <c r="A16">
        <v>48</v>
      </c>
      <c r="B16">
        <v>2422</v>
      </c>
      <c r="D16" s="6">
        <f>$G$4*Linear_Regression53[[#This Row],[Ice Cream Profits (USD)]]+$H$4*D15</f>
        <v>1872.6374291626589</v>
      </c>
      <c r="E16" s="6">
        <f t="shared" si="0"/>
        <v>1138.5858871316946</v>
      </c>
    </row>
    <row r="17" spans="1:5" x14ac:dyDescent="0.3">
      <c r="A17">
        <v>48</v>
      </c>
      <c r="B17">
        <v>2468</v>
      </c>
      <c r="D17" s="6">
        <f>$G$4*Linear_Regression53[[#This Row],[Ice Cream Profits (USD)]]+$H$4*D16</f>
        <v>1932.1736862463931</v>
      </c>
      <c r="E17" s="6">
        <f t="shared" si="0"/>
        <v>1261.2247204816088</v>
      </c>
    </row>
    <row r="18" spans="1:5" x14ac:dyDescent="0.3">
      <c r="A18">
        <v>48</v>
      </c>
      <c r="B18">
        <v>2378</v>
      </c>
      <c r="D18" s="6">
        <f>$G$4*Linear_Regression53[[#This Row],[Ice Cream Profits (USD)]]+$H$4*D17</f>
        <v>1976.7563176217539</v>
      </c>
      <c r="E18" s="6">
        <f t="shared" si="0"/>
        <v>1452.3660804227666</v>
      </c>
    </row>
    <row r="19" spans="1:5" x14ac:dyDescent="0.3">
      <c r="A19">
        <v>48</v>
      </c>
      <c r="B19">
        <v>2641</v>
      </c>
      <c r="D19" s="6">
        <f>$G$4*Linear_Regression53[[#This Row],[Ice Cream Profits (USD)]]+$H$4*D18</f>
        <v>2043.1806858595787</v>
      </c>
      <c r="E19" s="6">
        <f t="shared" si="0"/>
        <v>1467.9192037050923</v>
      </c>
    </row>
    <row r="20" spans="1:5" x14ac:dyDescent="0.3">
      <c r="A20">
        <v>48</v>
      </c>
      <c r="B20">
        <v>2501</v>
      </c>
      <c r="D20" s="6">
        <f>$G$4*Linear_Regression53[[#This Row],[Ice Cream Profits (USD)]]+$H$4*D19</f>
        <v>2088.9626172736207</v>
      </c>
      <c r="E20" s="6">
        <f t="shared" si="0"/>
        <v>1517.1619328920133</v>
      </c>
    </row>
    <row r="21" spans="1:5" x14ac:dyDescent="0.3">
      <c r="A21">
        <v>48</v>
      </c>
      <c r="B21">
        <v>2229</v>
      </c>
      <c r="D21" s="6">
        <f>$G$4*Linear_Regression53[[#This Row],[Ice Cream Profits (USD)]]+$H$4*D20</f>
        <v>2102.9663555462585</v>
      </c>
      <c r="E21" s="6">
        <f t="shared" si="0"/>
        <v>1465.0197187872261</v>
      </c>
    </row>
    <row r="22" spans="1:5" x14ac:dyDescent="0.3">
      <c r="A22">
        <v>49</v>
      </c>
      <c r="B22">
        <v>2781</v>
      </c>
      <c r="D22" s="6">
        <f>$G$4*Linear_Regression53[[#This Row],[Ice Cream Profits (USD)]]+$H$4*D21</f>
        <v>2170.7697199916329</v>
      </c>
      <c r="E22" s="6">
        <f t="shared" si="0"/>
        <v>1321.3002908756475</v>
      </c>
    </row>
    <row r="23" spans="1:5" x14ac:dyDescent="0.3">
      <c r="A23">
        <v>49</v>
      </c>
      <c r="B23">
        <v>2354</v>
      </c>
      <c r="D23" s="6">
        <f>$G$4*Linear_Regression53[[#This Row],[Ice Cream Profits (USD)]]+$H$4*D22</f>
        <v>2189.0927479924694</v>
      </c>
      <c r="E23" s="6">
        <f t="shared" si="0"/>
        <v>1348.9415003180927</v>
      </c>
    </row>
    <row r="24" spans="1:5" x14ac:dyDescent="0.3">
      <c r="A24">
        <v>50</v>
      </c>
      <c r="B24">
        <v>2289</v>
      </c>
      <c r="D24" s="6">
        <f>$G$4*Linear_Regression53[[#This Row],[Ice Cream Profits (USD)]]+$H$4*D23</f>
        <v>2199.0834731932223</v>
      </c>
      <c r="E24" s="6">
        <f t="shared" si="0"/>
        <v>1199.5669039136187</v>
      </c>
    </row>
    <row r="25" spans="1:5" x14ac:dyDescent="0.3">
      <c r="A25">
        <v>50</v>
      </c>
      <c r="B25">
        <v>2568</v>
      </c>
      <c r="D25" s="6">
        <f>$G$4*Linear_Regression53[[#This Row],[Ice Cream Profits (USD)]]+$H$4*D24</f>
        <v>2235.9751258739002</v>
      </c>
      <c r="E25" s="6">
        <f t="shared" si="0"/>
        <v>1179.6131627759248</v>
      </c>
    </row>
    <row r="26" spans="1:5" x14ac:dyDescent="0.3">
      <c r="A26">
        <v>50</v>
      </c>
      <c r="B26">
        <v>2729</v>
      </c>
      <c r="D26" s="6">
        <f>$G$4*Linear_Regression53[[#This Row],[Ice Cream Profits (USD)]]+$H$4*D25</f>
        <v>2285.2776132865101</v>
      </c>
      <c r="E26" s="6">
        <f t="shared" si="0"/>
        <v>957.04076107697892</v>
      </c>
    </row>
    <row r="27" spans="1:5" x14ac:dyDescent="0.3">
      <c r="A27">
        <v>50</v>
      </c>
      <c r="B27">
        <v>2764</v>
      </c>
      <c r="D27" s="6">
        <f>$G$4*Linear_Regression53[[#This Row],[Ice Cream Profits (USD)]]+$H$4*D26</f>
        <v>2333.1498519578595</v>
      </c>
      <c r="E27" s="6">
        <f t="shared" si="0"/>
        <v>1186.5270532964601</v>
      </c>
    </row>
    <row r="28" spans="1:5" x14ac:dyDescent="0.3">
      <c r="A28">
        <v>50</v>
      </c>
      <c r="B28">
        <v>2731</v>
      </c>
      <c r="D28" s="6">
        <f>$G$4*Linear_Regression53[[#This Row],[Ice Cream Profits (USD)]]+$H$4*D27</f>
        <v>2372.9348667620734</v>
      </c>
      <c r="E28" s="6">
        <f t="shared" si="0"/>
        <v>1416.1090159298856</v>
      </c>
    </row>
    <row r="29" spans="1:5" x14ac:dyDescent="0.3">
      <c r="A29">
        <v>51</v>
      </c>
      <c r="B29">
        <v>2193</v>
      </c>
      <c r="D29" s="6">
        <f>$G$4*Linear_Regression53[[#This Row],[Ice Cream Profits (USD)]]+$H$4*D28</f>
        <v>2354.9413800858665</v>
      </c>
      <c r="E29" s="6">
        <f t="shared" si="0"/>
        <v>1443.2135573810494</v>
      </c>
    </row>
    <row r="30" spans="1:5" x14ac:dyDescent="0.3">
      <c r="A30">
        <v>51</v>
      </c>
      <c r="B30">
        <v>3218</v>
      </c>
      <c r="D30" s="6">
        <f>$G$4*Linear_Regression53[[#This Row],[Ice Cream Profits (USD)]]+$H$4*D29</f>
        <v>2441.2472420772801</v>
      </c>
      <c r="E30" s="6">
        <f t="shared" si="0"/>
        <v>1046.7646954263653</v>
      </c>
    </row>
    <row r="31" spans="1:5" x14ac:dyDescent="0.3">
      <c r="A31">
        <v>52</v>
      </c>
      <c r="B31">
        <v>3067</v>
      </c>
      <c r="D31" s="6">
        <f>$G$4*Linear_Regression53[[#This Row],[Ice Cream Profits (USD)]]+$H$4*D30</f>
        <v>2503.822517869552</v>
      </c>
      <c r="E31" s="6">
        <f t="shared" si="0"/>
        <v>1352.3901209234718</v>
      </c>
    </row>
    <row r="32" spans="1:5" x14ac:dyDescent="0.3">
      <c r="A32">
        <v>52</v>
      </c>
      <c r="B32">
        <v>2805</v>
      </c>
      <c r="D32" s="6">
        <f>$G$4*Linear_Regression53[[#This Row],[Ice Cream Profits (USD)]]+$H$4*D31</f>
        <v>2533.9402660825967</v>
      </c>
      <c r="E32" s="6">
        <f t="shared" si="0"/>
        <v>1505.179701167353</v>
      </c>
    </row>
    <row r="33" spans="1:5" x14ac:dyDescent="0.3">
      <c r="A33">
        <v>52</v>
      </c>
      <c r="B33">
        <v>2882</v>
      </c>
      <c r="D33" s="6">
        <f>$G$4*Linear_Regression53[[#This Row],[Ice Cream Profits (USD)]]+$H$4*D32</f>
        <v>2568.746239474337</v>
      </c>
      <c r="E33" s="6">
        <f t="shared" si="0"/>
        <v>1730.1608239298362</v>
      </c>
    </row>
    <row r="34" spans="1:5" x14ac:dyDescent="0.3">
      <c r="A34">
        <v>52</v>
      </c>
      <c r="B34">
        <v>2787</v>
      </c>
      <c r="D34" s="6">
        <f>$G$4*Linear_Regression53[[#This Row],[Ice Cream Profits (USD)]]+$H$4*D33</f>
        <v>2590.5716155269033</v>
      </c>
      <c r="E34" s="6">
        <f t="shared" si="0"/>
        <v>1448.2173276274395</v>
      </c>
    </row>
    <row r="35" spans="1:5" x14ac:dyDescent="0.3">
      <c r="A35">
        <v>52</v>
      </c>
      <c r="B35">
        <v>2939</v>
      </c>
      <c r="D35" s="6">
        <f>$G$4*Linear_Regression53[[#This Row],[Ice Cream Profits (USD)]]+$H$4*D34</f>
        <v>2625.4144539742133</v>
      </c>
      <c r="E35" s="6">
        <f t="shared" si="0"/>
        <v>1184.756823141081</v>
      </c>
    </row>
    <row r="36" spans="1:5" x14ac:dyDescent="0.3">
      <c r="A36">
        <v>53</v>
      </c>
      <c r="B36">
        <v>3260</v>
      </c>
      <c r="D36" s="6">
        <f>$G$4*Linear_Regression53[[#This Row],[Ice Cream Profits (USD)]]+$H$4*D35</f>
        <v>2688.873008576792</v>
      </c>
      <c r="E36" s="6">
        <f t="shared" si="0"/>
        <v>1225.9274593650944</v>
      </c>
    </row>
    <row r="37" spans="1:5" x14ac:dyDescent="0.3">
      <c r="A37">
        <v>53</v>
      </c>
      <c r="B37">
        <v>3162</v>
      </c>
      <c r="D37" s="6">
        <f>$G$4*Linear_Regression53[[#This Row],[Ice Cream Profits (USD)]]+$H$4*D36</f>
        <v>2736.1857077191125</v>
      </c>
      <c r="E37" s="6">
        <f t="shared" si="0"/>
        <v>1437.4502418561374</v>
      </c>
    </row>
    <row r="38" spans="1:5" x14ac:dyDescent="0.3">
      <c r="A38">
        <v>53</v>
      </c>
      <c r="B38">
        <v>2571</v>
      </c>
      <c r="D38" s="6">
        <f>$G$4*Linear_Regression53[[#This Row],[Ice Cream Profits (USD)]]+$H$4*D37</f>
        <v>2719.6671369472015</v>
      </c>
      <c r="E38" s="6">
        <f t="shared" si="0"/>
        <v>1597.2907960548005</v>
      </c>
    </row>
    <row r="39" spans="1:5" x14ac:dyDescent="0.3">
      <c r="A39">
        <v>53</v>
      </c>
      <c r="B39">
        <v>2848</v>
      </c>
      <c r="D39" s="6">
        <f>$G$4*Linear_Regression53[[#This Row],[Ice Cream Profits (USD)]]+$H$4*D38</f>
        <v>2732.5004232524816</v>
      </c>
      <c r="E39" s="6">
        <f t="shared" si="0"/>
        <v>1306.7192226884169</v>
      </c>
    </row>
    <row r="40" spans="1:5" x14ac:dyDescent="0.3">
      <c r="A40">
        <v>54</v>
      </c>
      <c r="B40">
        <v>3009</v>
      </c>
      <c r="D40" s="6">
        <f>$G$4*Linear_Regression53[[#This Row],[Ice Cream Profits (USD)]]+$H$4*D39</f>
        <v>2760.1503809272335</v>
      </c>
      <c r="E40" s="6">
        <f t="shared" si="0"/>
        <v>888.73109431520038</v>
      </c>
    </row>
    <row r="41" spans="1:5" x14ac:dyDescent="0.3">
      <c r="A41">
        <v>54</v>
      </c>
      <c r="B41">
        <v>3358</v>
      </c>
      <c r="D41" s="6">
        <f>$G$4*Linear_Regression53[[#This Row],[Ice Cream Profits (USD)]]+$H$4*D40</f>
        <v>2819.9353428345103</v>
      </c>
      <c r="E41" s="6">
        <f t="shared" si="0"/>
        <v>656.67038301867228</v>
      </c>
    </row>
    <row r="42" spans="1:5" x14ac:dyDescent="0.3">
      <c r="A42">
        <v>54</v>
      </c>
      <c r="B42">
        <v>2975</v>
      </c>
      <c r="D42" s="6">
        <f>$G$4*Linear_Regression53[[#This Row],[Ice Cream Profits (USD)]]+$H$4*D41</f>
        <v>2835.4418085510592</v>
      </c>
      <c r="E42" s="6">
        <f t="shared" si="0"/>
        <v>1342.1779531573636</v>
      </c>
    </row>
    <row r="43" spans="1:5" x14ac:dyDescent="0.3">
      <c r="A43">
        <v>54</v>
      </c>
      <c r="B43">
        <v>3194</v>
      </c>
      <c r="D43" s="6">
        <f>$G$4*Linear_Regression53[[#This Row],[Ice Cream Profits (USD)]]+$H$4*D42</f>
        <v>2871.2976276959535</v>
      </c>
      <c r="E43" s="6">
        <f t="shared" si="0"/>
        <v>1362.6780357346288</v>
      </c>
    </row>
    <row r="44" spans="1:5" x14ac:dyDescent="0.3">
      <c r="A44">
        <v>54</v>
      </c>
      <c r="B44">
        <v>3371</v>
      </c>
      <c r="D44" s="6">
        <f>$G$4*Linear_Regression53[[#This Row],[Ice Cream Profits (USD)]]+$H$4*D43</f>
        <v>2921.267864926358</v>
      </c>
      <c r="E44" s="6">
        <f t="shared" si="0"/>
        <v>1425.0507997659945</v>
      </c>
    </row>
    <row r="45" spans="1:5" x14ac:dyDescent="0.3">
      <c r="A45">
        <v>54</v>
      </c>
      <c r="B45">
        <v>2837</v>
      </c>
      <c r="D45" s="6">
        <f>$G$4*Linear_Regression53[[#This Row],[Ice Cream Profits (USD)]]+$H$4*D44</f>
        <v>2912.841078433722</v>
      </c>
      <c r="E45" s="6">
        <f t="shared" si="0"/>
        <v>1366.0180263399268</v>
      </c>
    </row>
    <row r="46" spans="1:5" x14ac:dyDescent="0.3">
      <c r="A46">
        <v>54</v>
      </c>
      <c r="B46">
        <v>2741</v>
      </c>
      <c r="D46" s="6">
        <f>$G$4*Linear_Regression53[[#This Row],[Ice Cream Profits (USD)]]+$H$4*D45</f>
        <v>2895.6569705903498</v>
      </c>
      <c r="E46" s="6">
        <f t="shared" si="0"/>
        <v>1204.304342255348</v>
      </c>
    </row>
    <row r="47" spans="1:5" x14ac:dyDescent="0.3">
      <c r="A47">
        <v>54</v>
      </c>
      <c r="B47">
        <v>2799</v>
      </c>
      <c r="D47" s="6">
        <f>$G$4*Linear_Regression53[[#This Row],[Ice Cream Profits (USD)]]+$H$4*D46</f>
        <v>2885.9912735313151</v>
      </c>
      <c r="E47" s="6">
        <f t="shared" si="0"/>
        <v>712.27630916875376</v>
      </c>
    </row>
    <row r="48" spans="1:5" x14ac:dyDescent="0.3">
      <c r="A48">
        <v>54</v>
      </c>
      <c r="B48">
        <v>3037</v>
      </c>
      <c r="D48" s="6">
        <f>$G$4*Linear_Regression53[[#This Row],[Ice Cream Profits (USD)]]+$H$4*D47</f>
        <v>2901.0921461781836</v>
      </c>
      <c r="E48" s="6" t="e">
        <f t="shared" si="0"/>
        <v>#NUM!</v>
      </c>
    </row>
    <row r="49" spans="1:5" x14ac:dyDescent="0.3">
      <c r="A49">
        <v>55</v>
      </c>
      <c r="B49">
        <v>2768</v>
      </c>
      <c r="D49" s="6">
        <f>$G$4*Linear_Regression53[[#This Row],[Ice Cream Profits (USD)]]+$H$4*D48</f>
        <v>2887.7829315603653</v>
      </c>
      <c r="E49" s="6" t="e">
        <f t="shared" si="0"/>
        <v>#NUM!</v>
      </c>
    </row>
    <row r="50" spans="1:5" x14ac:dyDescent="0.3">
      <c r="A50">
        <v>55</v>
      </c>
      <c r="B50">
        <v>2953</v>
      </c>
      <c r="D50" s="6">
        <f>$G$4*Linear_Regression53[[#This Row],[Ice Cream Profits (USD)]]+$H$4*D49</f>
        <v>2894.3046384043291</v>
      </c>
      <c r="E50" s="6" t="e">
        <f t="shared" si="0"/>
        <v>#NUM!</v>
      </c>
    </row>
    <row r="51" spans="1:5" x14ac:dyDescent="0.3">
      <c r="A51">
        <v>55</v>
      </c>
      <c r="B51">
        <v>3391</v>
      </c>
      <c r="D51" s="6">
        <f>$G$4*Linear_Regression53[[#This Row],[Ice Cream Profits (USD)]]+$H$4*D50</f>
        <v>2943.9741745638962</v>
      </c>
      <c r="E51" s="6">
        <f t="shared" si="0"/>
        <v>396.97890778691203</v>
      </c>
    </row>
    <row r="52" spans="1:5" x14ac:dyDescent="0.3">
      <c r="A52">
        <v>55</v>
      </c>
      <c r="B52">
        <v>3419</v>
      </c>
      <c r="D52" s="6">
        <f>$G$4*Linear_Regression53[[#This Row],[Ice Cream Profits (USD)]]+$H$4*D51</f>
        <v>2991.4767571075067</v>
      </c>
      <c r="E52" s="6">
        <f t="shared" si="0"/>
        <v>912.44003634953719</v>
      </c>
    </row>
    <row r="53" spans="1:5" x14ac:dyDescent="0.3">
      <c r="A53">
        <v>56</v>
      </c>
      <c r="B53">
        <v>3322</v>
      </c>
      <c r="D53" s="6">
        <f>$G$4*Linear_Regression53[[#This Row],[Ice Cream Profits (USD)]]+$H$4*D52</f>
        <v>3024.5290813967558</v>
      </c>
      <c r="E53" s="6">
        <f t="shared" si="0"/>
        <v>1404.2476670561082</v>
      </c>
    </row>
    <row r="54" spans="1:5" x14ac:dyDescent="0.3">
      <c r="A54">
        <v>56</v>
      </c>
      <c r="B54">
        <v>3447</v>
      </c>
      <c r="D54" s="6">
        <f>$G$4*Linear_Regression53[[#This Row],[Ice Cream Profits (USD)]]+$H$4*D53</f>
        <v>3066.7761732570807</v>
      </c>
      <c r="E54" s="6">
        <f t="shared" si="0"/>
        <v>1576.9625557773693</v>
      </c>
    </row>
    <row r="55" spans="1:5" x14ac:dyDescent="0.3">
      <c r="A55">
        <v>57</v>
      </c>
      <c r="B55">
        <v>3089</v>
      </c>
      <c r="D55" s="6">
        <f>$G$4*Linear_Regression53[[#This Row],[Ice Cream Profits (USD)]]+$H$4*D54</f>
        <v>3068.9985559313727</v>
      </c>
      <c r="E55" s="6">
        <f t="shared" si="0"/>
        <v>1538.9637802336899</v>
      </c>
    </row>
    <row r="56" spans="1:5" x14ac:dyDescent="0.3">
      <c r="A56">
        <v>57</v>
      </c>
      <c r="B56">
        <v>3580</v>
      </c>
      <c r="D56" s="6">
        <f>$G$4*Linear_Regression53[[#This Row],[Ice Cream Profits (USD)]]+$H$4*D55</f>
        <v>3120.0987003382356</v>
      </c>
      <c r="E56" s="6">
        <f t="shared" si="0"/>
        <v>1223.0793927104787</v>
      </c>
    </row>
    <row r="57" spans="1:5" x14ac:dyDescent="0.3">
      <c r="A57">
        <v>58</v>
      </c>
      <c r="B57">
        <v>3344</v>
      </c>
      <c r="D57" s="6">
        <f>$G$4*Linear_Regression53[[#This Row],[Ice Cream Profits (USD)]]+$H$4*D56</f>
        <v>3142.4888303044122</v>
      </c>
      <c r="E57" s="6">
        <f t="shared" si="0"/>
        <v>1376.1353938937668</v>
      </c>
    </row>
    <row r="58" spans="1:5" x14ac:dyDescent="0.3">
      <c r="A58">
        <v>58</v>
      </c>
      <c r="B58">
        <v>3679</v>
      </c>
      <c r="D58" s="6">
        <f>$G$4*Linear_Regression53[[#This Row],[Ice Cream Profits (USD)]]+$H$4*D57</f>
        <v>3196.1399472739713</v>
      </c>
      <c r="E58" s="6">
        <f t="shared" si="0"/>
        <v>1226.3296070321401</v>
      </c>
    </row>
    <row r="59" spans="1:5" x14ac:dyDescent="0.3">
      <c r="A59">
        <v>58</v>
      </c>
      <c r="B59">
        <v>3156</v>
      </c>
      <c r="D59" s="6">
        <f>$G$4*Linear_Regression53[[#This Row],[Ice Cream Profits (USD)]]+$H$4*D58</f>
        <v>3192.1259525465744</v>
      </c>
      <c r="E59" s="6">
        <f t="shared" si="0"/>
        <v>1602.9363149128535</v>
      </c>
    </row>
    <row r="60" spans="1:5" x14ac:dyDescent="0.3">
      <c r="A60">
        <v>58</v>
      </c>
      <c r="B60">
        <v>3513</v>
      </c>
      <c r="D60" s="6">
        <f>$G$4*Linear_Regression53[[#This Row],[Ice Cream Profits (USD)]]+$H$4*D59</f>
        <v>3224.213357291917</v>
      </c>
      <c r="E60" s="6">
        <f t="shared" si="0"/>
        <v>1210.7158064453949</v>
      </c>
    </row>
    <row r="61" spans="1:5" x14ac:dyDescent="0.3">
      <c r="A61">
        <v>58</v>
      </c>
      <c r="B61">
        <v>3611</v>
      </c>
      <c r="D61" s="6">
        <f>$G$4*Linear_Regression53[[#This Row],[Ice Cream Profits (USD)]]+$H$4*D60</f>
        <v>3262.8920215627254</v>
      </c>
      <c r="E61" s="6">
        <f t="shared" si="0"/>
        <v>1295.6356956051275</v>
      </c>
    </row>
    <row r="62" spans="1:5" x14ac:dyDescent="0.3">
      <c r="A62">
        <v>58</v>
      </c>
      <c r="B62">
        <v>3239</v>
      </c>
      <c r="D62" s="6">
        <f>$G$4*Linear_Regression53[[#This Row],[Ice Cream Profits (USD)]]+$H$4*D61</f>
        <v>3260.502819406453</v>
      </c>
      <c r="E62" s="6">
        <f t="shared" si="0"/>
        <v>1170.3477809838296</v>
      </c>
    </row>
    <row r="63" spans="1:5" x14ac:dyDescent="0.3">
      <c r="A63">
        <v>59</v>
      </c>
      <c r="B63">
        <v>3818</v>
      </c>
      <c r="D63" s="6">
        <f>$G$4*Linear_Regression53[[#This Row],[Ice Cream Profits (USD)]]+$H$4*D62</f>
        <v>3316.252537465808</v>
      </c>
      <c r="E63" s="6">
        <f t="shared" si="0"/>
        <v>1183.0351145711707</v>
      </c>
    </row>
    <row r="64" spans="1:5" x14ac:dyDescent="0.3">
      <c r="A64">
        <v>59</v>
      </c>
      <c r="B64">
        <v>2969</v>
      </c>
      <c r="D64" s="6">
        <f>$G$4*Linear_Regression53[[#This Row],[Ice Cream Profits (USD)]]+$H$4*D63</f>
        <v>3281.5272837192274</v>
      </c>
      <c r="E64" s="6">
        <f t="shared" si="0"/>
        <v>1394.3567367567111</v>
      </c>
    </row>
    <row r="65" spans="1:5" x14ac:dyDescent="0.3">
      <c r="A65">
        <v>59</v>
      </c>
      <c r="B65">
        <v>3847</v>
      </c>
      <c r="D65" s="6">
        <f>$G$4*Linear_Regression53[[#This Row],[Ice Cream Profits (USD)]]+$H$4*D64</f>
        <v>3338.0745553473043</v>
      </c>
      <c r="E65" s="6">
        <f t="shared" si="0"/>
        <v>703.88804947957226</v>
      </c>
    </row>
    <row r="66" spans="1:5" x14ac:dyDescent="0.3">
      <c r="A66">
        <v>59</v>
      </c>
      <c r="B66">
        <v>3774</v>
      </c>
      <c r="D66" s="6">
        <f>$G$4*Linear_Regression53[[#This Row],[Ice Cream Profits (USD)]]+$H$4*D65</f>
        <v>3381.6670998125742</v>
      </c>
      <c r="E66" s="6">
        <f t="shared" si="0"/>
        <v>1327.0016399011213</v>
      </c>
    </row>
    <row r="67" spans="1:5" x14ac:dyDescent="0.3">
      <c r="A67">
        <v>59</v>
      </c>
      <c r="B67">
        <v>3671</v>
      </c>
      <c r="D67" s="6">
        <f>$G$4*Linear_Regression53[[#This Row],[Ice Cream Profits (USD)]]+$H$4*D66</f>
        <v>3410.6003898313165</v>
      </c>
      <c r="E67" s="6">
        <f t="shared" si="0"/>
        <v>1226.1879376335996</v>
      </c>
    </row>
    <row r="68" spans="1:5" x14ac:dyDescent="0.3">
      <c r="A68">
        <v>59</v>
      </c>
      <c r="B68">
        <v>3229</v>
      </c>
      <c r="D68" s="6">
        <f>$G$4*Linear_Regression53[[#This Row],[Ice Cream Profits (USD)]]+$H$4*D67</f>
        <v>3392.4403508481851</v>
      </c>
      <c r="E68" s="6">
        <f t="shared" si="0"/>
        <v>1664.143109818642</v>
      </c>
    </row>
    <row r="69" spans="1:5" x14ac:dyDescent="0.3">
      <c r="A69">
        <v>59</v>
      </c>
      <c r="B69">
        <v>3750</v>
      </c>
      <c r="D69" s="6">
        <f>$G$4*Linear_Regression53[[#This Row],[Ice Cream Profits (USD)]]+$H$4*D68</f>
        <v>3428.1963157633668</v>
      </c>
      <c r="E69" s="6">
        <f t="shared" si="0"/>
        <v>1090.7549484744848</v>
      </c>
    </row>
    <row r="70" spans="1:5" x14ac:dyDescent="0.3">
      <c r="A70">
        <v>59</v>
      </c>
      <c r="B70">
        <v>3533</v>
      </c>
      <c r="D70" s="6">
        <f>$G$4*Linear_Regression53[[#This Row],[Ice Cream Profits (USD)]]+$H$4*D69</f>
        <v>3438.6766841870303</v>
      </c>
      <c r="E70" s="6">
        <f t="shared" si="0"/>
        <v>1011.8968108468359</v>
      </c>
    </row>
    <row r="71" spans="1:5" x14ac:dyDescent="0.3">
      <c r="A71">
        <v>60</v>
      </c>
      <c r="B71">
        <v>3506</v>
      </c>
      <c r="D71" s="6">
        <f>$G$4*Linear_Regression53[[#This Row],[Ice Cream Profits (USD)]]+$H$4*D70</f>
        <v>3445.4090157683272</v>
      </c>
      <c r="E71" s="6">
        <f t="shared" ref="E71:E134" si="1">SQRT(SUMX2MY2(B68:B70,D68:D70)/3)</f>
        <v>792.74862517530539</v>
      </c>
    </row>
    <row r="72" spans="1:5" x14ac:dyDescent="0.3">
      <c r="A72">
        <v>60</v>
      </c>
      <c r="B72">
        <v>3625</v>
      </c>
      <c r="D72" s="6">
        <f>$G$4*Linear_Regression53[[#This Row],[Ice Cream Profits (USD)]]+$H$4*D71</f>
        <v>3463.3681141914944</v>
      </c>
      <c r="E72" s="6">
        <f t="shared" si="1"/>
        <v>1062.8192690947499</v>
      </c>
    </row>
    <row r="73" spans="1:5" x14ac:dyDescent="0.3">
      <c r="A73">
        <v>60</v>
      </c>
      <c r="B73">
        <v>4025</v>
      </c>
      <c r="D73" s="6">
        <f>$G$4*Linear_Regression53[[#This Row],[Ice Cream Profits (USD)]]+$H$4*D72</f>
        <v>3519.531302772345</v>
      </c>
      <c r="E73" s="6">
        <f t="shared" si="1"/>
        <v>861.10213898477582</v>
      </c>
    </row>
    <row r="74" spans="1:5" x14ac:dyDescent="0.3">
      <c r="A74">
        <v>60</v>
      </c>
      <c r="B74">
        <v>3969</v>
      </c>
      <c r="D74" s="6">
        <f>$G$4*Linear_Regression53[[#This Row],[Ice Cream Profits (USD)]]+$H$4*D73</f>
        <v>3564.4781724951108</v>
      </c>
      <c r="E74" s="6">
        <f t="shared" si="1"/>
        <v>1339.2066592414055</v>
      </c>
    </row>
    <row r="75" spans="1:5" x14ac:dyDescent="0.3">
      <c r="A75">
        <v>60</v>
      </c>
      <c r="B75">
        <v>4095</v>
      </c>
      <c r="D75" s="6">
        <f>$G$4*Linear_Regression53[[#This Row],[Ice Cream Profits (USD)]]+$H$4*D74</f>
        <v>3617.5303552455998</v>
      </c>
      <c r="E75" s="6">
        <f t="shared" si="1"/>
        <v>1633.6755157428668</v>
      </c>
    </row>
    <row r="76" spans="1:5" x14ac:dyDescent="0.3">
      <c r="A76">
        <v>61</v>
      </c>
      <c r="B76">
        <v>3796</v>
      </c>
      <c r="D76" s="6">
        <f>$G$4*Linear_Regression53[[#This Row],[Ice Cream Profits (USD)]]+$H$4*D75</f>
        <v>3635.3773197210398</v>
      </c>
      <c r="E76" s="6">
        <f t="shared" si="1"/>
        <v>1874.6981886415886</v>
      </c>
    </row>
    <row r="77" spans="1:5" x14ac:dyDescent="0.3">
      <c r="A77">
        <v>61</v>
      </c>
      <c r="B77">
        <v>3810</v>
      </c>
      <c r="D77" s="6">
        <f>$G$4*Linear_Regression53[[#This Row],[Ice Cream Profits (USD)]]+$H$4*D76</f>
        <v>3652.8395877489361</v>
      </c>
      <c r="E77" s="6">
        <f t="shared" si="1"/>
        <v>1625.1772446865018</v>
      </c>
    </row>
    <row r="78" spans="1:5" x14ac:dyDescent="0.3">
      <c r="A78">
        <v>61</v>
      </c>
      <c r="B78">
        <v>3821</v>
      </c>
      <c r="D78" s="6">
        <f>$G$4*Linear_Regression53[[#This Row],[Ice Cream Profits (USD)]]+$H$4*D77</f>
        <v>3669.6556289740424</v>
      </c>
      <c r="E78" s="6">
        <f t="shared" si="1"/>
        <v>1419.9776780297987</v>
      </c>
    </row>
    <row r="79" spans="1:5" x14ac:dyDescent="0.3">
      <c r="A79">
        <v>61</v>
      </c>
      <c r="B79">
        <v>3730</v>
      </c>
      <c r="D79" s="6">
        <f>$G$4*Linear_Regression53[[#This Row],[Ice Cream Profits (USD)]]+$H$4*D78</f>
        <v>3675.6900660766382</v>
      </c>
      <c r="E79" s="6">
        <f t="shared" si="1"/>
        <v>1080.1511088996108</v>
      </c>
    </row>
    <row r="80" spans="1:5" x14ac:dyDescent="0.3">
      <c r="A80">
        <v>61</v>
      </c>
      <c r="B80">
        <v>3953</v>
      </c>
      <c r="D80" s="6">
        <f>$G$4*Linear_Regression53[[#This Row],[Ice Cream Profits (USD)]]+$H$4*D79</f>
        <v>3703.4210594689748</v>
      </c>
      <c r="E80" s="6">
        <f t="shared" si="1"/>
        <v>950.2164751709347</v>
      </c>
    </row>
    <row r="81" spans="1:5" x14ac:dyDescent="0.3">
      <c r="A81">
        <v>61</v>
      </c>
      <c r="B81">
        <v>3742</v>
      </c>
      <c r="D81" s="6">
        <f>$G$4*Linear_Regression53[[#This Row],[Ice Cream Profits (USD)]]+$H$4*D80</f>
        <v>3707.2789535220772</v>
      </c>
      <c r="E81" s="6">
        <f t="shared" si="1"/>
        <v>1071.8757016194152</v>
      </c>
    </row>
    <row r="82" spans="1:5" x14ac:dyDescent="0.3">
      <c r="A82">
        <v>61</v>
      </c>
      <c r="B82">
        <v>3942</v>
      </c>
      <c r="D82" s="6">
        <f>$G$4*Linear_Regression53[[#This Row],[Ice Cream Profits (USD)]]+$H$4*D81</f>
        <v>3730.7510581698698</v>
      </c>
      <c r="E82" s="6">
        <f t="shared" si="1"/>
        <v>925.87449747062874</v>
      </c>
    </row>
    <row r="83" spans="1:5" x14ac:dyDescent="0.3">
      <c r="A83">
        <v>61</v>
      </c>
      <c r="B83">
        <v>3816</v>
      </c>
      <c r="D83" s="6">
        <f>$G$4*Linear_Regression53[[#This Row],[Ice Cream Profits (USD)]]+$H$4*D82</f>
        <v>3739.275952352883</v>
      </c>
      <c r="E83" s="6">
        <f t="shared" si="1"/>
        <v>1124.038664669851</v>
      </c>
    </row>
    <row r="84" spans="1:5" x14ac:dyDescent="0.3">
      <c r="A84">
        <v>61</v>
      </c>
      <c r="B84">
        <v>3766</v>
      </c>
      <c r="D84" s="6">
        <f>$G$4*Linear_Regression53[[#This Row],[Ice Cream Profits (USD)]]+$H$4*D83</f>
        <v>3741.9483571175947</v>
      </c>
      <c r="E84" s="6">
        <f t="shared" si="1"/>
        <v>905.38733053724741</v>
      </c>
    </row>
    <row r="85" spans="1:5" x14ac:dyDescent="0.3">
      <c r="A85">
        <v>62</v>
      </c>
      <c r="B85">
        <v>3904</v>
      </c>
      <c r="D85" s="6">
        <f>$G$4*Linear_Regression53[[#This Row],[Ice Cream Profits (USD)]]+$H$4*D84</f>
        <v>3758.1535214058354</v>
      </c>
      <c r="E85" s="6">
        <f t="shared" si="1"/>
        <v>890.90036606883814</v>
      </c>
    </row>
    <row r="86" spans="1:5" x14ac:dyDescent="0.3">
      <c r="A86">
        <v>62</v>
      </c>
      <c r="B86">
        <v>4144</v>
      </c>
      <c r="D86" s="6">
        <f>$G$4*Linear_Regression53[[#This Row],[Ice Cream Profits (USD)]]+$H$4*D85</f>
        <v>3796.7381692652521</v>
      </c>
      <c r="E86" s="6">
        <f t="shared" si="1"/>
        <v>791.14852258500161</v>
      </c>
    </row>
    <row r="87" spans="1:5" x14ac:dyDescent="0.3">
      <c r="A87">
        <v>62</v>
      </c>
      <c r="B87">
        <v>4019</v>
      </c>
      <c r="D87" s="6">
        <f>$G$4*Linear_Regression53[[#This Row],[Ice Cream Profits (USD)]]+$H$4*D86</f>
        <v>3818.9643523387272</v>
      </c>
      <c r="E87" s="6">
        <f t="shared" si="1"/>
        <v>1162.6968473129177</v>
      </c>
    </row>
    <row r="88" spans="1:5" x14ac:dyDescent="0.3">
      <c r="A88">
        <v>62</v>
      </c>
      <c r="B88">
        <v>3793</v>
      </c>
      <c r="D88" s="6">
        <f>$G$4*Linear_Regression53[[#This Row],[Ice Cream Profits (USD)]]+$H$4*D87</f>
        <v>3816.3679171048548</v>
      </c>
      <c r="E88" s="6">
        <f t="shared" si="1"/>
        <v>1346.95776463794</v>
      </c>
    </row>
    <row r="89" spans="1:5" x14ac:dyDescent="0.3">
      <c r="A89">
        <v>63</v>
      </c>
      <c r="B89">
        <v>5017</v>
      </c>
      <c r="D89" s="6">
        <f>$G$4*Linear_Regression53[[#This Row],[Ice Cream Profits (USD)]]+$H$4*D88</f>
        <v>3936.4311253943697</v>
      </c>
      <c r="E89" s="6">
        <f t="shared" si="1"/>
        <v>1175.8078741732058</v>
      </c>
    </row>
    <row r="90" spans="1:5" x14ac:dyDescent="0.3">
      <c r="A90">
        <v>63</v>
      </c>
      <c r="B90">
        <v>4415</v>
      </c>
      <c r="D90" s="6">
        <f>$G$4*Linear_Regression53[[#This Row],[Ice Cream Profits (USD)]]+$H$4*D89</f>
        <v>3984.2880128549327</v>
      </c>
      <c r="E90" s="6">
        <f t="shared" si="1"/>
        <v>1920.4909261163073</v>
      </c>
    </row>
    <row r="91" spans="1:5" x14ac:dyDescent="0.3">
      <c r="A91">
        <v>63</v>
      </c>
      <c r="B91">
        <v>4158</v>
      </c>
      <c r="D91" s="6">
        <f>$G$4*Linear_Regression53[[#This Row],[Ice Cream Profits (USD)]]+$H$4*D90</f>
        <v>4001.6592115694398</v>
      </c>
      <c r="E91" s="6">
        <f t="shared" si="1"/>
        <v>2090.8258294224047</v>
      </c>
    </row>
    <row r="92" spans="1:5" x14ac:dyDescent="0.3">
      <c r="A92">
        <v>63</v>
      </c>
      <c r="B92">
        <v>4059</v>
      </c>
      <c r="D92" s="6">
        <f>$G$4*Linear_Regression53[[#This Row],[Ice Cream Profits (USD)]]+$H$4*D91</f>
        <v>4007.3932904124958</v>
      </c>
      <c r="E92" s="6">
        <f t="shared" si="1"/>
        <v>2203.645508402562</v>
      </c>
    </row>
    <row r="93" spans="1:5" x14ac:dyDescent="0.3">
      <c r="A93">
        <v>63</v>
      </c>
      <c r="B93">
        <v>3917</v>
      </c>
      <c r="D93" s="6">
        <f>$G$4*Linear_Regression53[[#This Row],[Ice Cream Profits (USD)]]+$H$4*D92</f>
        <v>3998.3539613712464</v>
      </c>
      <c r="E93" s="6">
        <f t="shared" si="1"/>
        <v>1330.3685706147814</v>
      </c>
    </row>
    <row r="94" spans="1:5" x14ac:dyDescent="0.3">
      <c r="A94">
        <v>64</v>
      </c>
      <c r="B94">
        <v>4057</v>
      </c>
      <c r="D94" s="6">
        <f>$G$4*Linear_Regression53[[#This Row],[Ice Cream Profits (USD)]]+$H$4*D93</f>
        <v>4004.2185652341223</v>
      </c>
      <c r="E94" s="6">
        <f t="shared" si="1"/>
        <v>591.05052519651281</v>
      </c>
    </row>
    <row r="95" spans="1:5" x14ac:dyDescent="0.3">
      <c r="A95">
        <v>64</v>
      </c>
      <c r="B95">
        <v>4028</v>
      </c>
      <c r="D95" s="6">
        <f>$G$4*Linear_Regression53[[#This Row],[Ice Cream Profits (USD)]]+$H$4*D94</f>
        <v>4006.5967087107101</v>
      </c>
      <c r="E95" s="6">
        <f t="shared" si="1"/>
        <v>256.78609605282901</v>
      </c>
    </row>
    <row r="96" spans="1:5" x14ac:dyDescent="0.3">
      <c r="A96">
        <v>64</v>
      </c>
      <c r="B96">
        <v>4121</v>
      </c>
      <c r="D96" s="6">
        <f>$G$4*Linear_Regression53[[#This Row],[Ice Cream Profits (USD)]]+$H$4*D95</f>
        <v>4018.0370378396392</v>
      </c>
      <c r="E96" s="6" t="e">
        <f t="shared" si="1"/>
        <v>#NUM!</v>
      </c>
    </row>
    <row r="97" spans="1:5" x14ac:dyDescent="0.3">
      <c r="A97">
        <v>64</v>
      </c>
      <c r="B97">
        <v>4485</v>
      </c>
      <c r="D97" s="6">
        <f>$G$4*Linear_Regression53[[#This Row],[Ice Cream Profits (USD)]]+$H$4*D96</f>
        <v>4064.7333340556752</v>
      </c>
      <c r="E97" s="6">
        <f t="shared" si="1"/>
        <v>691.72944087789836</v>
      </c>
    </row>
    <row r="98" spans="1:5" x14ac:dyDescent="0.3">
      <c r="A98">
        <v>64</v>
      </c>
      <c r="B98">
        <v>4094</v>
      </c>
      <c r="D98" s="6">
        <f>$G$4*Linear_Regression53[[#This Row],[Ice Cream Profits (USD)]]+$H$4*D97</f>
        <v>4067.660000650108</v>
      </c>
      <c r="E98" s="6">
        <f t="shared" si="1"/>
        <v>1238.7028294838649</v>
      </c>
    </row>
    <row r="99" spans="1:5" x14ac:dyDescent="0.3">
      <c r="A99">
        <v>64</v>
      </c>
      <c r="B99">
        <v>4014</v>
      </c>
      <c r="D99" s="6">
        <f>$G$4*Linear_Regression53[[#This Row],[Ice Cream Profits (USD)]]+$H$4*D98</f>
        <v>4062.2940005850974</v>
      </c>
      <c r="E99" s="6">
        <f t="shared" si="1"/>
        <v>1244.4765170781191</v>
      </c>
    </row>
    <row r="100" spans="1:5" x14ac:dyDescent="0.3">
      <c r="A100">
        <v>64</v>
      </c>
      <c r="B100">
        <v>3857</v>
      </c>
      <c r="D100" s="6">
        <f>$G$4*Linear_Regression53[[#This Row],[Ice Cream Profits (USD)]]+$H$4*D99</f>
        <v>4041.7646005265879</v>
      </c>
      <c r="E100" s="6">
        <f t="shared" si="1"/>
        <v>1067.4126810404873</v>
      </c>
    </row>
    <row r="101" spans="1:5" x14ac:dyDescent="0.3">
      <c r="A101">
        <v>64</v>
      </c>
      <c r="B101">
        <v>4407</v>
      </c>
      <c r="D101" s="6">
        <f>$G$4*Linear_Regression53[[#This Row],[Ice Cream Profits (USD)]]+$H$4*D100</f>
        <v>4078.2881404739292</v>
      </c>
      <c r="E101" s="6" t="e">
        <f t="shared" si="1"/>
        <v>#NUM!</v>
      </c>
    </row>
    <row r="102" spans="1:5" x14ac:dyDescent="0.3">
      <c r="A102">
        <v>64</v>
      </c>
      <c r="B102">
        <v>4410</v>
      </c>
      <c r="D102" s="6">
        <f>$G$4*Linear_Regression53[[#This Row],[Ice Cream Profits (USD)]]+$H$4*D101</f>
        <v>4111.4593264265368</v>
      </c>
      <c r="E102" s="6">
        <f t="shared" si="1"/>
        <v>559.69223983965105</v>
      </c>
    </row>
    <row r="103" spans="1:5" x14ac:dyDescent="0.3">
      <c r="A103">
        <v>65</v>
      </c>
      <c r="B103">
        <v>4736</v>
      </c>
      <c r="D103" s="6">
        <f>$G$4*Linear_Regression53[[#This Row],[Ice Cream Profits (USD)]]+$H$4*D102</f>
        <v>4173.9133937838833</v>
      </c>
      <c r="E103" s="6">
        <f t="shared" si="1"/>
        <v>1136.3398793700326</v>
      </c>
    </row>
    <row r="104" spans="1:5" x14ac:dyDescent="0.3">
      <c r="A104">
        <v>65</v>
      </c>
      <c r="B104">
        <v>4538</v>
      </c>
      <c r="D104" s="6">
        <f>$G$4*Linear_Regression53[[#This Row],[Ice Cream Profits (USD)]]+$H$4*D103</f>
        <v>4210.3220544054948</v>
      </c>
      <c r="E104" s="6">
        <f t="shared" si="1"/>
        <v>1856.642133135467</v>
      </c>
    </row>
    <row r="105" spans="1:5" x14ac:dyDescent="0.3">
      <c r="A105">
        <v>65</v>
      </c>
      <c r="B105">
        <v>4109</v>
      </c>
      <c r="D105" s="6">
        <f>$G$4*Linear_Regression53[[#This Row],[Ice Cream Profits (USD)]]+$H$4*D104</f>
        <v>4200.1898489649457</v>
      </c>
      <c r="E105" s="6">
        <f t="shared" si="1"/>
        <v>1863.5787602100829</v>
      </c>
    </row>
    <row r="106" spans="1:5" x14ac:dyDescent="0.3">
      <c r="A106">
        <v>65</v>
      </c>
      <c r="B106">
        <v>4378</v>
      </c>
      <c r="D106" s="6">
        <f>$G$4*Linear_Regression53[[#This Row],[Ice Cream Profits (USD)]]+$H$4*D105</f>
        <v>4217.9708640684512</v>
      </c>
      <c r="E106" s="6">
        <f t="shared" si="1"/>
        <v>1540.2447221172383</v>
      </c>
    </row>
    <row r="107" spans="1:5" x14ac:dyDescent="0.3">
      <c r="A107">
        <v>65</v>
      </c>
      <c r="B107">
        <v>4272</v>
      </c>
      <c r="D107" s="6">
        <f>$G$4*Linear_Regression53[[#This Row],[Ice Cream Profits (USD)]]+$H$4*D106</f>
        <v>4223.3737776616063</v>
      </c>
      <c r="E107" s="6">
        <f t="shared" si="1"/>
        <v>1077.7328396079374</v>
      </c>
    </row>
    <row r="108" spans="1:5" x14ac:dyDescent="0.3">
      <c r="A108">
        <v>65</v>
      </c>
      <c r="B108">
        <v>4210</v>
      </c>
      <c r="D108" s="6">
        <f>$G$4*Linear_Regression53[[#This Row],[Ice Cream Profits (USD)]]+$H$4*D107</f>
        <v>4222.0363998954454</v>
      </c>
      <c r="E108" s="6">
        <f t="shared" si="1"/>
        <v>586.22804342161453</v>
      </c>
    </row>
    <row r="109" spans="1:5" x14ac:dyDescent="0.3">
      <c r="A109">
        <v>65</v>
      </c>
      <c r="B109">
        <v>4328</v>
      </c>
      <c r="D109" s="6">
        <f>$G$4*Linear_Regression53[[#This Row],[Ice Cream Profits (USD)]]+$H$4*D108</f>
        <v>4232.6327599059005</v>
      </c>
      <c r="E109" s="6">
        <f t="shared" si="1"/>
        <v>749.93607771771349</v>
      </c>
    </row>
    <row r="110" spans="1:5" x14ac:dyDescent="0.3">
      <c r="A110">
        <v>65</v>
      </c>
      <c r="B110">
        <v>4431</v>
      </c>
      <c r="D110" s="6">
        <f>$G$4*Linear_Regression53[[#This Row],[Ice Cream Profits (USD)]]+$H$4*D109</f>
        <v>4252.4694839153108</v>
      </c>
      <c r="E110" s="6">
        <f t="shared" si="1"/>
        <v>613.19124039449002</v>
      </c>
    </row>
    <row r="111" spans="1:5" x14ac:dyDescent="0.3">
      <c r="A111">
        <v>65</v>
      </c>
      <c r="B111">
        <v>4271</v>
      </c>
      <c r="D111" s="6">
        <f>$G$4*Linear_Regression53[[#This Row],[Ice Cream Profits (USD)]]+$H$4*D110</f>
        <v>4254.3225355237801</v>
      </c>
      <c r="E111" s="6">
        <f t="shared" si="1"/>
        <v>868.94128035180813</v>
      </c>
    </row>
    <row r="112" spans="1:5" x14ac:dyDescent="0.3">
      <c r="A112">
        <v>66</v>
      </c>
      <c r="B112">
        <v>4303</v>
      </c>
      <c r="D112" s="6">
        <f>$G$4*Linear_Regression53[[#This Row],[Ice Cream Profits (USD)]]+$H$4*D111</f>
        <v>4259.1902819714023</v>
      </c>
      <c r="E112" s="6">
        <f t="shared" si="1"/>
        <v>914.48509590095307</v>
      </c>
    </row>
    <row r="113" spans="1:5" x14ac:dyDescent="0.3">
      <c r="A113">
        <v>66</v>
      </c>
      <c r="B113">
        <v>4216</v>
      </c>
      <c r="D113" s="6">
        <f>$G$4*Linear_Regression53[[#This Row],[Ice Cream Profits (USD)]]+$H$4*D112</f>
        <v>4254.8712537742622</v>
      </c>
      <c r="E113" s="6">
        <f t="shared" si="1"/>
        <v>830.17110566917381</v>
      </c>
    </row>
    <row r="114" spans="1:5" x14ac:dyDescent="0.3">
      <c r="A114">
        <v>66</v>
      </c>
      <c r="B114">
        <v>4674</v>
      </c>
      <c r="D114" s="6">
        <f>$G$4*Linear_Regression53[[#This Row],[Ice Cream Profits (USD)]]+$H$4*D113</f>
        <v>4296.7841283968355</v>
      </c>
      <c r="E114" s="6">
        <f t="shared" si="1"/>
        <v>250.34277800669136</v>
      </c>
    </row>
    <row r="115" spans="1:5" x14ac:dyDescent="0.3">
      <c r="A115">
        <v>66</v>
      </c>
      <c r="B115">
        <v>4768</v>
      </c>
      <c r="D115" s="6">
        <f>$G$4*Linear_Regression53[[#This Row],[Ice Cream Profits (USD)]]+$H$4*D114</f>
        <v>4343.9057155571518</v>
      </c>
      <c r="E115" s="6">
        <f t="shared" si="1"/>
        <v>1069.2296151471012</v>
      </c>
    </row>
    <row r="116" spans="1:5" x14ac:dyDescent="0.3">
      <c r="A116">
        <v>66</v>
      </c>
      <c r="B116">
        <v>4448</v>
      </c>
      <c r="D116" s="6">
        <f>$G$4*Linear_Regression53[[#This Row],[Ice Cream Profits (USD)]]+$H$4*D115</f>
        <v>4354.3151440014362</v>
      </c>
      <c r="E116" s="6">
        <f t="shared" si="1"/>
        <v>1518.6568519706698</v>
      </c>
    </row>
    <row r="117" spans="1:5" x14ac:dyDescent="0.3">
      <c r="A117">
        <v>66</v>
      </c>
      <c r="B117">
        <v>4752</v>
      </c>
      <c r="D117" s="6">
        <f>$G$4*Linear_Regression53[[#This Row],[Ice Cream Profits (USD)]]+$H$4*D116</f>
        <v>4394.0836296012931</v>
      </c>
      <c r="E117" s="6">
        <f t="shared" si="1"/>
        <v>1640.4138619087059</v>
      </c>
    </row>
    <row r="118" spans="1:5" x14ac:dyDescent="0.3">
      <c r="A118">
        <v>66</v>
      </c>
      <c r="B118">
        <v>4498</v>
      </c>
      <c r="D118" s="6">
        <f>$G$4*Linear_Regression53[[#This Row],[Ice Cream Profits (USD)]]+$H$4*D117</f>
        <v>4404.4752666411641</v>
      </c>
      <c r="E118" s="6">
        <f t="shared" si="1"/>
        <v>1629.1596828978618</v>
      </c>
    </row>
    <row r="119" spans="1:5" x14ac:dyDescent="0.3">
      <c r="A119">
        <v>66</v>
      </c>
      <c r="B119">
        <v>4507</v>
      </c>
      <c r="D119" s="6">
        <f>$G$4*Linear_Regression53[[#This Row],[Ice Cream Profits (USD)]]+$H$4*D118</f>
        <v>4414.7277399770483</v>
      </c>
      <c r="E119" s="6">
        <f t="shared" si="1"/>
        <v>1282.0268208759549</v>
      </c>
    </row>
    <row r="120" spans="1:5" x14ac:dyDescent="0.3">
      <c r="A120">
        <v>66</v>
      </c>
      <c r="B120">
        <v>4542</v>
      </c>
      <c r="D120" s="6">
        <f>$G$4*Linear_Regression53[[#This Row],[Ice Cream Profits (USD)]]+$H$4*D119</f>
        <v>4427.4549659793438</v>
      </c>
      <c r="E120" s="6">
        <f t="shared" si="1"/>
        <v>1281.8427703236873</v>
      </c>
    </row>
    <row r="121" spans="1:5" x14ac:dyDescent="0.3">
      <c r="A121">
        <v>66</v>
      </c>
      <c r="B121">
        <v>4736</v>
      </c>
      <c r="D121" s="6">
        <f>$G$4*Linear_Regression53[[#This Row],[Ice Cream Profits (USD)]]+$H$4*D120</f>
        <v>4458.3094693814101</v>
      </c>
      <c r="E121" s="6">
        <f t="shared" si="1"/>
        <v>945.73360090606184</v>
      </c>
    </row>
    <row r="122" spans="1:5" x14ac:dyDescent="0.3">
      <c r="A122">
        <v>66</v>
      </c>
      <c r="B122">
        <v>4826</v>
      </c>
      <c r="D122" s="6">
        <f>$G$4*Linear_Regression53[[#This Row],[Ice Cream Profits (USD)]]+$H$4*D121</f>
        <v>4495.0785224432693</v>
      </c>
      <c r="E122" s="6">
        <f t="shared" si="1"/>
        <v>1211.5839744354003</v>
      </c>
    </row>
    <row r="123" spans="1:5" x14ac:dyDescent="0.3">
      <c r="A123">
        <v>66</v>
      </c>
      <c r="B123">
        <v>5175</v>
      </c>
      <c r="D123" s="6">
        <f>$G$4*Linear_Regression53[[#This Row],[Ice Cream Profits (USD)]]+$H$4*D122</f>
        <v>4563.070670198942</v>
      </c>
      <c r="E123" s="6">
        <f t="shared" si="1"/>
        <v>1490.5395305635845</v>
      </c>
    </row>
    <row r="124" spans="1:5" x14ac:dyDescent="0.3">
      <c r="A124">
        <v>66</v>
      </c>
      <c r="B124">
        <v>4505</v>
      </c>
      <c r="D124" s="6">
        <f>$G$4*Linear_Regression53[[#This Row],[Ice Cream Profits (USD)]]+$H$4*D123</f>
        <v>4557.263603179048</v>
      </c>
      <c r="E124" s="6">
        <f t="shared" si="1"/>
        <v>1966.10688172197</v>
      </c>
    </row>
    <row r="125" spans="1:5" x14ac:dyDescent="0.3">
      <c r="A125">
        <v>66</v>
      </c>
      <c r="B125">
        <v>4065</v>
      </c>
      <c r="D125" s="6">
        <f>$G$4*Linear_Regression53[[#This Row],[Ice Cream Profits (USD)]]+$H$4*D124</f>
        <v>4508.0372428611436</v>
      </c>
      <c r="E125" s="6">
        <f t="shared" si="1"/>
        <v>1690.1607011345534</v>
      </c>
    </row>
    <row r="126" spans="1:5" x14ac:dyDescent="0.3">
      <c r="A126">
        <v>67</v>
      </c>
      <c r="B126">
        <v>4865</v>
      </c>
      <c r="D126" s="6">
        <f>$G$4*Linear_Regression53[[#This Row],[Ice Cream Profits (USD)]]+$H$4*D125</f>
        <v>4543.7335185750289</v>
      </c>
      <c r="E126" s="6">
        <f t="shared" si="1"/>
        <v>749.93549208950856</v>
      </c>
    </row>
    <row r="127" spans="1:5" x14ac:dyDescent="0.3">
      <c r="A127">
        <v>67</v>
      </c>
      <c r="B127">
        <v>4526</v>
      </c>
      <c r="D127" s="6">
        <f>$G$4*Linear_Regression53[[#This Row],[Ice Cream Profits (USD)]]+$H$4*D126</f>
        <v>4541.9601667175266</v>
      </c>
      <c r="E127" s="6" t="e">
        <f t="shared" si="1"/>
        <v>#NUM!</v>
      </c>
    </row>
    <row r="128" spans="1:5" x14ac:dyDescent="0.3">
      <c r="A128">
        <v>67</v>
      </c>
      <c r="B128">
        <v>4604</v>
      </c>
      <c r="D128" s="6">
        <f>$G$4*Linear_Regression53[[#This Row],[Ice Cream Profits (USD)]]+$H$4*D127</f>
        <v>4548.1641500457736</v>
      </c>
      <c r="E128" s="6" t="e">
        <f t="shared" si="1"/>
        <v>#NUM!</v>
      </c>
    </row>
    <row r="129" spans="1:5" x14ac:dyDescent="0.3">
      <c r="A129">
        <v>67</v>
      </c>
      <c r="B129">
        <v>4485</v>
      </c>
      <c r="D129" s="6">
        <f>$G$4*Linear_Regression53[[#This Row],[Ice Cream Profits (USD)]]+$H$4*D128</f>
        <v>4541.8477350411958</v>
      </c>
      <c r="E129" s="6">
        <f t="shared" si="1"/>
        <v>1062.8583192454039</v>
      </c>
    </row>
    <row r="130" spans="1:5" x14ac:dyDescent="0.3">
      <c r="A130">
        <v>67</v>
      </c>
      <c r="B130">
        <v>4294</v>
      </c>
      <c r="D130" s="6">
        <f>$G$4*Linear_Regression53[[#This Row],[Ice Cream Profits (USD)]]+$H$4*D129</f>
        <v>4517.0629615370763</v>
      </c>
      <c r="E130" s="6" t="e">
        <f t="shared" si="1"/>
        <v>#NUM!</v>
      </c>
    </row>
    <row r="131" spans="1:5" x14ac:dyDescent="0.3">
      <c r="A131">
        <v>67</v>
      </c>
      <c r="B131">
        <v>5062</v>
      </c>
      <c r="D131" s="6">
        <f>$G$4*Linear_Regression53[[#This Row],[Ice Cream Profits (USD)]]+$H$4*D130</f>
        <v>4571.5566653833685</v>
      </c>
      <c r="E131" s="6" t="e">
        <f t="shared" si="1"/>
        <v>#NUM!</v>
      </c>
    </row>
    <row r="132" spans="1:5" x14ac:dyDescent="0.3">
      <c r="A132">
        <v>68</v>
      </c>
      <c r="B132">
        <v>4565</v>
      </c>
      <c r="D132" s="6">
        <f>$G$4*Linear_Regression53[[#This Row],[Ice Cream Profits (USD)]]+$H$4*D131</f>
        <v>4570.9009988450316</v>
      </c>
      <c r="E132" s="6">
        <f t="shared" si="1"/>
        <v>865.28145871732636</v>
      </c>
    </row>
    <row r="133" spans="1:5" x14ac:dyDescent="0.3">
      <c r="A133">
        <v>68</v>
      </c>
      <c r="B133">
        <v>4937</v>
      </c>
      <c r="D133" s="6">
        <f>$G$4*Linear_Regression53[[#This Row],[Ice Cream Profits (USD)]]+$H$4*D132</f>
        <v>4607.5108989605287</v>
      </c>
      <c r="E133" s="6">
        <f t="shared" si="1"/>
        <v>949.62815800998021</v>
      </c>
    </row>
    <row r="134" spans="1:5" x14ac:dyDescent="0.3">
      <c r="A134">
        <v>68</v>
      </c>
      <c r="B134">
        <v>4589</v>
      </c>
      <c r="D134" s="6">
        <f>$G$4*Linear_Regression53[[#This Row],[Ice Cream Profits (USD)]]+$H$4*D133</f>
        <v>4605.6598090644757</v>
      </c>
      <c r="E134" s="6">
        <f t="shared" si="1"/>
        <v>1614.0647477622379</v>
      </c>
    </row>
    <row r="135" spans="1:5" x14ac:dyDescent="0.3">
      <c r="A135">
        <v>68</v>
      </c>
      <c r="B135">
        <v>5074</v>
      </c>
      <c r="D135" s="6">
        <f>$G$4*Linear_Regression53[[#This Row],[Ice Cream Profits (USD)]]+$H$4*D134</f>
        <v>4652.493828158028</v>
      </c>
      <c r="E135" s="6">
        <f t="shared" ref="E135:E198" si="2">SQRT(SUMX2MY2(B132:B134,D132:D134)/3)</f>
        <v>989.56557773021666</v>
      </c>
    </row>
    <row r="136" spans="1:5" x14ac:dyDescent="0.3">
      <c r="A136">
        <v>68</v>
      </c>
      <c r="B136">
        <v>4717</v>
      </c>
      <c r="D136" s="6">
        <f>$G$4*Linear_Regression53[[#This Row],[Ice Cream Profits (USD)]]+$H$4*D135</f>
        <v>4658.9444453422248</v>
      </c>
      <c r="E136" s="6">
        <f t="shared" si="2"/>
        <v>1537.4663376347007</v>
      </c>
    </row>
    <row r="137" spans="1:5" x14ac:dyDescent="0.3">
      <c r="A137">
        <v>68</v>
      </c>
      <c r="B137">
        <v>4960</v>
      </c>
      <c r="D137" s="6">
        <f>$G$4*Linear_Regression53[[#This Row],[Ice Cream Profits (USD)]]+$H$4*D136</f>
        <v>4689.0500008080026</v>
      </c>
      <c r="E137" s="6">
        <f t="shared" si="2"/>
        <v>1223.5088281025285</v>
      </c>
    </row>
    <row r="138" spans="1:5" x14ac:dyDescent="0.3">
      <c r="A138">
        <v>68</v>
      </c>
      <c r="B138">
        <v>4168</v>
      </c>
      <c r="D138" s="6">
        <f>$G$4*Linear_Regression53[[#This Row],[Ice Cream Profits (USD)]]+$H$4*D137</f>
        <v>4636.9450007272026</v>
      </c>
      <c r="E138" s="6">
        <f t="shared" si="2"/>
        <v>1555.4755890175798</v>
      </c>
    </row>
    <row r="139" spans="1:5" x14ac:dyDescent="0.3">
      <c r="A139">
        <v>68</v>
      </c>
      <c r="B139">
        <v>4690</v>
      </c>
      <c r="D139" s="6">
        <f>$G$4*Linear_Regression53[[#This Row],[Ice Cream Profits (USD)]]+$H$4*D138</f>
        <v>4642.2505006544825</v>
      </c>
      <c r="E139" s="6" t="e">
        <f t="shared" si="2"/>
        <v>#NUM!</v>
      </c>
    </row>
    <row r="140" spans="1:5" x14ac:dyDescent="0.3">
      <c r="A140">
        <v>68</v>
      </c>
      <c r="B140">
        <v>4735</v>
      </c>
      <c r="D140" s="6">
        <f>$G$4*Linear_Regression53[[#This Row],[Ice Cream Profits (USD)]]+$H$4*D139</f>
        <v>4651.5254505890343</v>
      </c>
      <c r="E140" s="6" t="e">
        <f t="shared" si="2"/>
        <v>#NUM!</v>
      </c>
    </row>
    <row r="141" spans="1:5" x14ac:dyDescent="0.3">
      <c r="A141">
        <v>68</v>
      </c>
      <c r="B141">
        <v>4773</v>
      </c>
      <c r="D141" s="6">
        <f>$G$4*Linear_Regression53[[#This Row],[Ice Cream Profits (USD)]]+$H$4*D140</f>
        <v>4663.6729055301312</v>
      </c>
      <c r="E141" s="6" t="e">
        <f t="shared" si="2"/>
        <v>#NUM!</v>
      </c>
    </row>
    <row r="142" spans="1:5" x14ac:dyDescent="0.3">
      <c r="A142">
        <v>68</v>
      </c>
      <c r="B142">
        <v>4373</v>
      </c>
      <c r="D142" s="6">
        <f>$G$4*Linear_Regression53[[#This Row],[Ice Cream Profits (USD)]]+$H$4*D141</f>
        <v>4634.6056149771184</v>
      </c>
      <c r="E142" s="6">
        <f t="shared" si="2"/>
        <v>868.10719421045246</v>
      </c>
    </row>
    <row r="143" spans="1:5" x14ac:dyDescent="0.3">
      <c r="A143">
        <v>68</v>
      </c>
      <c r="B143">
        <v>4747</v>
      </c>
      <c r="D143" s="6">
        <f>$G$4*Linear_Regression53[[#This Row],[Ice Cream Profits (USD)]]+$H$4*D142</f>
        <v>4645.8450534794065</v>
      </c>
      <c r="E143" s="6" t="e">
        <f t="shared" si="2"/>
        <v>#NUM!</v>
      </c>
    </row>
    <row r="144" spans="1:5" x14ac:dyDescent="0.3">
      <c r="A144">
        <v>69</v>
      </c>
      <c r="B144">
        <v>5138</v>
      </c>
      <c r="D144" s="6">
        <f>$G$4*Linear_Regression53[[#This Row],[Ice Cream Profits (USD)]]+$H$4*D143</f>
        <v>4695.060548131466</v>
      </c>
      <c r="E144" s="6" t="e">
        <f t="shared" si="2"/>
        <v>#NUM!</v>
      </c>
    </row>
    <row r="145" spans="1:5" x14ac:dyDescent="0.3">
      <c r="A145">
        <v>69</v>
      </c>
      <c r="B145">
        <v>4174</v>
      </c>
      <c r="D145" s="6">
        <f>$G$4*Linear_Regression53[[#This Row],[Ice Cream Profits (USD)]]+$H$4*D144</f>
        <v>4642.9544933183188</v>
      </c>
      <c r="E145" s="6">
        <f t="shared" si="2"/>
        <v>991.48759986580342</v>
      </c>
    </row>
    <row r="146" spans="1:5" x14ac:dyDescent="0.3">
      <c r="A146">
        <v>69</v>
      </c>
      <c r="B146">
        <v>4988</v>
      </c>
      <c r="D146" s="6">
        <f>$G$4*Linear_Regression53[[#This Row],[Ice Cream Profits (USD)]]+$H$4*D145</f>
        <v>4677.4590439864869</v>
      </c>
      <c r="E146" s="6">
        <f t="shared" si="2"/>
        <v>624.72200788714099</v>
      </c>
    </row>
    <row r="147" spans="1:5" x14ac:dyDescent="0.3">
      <c r="A147">
        <v>69</v>
      </c>
      <c r="B147">
        <v>4778</v>
      </c>
      <c r="D147" s="6">
        <f>$G$4*Linear_Regression53[[#This Row],[Ice Cream Profits (USD)]]+$H$4*D146</f>
        <v>4687.5131395878389</v>
      </c>
      <c r="E147" s="6">
        <f t="shared" si="2"/>
        <v>1036.3752399885082</v>
      </c>
    </row>
    <row r="148" spans="1:5" x14ac:dyDescent="0.3">
      <c r="A148">
        <v>69</v>
      </c>
      <c r="B148">
        <v>4250</v>
      </c>
      <c r="D148" s="6">
        <f>$G$4*Linear_Regression53[[#This Row],[Ice Cream Profits (USD)]]+$H$4*D147</f>
        <v>4643.7618256290552</v>
      </c>
      <c r="E148" s="6" t="e">
        <f t="shared" si="2"/>
        <v>#NUM!</v>
      </c>
    </row>
    <row r="149" spans="1:5" x14ac:dyDescent="0.3">
      <c r="A149">
        <v>69</v>
      </c>
      <c r="B149">
        <v>4877</v>
      </c>
      <c r="D149" s="6">
        <f>$G$4*Linear_Regression53[[#This Row],[Ice Cream Profits (USD)]]+$H$4*D148</f>
        <v>4667.0856430661497</v>
      </c>
      <c r="E149" s="6">
        <f t="shared" si="2"/>
        <v>344.48104197990551</v>
      </c>
    </row>
    <row r="150" spans="1:5" x14ac:dyDescent="0.3">
      <c r="A150">
        <v>70</v>
      </c>
      <c r="B150">
        <v>4946</v>
      </c>
      <c r="D150" s="6">
        <f>$G$4*Linear_Regression53[[#This Row],[Ice Cream Profits (USD)]]+$H$4*D149</f>
        <v>4694.9770787595353</v>
      </c>
      <c r="E150" s="6" t="e">
        <f t="shared" si="2"/>
        <v>#NUM!</v>
      </c>
    </row>
    <row r="151" spans="1:5" x14ac:dyDescent="0.3">
      <c r="A151">
        <v>70</v>
      </c>
      <c r="B151">
        <v>5087</v>
      </c>
      <c r="D151" s="6">
        <f>$G$4*Linear_Regression53[[#This Row],[Ice Cream Profits (USD)]]+$H$4*D150</f>
        <v>4734.1793708835821</v>
      </c>
      <c r="E151" s="6">
        <f t="shared" si="2"/>
        <v>554.23308485350833</v>
      </c>
    </row>
    <row r="152" spans="1:5" x14ac:dyDescent="0.3">
      <c r="A152">
        <v>70</v>
      </c>
      <c r="B152">
        <v>4912</v>
      </c>
      <c r="D152" s="6">
        <f>$G$4*Linear_Regression53[[#This Row],[Ice Cream Profits (USD)]]+$H$4*D151</f>
        <v>4751.9614337952235</v>
      </c>
      <c r="E152" s="6">
        <f t="shared" si="2"/>
        <v>1621.5899106030411</v>
      </c>
    </row>
    <row r="153" spans="1:5" x14ac:dyDescent="0.3">
      <c r="A153">
        <v>70</v>
      </c>
      <c r="B153">
        <v>4995</v>
      </c>
      <c r="D153" s="6">
        <f>$G$4*Linear_Regression53[[#This Row],[Ice Cream Profits (USD)]]+$H$4*D152</f>
        <v>4776.2652904157012</v>
      </c>
      <c r="E153" s="6">
        <f t="shared" si="2"/>
        <v>1573.936407646526</v>
      </c>
    </row>
    <row r="154" spans="1:5" x14ac:dyDescent="0.3">
      <c r="A154">
        <v>70</v>
      </c>
      <c r="B154">
        <v>5031</v>
      </c>
      <c r="D154" s="6">
        <f>$G$4*Linear_Regression53[[#This Row],[Ice Cream Profits (USD)]]+$H$4*D153</f>
        <v>4801.7387613741312</v>
      </c>
      <c r="E154" s="6">
        <f t="shared" si="2"/>
        <v>1543.7007580911304</v>
      </c>
    </row>
    <row r="155" spans="1:5" x14ac:dyDescent="0.3">
      <c r="A155">
        <v>70</v>
      </c>
      <c r="B155">
        <v>4932</v>
      </c>
      <c r="D155" s="6">
        <f>$G$4*Linear_Regression53[[#This Row],[Ice Cream Profits (USD)]]+$H$4*D154</f>
        <v>4814.7648852367183</v>
      </c>
      <c r="E155" s="6">
        <f t="shared" si="2"/>
        <v>1406.9100036143377</v>
      </c>
    </row>
    <row r="156" spans="1:5" x14ac:dyDescent="0.3">
      <c r="A156">
        <v>70</v>
      </c>
      <c r="B156">
        <v>5267</v>
      </c>
      <c r="D156" s="6">
        <f>$G$4*Linear_Regression53[[#This Row],[Ice Cream Profits (USD)]]+$H$4*D155</f>
        <v>4859.9883967130463</v>
      </c>
      <c r="E156" s="6">
        <f t="shared" si="2"/>
        <v>1358.214985802922</v>
      </c>
    </row>
    <row r="157" spans="1:5" x14ac:dyDescent="0.3">
      <c r="A157">
        <v>70</v>
      </c>
      <c r="B157">
        <v>5205</v>
      </c>
      <c r="D157" s="6">
        <f>$G$4*Linear_Regression53[[#This Row],[Ice Cream Profits (USD)]]+$H$4*D156</f>
        <v>4894.489557041742</v>
      </c>
      <c r="E157" s="6">
        <f t="shared" si="2"/>
        <v>1583.1119934297371</v>
      </c>
    </row>
    <row r="158" spans="1:5" x14ac:dyDescent="0.3">
      <c r="A158">
        <v>70</v>
      </c>
      <c r="B158">
        <v>4882</v>
      </c>
      <c r="D158" s="6">
        <f>$G$4*Linear_Regression53[[#This Row],[Ice Cream Profits (USD)]]+$H$4*D157</f>
        <v>4893.2406013375676</v>
      </c>
      <c r="E158" s="6">
        <f t="shared" si="2"/>
        <v>1673.3660547646007</v>
      </c>
    </row>
    <row r="159" spans="1:5" x14ac:dyDescent="0.3">
      <c r="A159">
        <v>71</v>
      </c>
      <c r="B159">
        <v>5333</v>
      </c>
      <c r="D159" s="6">
        <f>$G$4*Linear_Regression53[[#This Row],[Ice Cream Profits (USD)]]+$H$4*D158</f>
        <v>4937.2165412038112</v>
      </c>
      <c r="E159" s="6">
        <f t="shared" si="2"/>
        <v>1543.5801649893283</v>
      </c>
    </row>
    <row r="160" spans="1:5" x14ac:dyDescent="0.3">
      <c r="A160">
        <v>71</v>
      </c>
      <c r="B160">
        <v>5459</v>
      </c>
      <c r="D160" s="6">
        <f>$G$4*Linear_Regression53[[#This Row],[Ice Cream Profits (USD)]]+$H$4*D159</f>
        <v>4989.3948870834301</v>
      </c>
      <c r="E160" s="6">
        <f t="shared" si="2"/>
        <v>1537.4111593513694</v>
      </c>
    </row>
    <row r="161" spans="1:5" x14ac:dyDescent="0.3">
      <c r="A161">
        <v>71</v>
      </c>
      <c r="B161">
        <v>5377</v>
      </c>
      <c r="D161" s="6">
        <f>$G$4*Linear_Regression53[[#This Row],[Ice Cream Profits (USD)]]+$H$4*D160</f>
        <v>5028.1553983750873</v>
      </c>
      <c r="E161" s="6">
        <f t="shared" si="2"/>
        <v>1718.6740919897875</v>
      </c>
    </row>
    <row r="162" spans="1:5" x14ac:dyDescent="0.3">
      <c r="A162">
        <v>71</v>
      </c>
      <c r="B162">
        <v>4960</v>
      </c>
      <c r="D162" s="6">
        <f>$G$4*Linear_Regression53[[#This Row],[Ice Cream Profits (USD)]]+$H$4*D161</f>
        <v>5021.3398585375789</v>
      </c>
      <c r="E162" s="6">
        <f t="shared" si="2"/>
        <v>2049.4864215050452</v>
      </c>
    </row>
    <row r="163" spans="1:5" x14ac:dyDescent="0.3">
      <c r="A163">
        <v>71</v>
      </c>
      <c r="B163">
        <v>5217</v>
      </c>
      <c r="D163" s="6">
        <f>$G$4*Linear_Regression53[[#This Row],[Ice Cream Profits (USD)]]+$H$4*D162</f>
        <v>5040.9058726838211</v>
      </c>
      <c r="E163" s="6">
        <f t="shared" si="2"/>
        <v>1625.2331089825236</v>
      </c>
    </row>
    <row r="164" spans="1:5" x14ac:dyDescent="0.3">
      <c r="A164">
        <v>71</v>
      </c>
      <c r="B164">
        <v>4674</v>
      </c>
      <c r="D164" s="6">
        <f>$G$4*Linear_Regression53[[#This Row],[Ice Cream Profits (USD)]]+$H$4*D163</f>
        <v>5004.2152854154392</v>
      </c>
      <c r="E164" s="6">
        <f t="shared" si="2"/>
        <v>1268.0543229156281</v>
      </c>
    </row>
    <row r="165" spans="1:5" x14ac:dyDescent="0.3">
      <c r="A165">
        <v>71</v>
      </c>
      <c r="B165">
        <v>5304</v>
      </c>
      <c r="D165" s="6">
        <f>$G$4*Linear_Regression53[[#This Row],[Ice Cream Profits (USD)]]+$H$4*D164</f>
        <v>5034.1937568738949</v>
      </c>
      <c r="E165" s="6" t="e">
        <f t="shared" si="2"/>
        <v>#NUM!</v>
      </c>
    </row>
    <row r="166" spans="1:5" x14ac:dyDescent="0.3">
      <c r="A166">
        <v>71</v>
      </c>
      <c r="B166">
        <v>4934</v>
      </c>
      <c r="D166" s="6">
        <f>$G$4*Linear_Regression53[[#This Row],[Ice Cream Profits (USD)]]+$H$4*D165</f>
        <v>5024.1743811865053</v>
      </c>
      <c r="E166" s="6">
        <f t="shared" si="2"/>
        <v>683.07431957977883</v>
      </c>
    </row>
    <row r="167" spans="1:5" x14ac:dyDescent="0.3">
      <c r="A167">
        <v>71</v>
      </c>
      <c r="B167">
        <v>5504</v>
      </c>
      <c r="D167" s="6">
        <f>$G$4*Linear_Regression53[[#This Row],[Ice Cream Profits (USD)]]+$H$4*D166</f>
        <v>5072.1569430678546</v>
      </c>
      <c r="E167" s="6" t="e">
        <f t="shared" si="2"/>
        <v>#NUM!</v>
      </c>
    </row>
    <row r="168" spans="1:5" x14ac:dyDescent="0.3">
      <c r="A168">
        <v>72</v>
      </c>
      <c r="B168">
        <v>5718</v>
      </c>
      <c r="D168" s="6">
        <f>$G$4*Linear_Regression53[[#This Row],[Ice Cream Profits (USD)]]+$H$4*D167</f>
        <v>5136.7412487610691</v>
      </c>
      <c r="E168" s="6">
        <f t="shared" si="2"/>
        <v>1467.2624112691008</v>
      </c>
    </row>
    <row r="169" spans="1:5" x14ac:dyDescent="0.3">
      <c r="A169">
        <v>72</v>
      </c>
      <c r="B169">
        <v>5126</v>
      </c>
      <c r="D169" s="6">
        <f>$G$4*Linear_Regression53[[#This Row],[Ice Cream Profits (USD)]]+$H$4*D168</f>
        <v>5135.6671238849631</v>
      </c>
      <c r="E169" s="6">
        <f t="shared" si="2"/>
        <v>1823.7946773686197</v>
      </c>
    </row>
    <row r="170" spans="1:5" x14ac:dyDescent="0.3">
      <c r="A170">
        <v>72</v>
      </c>
      <c r="B170">
        <v>5378</v>
      </c>
      <c r="D170" s="6">
        <f>$G$4*Linear_Regression53[[#This Row],[Ice Cream Profits (USD)]]+$H$4*D169</f>
        <v>5159.9004114964673</v>
      </c>
      <c r="E170" s="6">
        <f t="shared" si="2"/>
        <v>1895.3849636078576</v>
      </c>
    </row>
    <row r="171" spans="1:5" x14ac:dyDescent="0.3">
      <c r="A171">
        <v>72</v>
      </c>
      <c r="B171">
        <v>5155</v>
      </c>
      <c r="D171" s="6">
        <f>$G$4*Linear_Regression53[[#This Row],[Ice Cream Profits (USD)]]+$H$4*D170</f>
        <v>5159.4103703468209</v>
      </c>
      <c r="E171" s="6">
        <f t="shared" si="2"/>
        <v>1684.0946409829337</v>
      </c>
    </row>
    <row r="172" spans="1:5" x14ac:dyDescent="0.3">
      <c r="A172">
        <v>72</v>
      </c>
      <c r="B172">
        <v>5001</v>
      </c>
      <c r="D172" s="6">
        <f>$G$4*Linear_Regression53[[#This Row],[Ice Cream Profits (USD)]]+$H$4*D171</f>
        <v>5143.569333312139</v>
      </c>
      <c r="E172" s="6">
        <f t="shared" si="2"/>
        <v>847.27417176956772</v>
      </c>
    </row>
    <row r="173" spans="1:5" x14ac:dyDescent="0.3">
      <c r="A173">
        <v>72</v>
      </c>
      <c r="B173">
        <v>5359</v>
      </c>
      <c r="D173" s="6">
        <f>$G$4*Linear_Regression53[[#This Row],[Ice Cream Profits (USD)]]+$H$4*D172</f>
        <v>5165.1123999809251</v>
      </c>
      <c r="E173" s="6">
        <f t="shared" si="2"/>
        <v>518.49682969367893</v>
      </c>
    </row>
    <row r="174" spans="1:5" x14ac:dyDescent="0.3">
      <c r="A174">
        <v>72</v>
      </c>
      <c r="B174">
        <v>5247</v>
      </c>
      <c r="D174" s="6">
        <f>$G$4*Linear_Regression53[[#This Row],[Ice Cream Profits (USD)]]+$H$4*D173</f>
        <v>5173.3011599828324</v>
      </c>
      <c r="E174" s="6">
        <f t="shared" si="2"/>
        <v>427.66811093490355</v>
      </c>
    </row>
    <row r="175" spans="1:5" x14ac:dyDescent="0.3">
      <c r="A175">
        <v>72</v>
      </c>
      <c r="B175">
        <v>4896</v>
      </c>
      <c r="D175" s="6">
        <f>$G$4*Linear_Regression53[[#This Row],[Ice Cream Profits (USD)]]+$H$4*D174</f>
        <v>5145.5710439845498</v>
      </c>
      <c r="E175" s="6">
        <f t="shared" si="2"/>
        <v>673.83344062027811</v>
      </c>
    </row>
    <row r="176" spans="1:5" x14ac:dyDescent="0.3">
      <c r="A176">
        <v>72</v>
      </c>
      <c r="B176">
        <v>5357</v>
      </c>
      <c r="D176" s="6">
        <f>$G$4*Linear_Regression53[[#This Row],[Ice Cream Profits (USD)]]+$H$4*D175</f>
        <v>5166.713939586095</v>
      </c>
      <c r="E176" s="6">
        <f t="shared" si="2"/>
        <v>317.47631669743913</v>
      </c>
    </row>
    <row r="177" spans="1:5" x14ac:dyDescent="0.3">
      <c r="A177">
        <v>72</v>
      </c>
      <c r="B177">
        <v>5079</v>
      </c>
      <c r="D177" s="6">
        <f>$G$4*Linear_Regression53[[#This Row],[Ice Cream Profits (USD)]]+$H$4*D176</f>
        <v>5157.9425456274848</v>
      </c>
      <c r="E177" s="6">
        <f t="shared" si="2"/>
        <v>296.86967169380745</v>
      </c>
    </row>
    <row r="178" spans="1:5" x14ac:dyDescent="0.3">
      <c r="A178">
        <v>73</v>
      </c>
      <c r="B178">
        <v>5213</v>
      </c>
      <c r="D178" s="6">
        <f>$G$4*Linear_Regression53[[#This Row],[Ice Cream Profits (USD)]]+$H$4*D177</f>
        <v>5163.4482910647366</v>
      </c>
      <c r="E178" s="6" t="e">
        <f t="shared" si="2"/>
        <v>#NUM!</v>
      </c>
    </row>
    <row r="179" spans="1:5" x14ac:dyDescent="0.3">
      <c r="A179">
        <v>73</v>
      </c>
      <c r="B179">
        <v>5242</v>
      </c>
      <c r="D179" s="6">
        <f>$G$4*Linear_Regression53[[#This Row],[Ice Cream Profits (USD)]]+$H$4*D178</f>
        <v>5171.3034619582631</v>
      </c>
      <c r="E179" s="6">
        <f t="shared" si="2"/>
        <v>754.66471760494346</v>
      </c>
    </row>
    <row r="180" spans="1:5" x14ac:dyDescent="0.3">
      <c r="A180">
        <v>73</v>
      </c>
      <c r="B180">
        <v>5467</v>
      </c>
      <c r="D180" s="6">
        <f>$G$4*Linear_Regression53[[#This Row],[Ice Cream Profits (USD)]]+$H$4*D179</f>
        <v>5200.873115762437</v>
      </c>
      <c r="E180" s="6">
        <f t="shared" si="2"/>
        <v>383.93790550252464</v>
      </c>
    </row>
    <row r="181" spans="1:5" x14ac:dyDescent="0.3">
      <c r="A181">
        <v>73</v>
      </c>
      <c r="B181">
        <v>5182</v>
      </c>
      <c r="D181" s="6">
        <f>$G$4*Linear_Regression53[[#This Row],[Ice Cream Profits (USD)]]+$H$4*D180</f>
        <v>5198.9858041861935</v>
      </c>
      <c r="E181" s="6">
        <f t="shared" si="2"/>
        <v>1167.5277417944085</v>
      </c>
    </row>
    <row r="182" spans="1:5" x14ac:dyDescent="0.3">
      <c r="A182">
        <v>73</v>
      </c>
      <c r="B182">
        <v>5321</v>
      </c>
      <c r="D182" s="6">
        <f>$G$4*Linear_Regression53[[#This Row],[Ice Cream Profits (USD)]]+$H$4*D181</f>
        <v>5211.1872237675743</v>
      </c>
      <c r="E182" s="6">
        <f t="shared" si="2"/>
        <v>1064.40326724233</v>
      </c>
    </row>
    <row r="183" spans="1:5" x14ac:dyDescent="0.3">
      <c r="A183">
        <v>73</v>
      </c>
      <c r="B183">
        <v>5440</v>
      </c>
      <c r="D183" s="6">
        <f>$G$4*Linear_Regression53[[#This Row],[Ice Cream Profits (USD)]]+$H$4*D182</f>
        <v>5234.0685013908169</v>
      </c>
      <c r="E183" s="6">
        <f t="shared" si="2"/>
        <v>1128.3095261572446</v>
      </c>
    </row>
    <row r="184" spans="1:5" x14ac:dyDescent="0.3">
      <c r="A184">
        <v>73</v>
      </c>
      <c r="B184">
        <v>5501</v>
      </c>
      <c r="D184" s="6">
        <f>$G$4*Linear_Regression53[[#This Row],[Ice Cream Profits (USD)]]+$H$4*D183</f>
        <v>5260.7616512517361</v>
      </c>
      <c r="E184" s="6">
        <f t="shared" si="2"/>
        <v>1029.2985069875706</v>
      </c>
    </row>
    <row r="185" spans="1:5" x14ac:dyDescent="0.3">
      <c r="A185">
        <v>73</v>
      </c>
      <c r="B185">
        <v>5408</v>
      </c>
      <c r="D185" s="6">
        <f>$G$4*Linear_Regression53[[#This Row],[Ice Cream Profits (USD)]]+$H$4*D184</f>
        <v>5275.485486126563</v>
      </c>
      <c r="E185" s="6">
        <f t="shared" si="2"/>
        <v>1407.1346169087963</v>
      </c>
    </row>
    <row r="186" spans="1:5" x14ac:dyDescent="0.3">
      <c r="A186">
        <v>73</v>
      </c>
      <c r="B186">
        <v>5397</v>
      </c>
      <c r="D186" s="6">
        <f>$G$4*Linear_Regression53[[#This Row],[Ice Cream Profits (USD)]]+$H$4*D185</f>
        <v>5287.6369375139066</v>
      </c>
      <c r="E186" s="6">
        <f t="shared" si="2"/>
        <v>1437.5014964787076</v>
      </c>
    </row>
    <row r="187" spans="1:5" x14ac:dyDescent="0.3">
      <c r="A187">
        <v>74</v>
      </c>
      <c r="B187">
        <v>5528</v>
      </c>
      <c r="D187" s="6">
        <f>$G$4*Linear_Regression53[[#This Row],[Ice Cream Profits (USD)]]+$H$4*D186</f>
        <v>5311.673243762516</v>
      </c>
      <c r="E187" s="6">
        <f t="shared" si="2"/>
        <v>1312.7083138084713</v>
      </c>
    </row>
    <row r="188" spans="1:5" x14ac:dyDescent="0.3">
      <c r="A188">
        <v>74</v>
      </c>
      <c r="B188">
        <v>5436</v>
      </c>
      <c r="D188" s="6">
        <f>$G$4*Linear_Regression53[[#This Row],[Ice Cream Profits (USD)]]+$H$4*D187</f>
        <v>5324.1059193862648</v>
      </c>
      <c r="E188" s="6">
        <f t="shared" si="2"/>
        <v>1281.8128899081344</v>
      </c>
    </row>
    <row r="189" spans="1:5" x14ac:dyDescent="0.3">
      <c r="A189">
        <v>74</v>
      </c>
      <c r="B189">
        <v>5362</v>
      </c>
      <c r="D189" s="6">
        <f>$G$4*Linear_Regression53[[#This Row],[Ice Cream Profits (USD)]]+$H$4*D188</f>
        <v>5327.895327447638</v>
      </c>
      <c r="E189" s="6">
        <f t="shared" si="2"/>
        <v>1253.9814097096344</v>
      </c>
    </row>
    <row r="190" spans="1:5" x14ac:dyDescent="0.3">
      <c r="A190">
        <v>74</v>
      </c>
      <c r="B190">
        <v>5065</v>
      </c>
      <c r="D190" s="6">
        <f>$G$4*Linear_Regression53[[#This Row],[Ice Cream Profits (USD)]]+$H$4*D189</f>
        <v>5301.6057947028739</v>
      </c>
      <c r="E190" s="6">
        <f t="shared" si="2"/>
        <v>1142.1440204596433</v>
      </c>
    </row>
    <row r="191" spans="1:5" x14ac:dyDescent="0.3">
      <c r="A191">
        <v>74</v>
      </c>
      <c r="B191">
        <v>5552</v>
      </c>
      <c r="D191" s="6">
        <f>$G$4*Linear_Regression53[[#This Row],[Ice Cream Profits (USD)]]+$H$4*D190</f>
        <v>5326.6452152325865</v>
      </c>
      <c r="E191" s="6" t="e">
        <f t="shared" si="2"/>
        <v>#NUM!</v>
      </c>
    </row>
    <row r="192" spans="1:5" x14ac:dyDescent="0.3">
      <c r="A192">
        <v>74</v>
      </c>
      <c r="B192">
        <v>5861</v>
      </c>
      <c r="D192" s="6">
        <f>$G$4*Linear_Regression53[[#This Row],[Ice Cream Profits (USD)]]+$H$4*D191</f>
        <v>5380.0806937093284</v>
      </c>
      <c r="E192" s="6">
        <f t="shared" si="2"/>
        <v>348.00916097823585</v>
      </c>
    </row>
    <row r="193" spans="1:5" x14ac:dyDescent="0.3">
      <c r="A193">
        <v>74</v>
      </c>
      <c r="B193">
        <v>5064</v>
      </c>
      <c r="D193" s="6">
        <f>$G$4*Linear_Regression53[[#This Row],[Ice Cream Profits (USD)]]+$H$4*D192</f>
        <v>5348.4726243383957</v>
      </c>
      <c r="E193" s="6">
        <f t="shared" si="2"/>
        <v>1342.2379915386161</v>
      </c>
    </row>
    <row r="194" spans="1:5" x14ac:dyDescent="0.3">
      <c r="A194">
        <v>74</v>
      </c>
      <c r="B194">
        <v>5428</v>
      </c>
      <c r="D194" s="6">
        <f>$G$4*Linear_Regression53[[#This Row],[Ice Cream Profits (USD)]]+$H$4*D193</f>
        <v>5356.4253619045567</v>
      </c>
      <c r="E194" s="6">
        <f t="shared" si="2"/>
        <v>1277.43806985162</v>
      </c>
    </row>
    <row r="195" spans="1:5" x14ac:dyDescent="0.3">
      <c r="A195">
        <v>74</v>
      </c>
      <c r="B195">
        <v>5395</v>
      </c>
      <c r="D195" s="6">
        <f>$G$4*Linear_Regression53[[#This Row],[Ice Cream Profits (USD)]]+$H$4*D194</f>
        <v>5360.2828257141009</v>
      </c>
      <c r="E195" s="6">
        <f t="shared" si="2"/>
        <v>1035.3551175360953</v>
      </c>
    </row>
    <row r="196" spans="1:5" x14ac:dyDescent="0.3">
      <c r="A196">
        <v>74</v>
      </c>
      <c r="B196">
        <v>5344</v>
      </c>
      <c r="D196" s="6">
        <f>$G$4*Linear_Regression53[[#This Row],[Ice Cream Profits (USD)]]+$H$4*D195</f>
        <v>5358.6545431426903</v>
      </c>
      <c r="E196" s="6" t="e">
        <f t="shared" si="2"/>
        <v>#NUM!</v>
      </c>
    </row>
    <row r="197" spans="1:5" x14ac:dyDescent="0.3">
      <c r="A197">
        <v>74</v>
      </c>
      <c r="B197">
        <v>5710</v>
      </c>
      <c r="D197" s="6">
        <f>$G$4*Linear_Regression53[[#This Row],[Ice Cream Profits (USD)]]+$H$4*D196</f>
        <v>5393.789088828421</v>
      </c>
      <c r="E197" s="6">
        <f t="shared" si="2"/>
        <v>574.00402378273202</v>
      </c>
    </row>
    <row r="198" spans="1:5" x14ac:dyDescent="0.3">
      <c r="A198">
        <v>74</v>
      </c>
      <c r="B198">
        <v>5426</v>
      </c>
      <c r="D198" s="6">
        <f>$G$4*Linear_Regression53[[#This Row],[Ice Cream Profits (USD)]]+$H$4*D197</f>
        <v>5397.0101799455797</v>
      </c>
      <c r="E198" s="6">
        <f t="shared" si="2"/>
        <v>1114.7032162338298</v>
      </c>
    </row>
    <row r="199" spans="1:5" x14ac:dyDescent="0.3">
      <c r="A199">
        <v>75</v>
      </c>
      <c r="B199">
        <v>5534</v>
      </c>
      <c r="D199" s="6">
        <f>$G$4*Linear_Regression53[[#This Row],[Ice Cream Profits (USD)]]+$H$4*D198</f>
        <v>5410.7091619510211</v>
      </c>
      <c r="E199" s="6">
        <f t="shared" ref="E199:E262" si="3">SQRT(SUMX2MY2(B196:B198,D196:D198)/3)</f>
        <v>1105.7507057885243</v>
      </c>
    </row>
    <row r="200" spans="1:5" x14ac:dyDescent="0.3">
      <c r="A200">
        <v>75</v>
      </c>
      <c r="B200">
        <v>5371</v>
      </c>
      <c r="D200" s="6">
        <f>$G$4*Linear_Regression53[[#This Row],[Ice Cream Profits (USD)]]+$H$4*D199</f>
        <v>5406.7382457559197</v>
      </c>
      <c r="E200" s="6">
        <f t="shared" si="3"/>
        <v>1313.3010250990353</v>
      </c>
    </row>
    <row r="201" spans="1:5" x14ac:dyDescent="0.3">
      <c r="A201">
        <v>75</v>
      </c>
      <c r="B201">
        <v>5784</v>
      </c>
      <c r="D201" s="6">
        <f>$G$4*Linear_Regression53[[#This Row],[Ice Cream Profits (USD)]]+$H$4*D200</f>
        <v>5444.4644211803279</v>
      </c>
      <c r="E201" s="6">
        <f t="shared" si="3"/>
        <v>652.67705751600727</v>
      </c>
    </row>
    <row r="202" spans="1:5" x14ac:dyDescent="0.3">
      <c r="A202">
        <v>75</v>
      </c>
      <c r="B202">
        <v>5591</v>
      </c>
      <c r="D202" s="6">
        <f>$G$4*Linear_Regression53[[#This Row],[Ice Cream Profits (USD)]]+$H$4*D201</f>
        <v>5459.1179790622955</v>
      </c>
      <c r="E202" s="6">
        <f t="shared" si="3"/>
        <v>1261.8330678238221</v>
      </c>
    </row>
    <row r="203" spans="1:5" x14ac:dyDescent="0.3">
      <c r="A203">
        <v>75</v>
      </c>
      <c r="B203">
        <v>5862</v>
      </c>
      <c r="D203" s="6">
        <f>$G$4*Linear_Regression53[[#This Row],[Ice Cream Profits (USD)]]+$H$4*D202</f>
        <v>5499.4061811560659</v>
      </c>
      <c r="E203" s="6">
        <f t="shared" si="3"/>
        <v>1276.0090907540007</v>
      </c>
    </row>
    <row r="204" spans="1:5" x14ac:dyDescent="0.3">
      <c r="A204">
        <v>75</v>
      </c>
      <c r="B204">
        <v>5885</v>
      </c>
      <c r="D204" s="6">
        <f>$G$4*Linear_Regression53[[#This Row],[Ice Cream Profits (USD)]]+$H$4*D203</f>
        <v>5537.9655630404595</v>
      </c>
      <c r="E204" s="6">
        <f t="shared" si="3"/>
        <v>1769.119433677181</v>
      </c>
    </row>
    <row r="205" spans="1:5" x14ac:dyDescent="0.3">
      <c r="A205">
        <v>76</v>
      </c>
      <c r="B205">
        <v>5284</v>
      </c>
      <c r="D205" s="6">
        <f>$G$4*Linear_Regression53[[#This Row],[Ice Cream Profits (USD)]]+$H$4*D204</f>
        <v>5512.569006736413</v>
      </c>
      <c r="E205" s="6">
        <f t="shared" si="3"/>
        <v>1783.3535794413867</v>
      </c>
    </row>
    <row r="206" spans="1:5" x14ac:dyDescent="0.3">
      <c r="A206">
        <v>76</v>
      </c>
      <c r="B206">
        <v>5659</v>
      </c>
      <c r="D206" s="6">
        <f>$G$4*Linear_Regression53[[#This Row],[Ice Cream Profits (USD)]]+$H$4*D205</f>
        <v>5527.2121060627715</v>
      </c>
      <c r="E206" s="6">
        <f t="shared" si="3"/>
        <v>1368.2077112302234</v>
      </c>
    </row>
    <row r="207" spans="1:5" x14ac:dyDescent="0.3">
      <c r="A207">
        <v>76</v>
      </c>
      <c r="B207">
        <v>5943</v>
      </c>
      <c r="D207" s="6">
        <f>$G$4*Linear_Regression53[[#This Row],[Ice Cream Profits (USD)]]+$H$4*D206</f>
        <v>5568.7908954564946</v>
      </c>
      <c r="E207" s="6">
        <f t="shared" si="3"/>
        <v>995.0893934952486</v>
      </c>
    </row>
    <row r="208" spans="1:5" x14ac:dyDescent="0.3">
      <c r="A208">
        <v>76</v>
      </c>
      <c r="B208">
        <v>5969</v>
      </c>
      <c r="D208" s="6">
        <f>$G$4*Linear_Regression53[[#This Row],[Ice Cream Profits (USD)]]+$H$4*D207</f>
        <v>5608.8118059108447</v>
      </c>
      <c r="E208" s="6">
        <f t="shared" si="3"/>
        <v>1051.0729824395503</v>
      </c>
    </row>
    <row r="209" spans="1:5" x14ac:dyDescent="0.3">
      <c r="A209">
        <v>76</v>
      </c>
      <c r="B209">
        <v>5383</v>
      </c>
      <c r="D209" s="6">
        <f>$G$4*Linear_Regression53[[#This Row],[Ice Cream Profits (USD)]]+$H$4*D208</f>
        <v>5586.2306253197603</v>
      </c>
      <c r="E209" s="6">
        <f t="shared" si="3"/>
        <v>1821.3745197102405</v>
      </c>
    </row>
    <row r="210" spans="1:5" x14ac:dyDescent="0.3">
      <c r="A210">
        <v>76</v>
      </c>
      <c r="B210">
        <v>5941</v>
      </c>
      <c r="D210" s="6">
        <f>$G$4*Linear_Regression53[[#This Row],[Ice Cream Profits (USD)]]+$H$4*D209</f>
        <v>5621.7075627877848</v>
      </c>
      <c r="E210" s="6">
        <f t="shared" si="3"/>
        <v>1443.2283821691312</v>
      </c>
    </row>
    <row r="211" spans="1:5" x14ac:dyDescent="0.3">
      <c r="A211">
        <v>76</v>
      </c>
      <c r="B211">
        <v>5317</v>
      </c>
      <c r="D211" s="6">
        <f>$G$4*Linear_Regression53[[#This Row],[Ice Cream Profits (USD)]]+$H$4*D210</f>
        <v>5591.2368065090059</v>
      </c>
      <c r="E211" s="6">
        <f t="shared" si="3"/>
        <v>1370.2545511825351</v>
      </c>
    </row>
    <row r="212" spans="1:5" x14ac:dyDescent="0.3">
      <c r="A212">
        <v>76</v>
      </c>
      <c r="B212">
        <v>5348</v>
      </c>
      <c r="D212" s="6">
        <f>$G$4*Linear_Regression53[[#This Row],[Ice Cream Profits (USD)]]+$H$4*D211</f>
        <v>5566.9131258581056</v>
      </c>
      <c r="E212" s="6" t="e">
        <f t="shared" si="3"/>
        <v>#NUM!</v>
      </c>
    </row>
    <row r="213" spans="1:5" x14ac:dyDescent="0.3">
      <c r="A213">
        <v>76</v>
      </c>
      <c r="B213">
        <v>5994</v>
      </c>
      <c r="D213" s="6">
        <f>$G$4*Linear_Regression53[[#This Row],[Ice Cream Profits (USD)]]+$H$4*D212</f>
        <v>5609.6218132722952</v>
      </c>
      <c r="E213" s="6" t="e">
        <f t="shared" si="3"/>
        <v>#NUM!</v>
      </c>
    </row>
    <row r="214" spans="1:5" x14ac:dyDescent="0.3">
      <c r="A214">
        <v>76</v>
      </c>
      <c r="B214">
        <v>6031</v>
      </c>
      <c r="D214" s="6">
        <f>$G$4*Linear_Regression53[[#This Row],[Ice Cream Profits (USD)]]+$H$4*D213</f>
        <v>5651.7596319450658</v>
      </c>
      <c r="E214" s="6" t="e">
        <f t="shared" si="3"/>
        <v>#NUM!</v>
      </c>
    </row>
    <row r="215" spans="1:5" x14ac:dyDescent="0.3">
      <c r="A215">
        <v>76</v>
      </c>
      <c r="B215">
        <v>6033</v>
      </c>
      <c r="D215" s="6">
        <f>$G$4*Linear_Regression53[[#This Row],[Ice Cream Profits (USD)]]+$H$4*D214</f>
        <v>5689.88366875056</v>
      </c>
      <c r="E215" s="6">
        <f t="shared" si="3"/>
        <v>1472.111343606472</v>
      </c>
    </row>
    <row r="216" spans="1:5" x14ac:dyDescent="0.3">
      <c r="A216">
        <v>77</v>
      </c>
      <c r="B216">
        <v>5382</v>
      </c>
      <c r="D216" s="6">
        <f>$G$4*Linear_Regression53[[#This Row],[Ice Cream Profits (USD)]]+$H$4*D215</f>
        <v>5659.0953018755035</v>
      </c>
      <c r="E216" s="6">
        <f t="shared" si="3"/>
        <v>2074.6940345395101</v>
      </c>
    </row>
    <row r="217" spans="1:5" x14ac:dyDescent="0.3">
      <c r="A217">
        <v>77</v>
      </c>
      <c r="B217">
        <v>5307</v>
      </c>
      <c r="D217" s="6">
        <f>$G$4*Linear_Regression53[[#This Row],[Ice Cream Profits (USD)]]+$H$4*D216</f>
        <v>5623.8857716879529</v>
      </c>
      <c r="E217" s="6">
        <f t="shared" si="3"/>
        <v>1340.8270163214497</v>
      </c>
    </row>
    <row r="218" spans="1:5" x14ac:dyDescent="0.3">
      <c r="A218">
        <v>77</v>
      </c>
      <c r="B218">
        <v>5948</v>
      </c>
      <c r="D218" s="6">
        <f>$G$4*Linear_Regression53[[#This Row],[Ice Cream Profits (USD)]]+$H$4*D217</f>
        <v>5656.2971945191575</v>
      </c>
      <c r="E218" s="6" t="e">
        <f t="shared" si="3"/>
        <v>#NUM!</v>
      </c>
    </row>
    <row r="219" spans="1:5" x14ac:dyDescent="0.3">
      <c r="A219">
        <v>77</v>
      </c>
      <c r="B219">
        <v>5410</v>
      </c>
      <c r="D219" s="6">
        <f>$G$4*Linear_Regression53[[#This Row],[Ice Cream Profits (USD)]]+$H$4*D218</f>
        <v>5631.6674750672419</v>
      </c>
      <c r="E219" s="6" t="e">
        <f t="shared" si="3"/>
        <v>#NUM!</v>
      </c>
    </row>
    <row r="220" spans="1:5" x14ac:dyDescent="0.3">
      <c r="A220">
        <v>77</v>
      </c>
      <c r="B220">
        <v>5633</v>
      </c>
      <c r="D220" s="6">
        <f>$G$4*Linear_Regression53[[#This Row],[Ice Cream Profits (USD)]]+$H$4*D219</f>
        <v>5631.8007275605178</v>
      </c>
      <c r="E220" s="6" t="e">
        <f t="shared" si="3"/>
        <v>#NUM!</v>
      </c>
    </row>
    <row r="221" spans="1:5" x14ac:dyDescent="0.3">
      <c r="A221">
        <v>77</v>
      </c>
      <c r="B221">
        <v>5987</v>
      </c>
      <c r="D221" s="6">
        <f>$G$4*Linear_Regression53[[#This Row],[Ice Cream Profits (USD)]]+$H$4*D220</f>
        <v>5667.3206548044664</v>
      </c>
      <c r="E221" s="6">
        <f t="shared" si="3"/>
        <v>563.00889945402139</v>
      </c>
    </row>
    <row r="222" spans="1:5" x14ac:dyDescent="0.3">
      <c r="A222">
        <v>77</v>
      </c>
      <c r="B222">
        <v>6075</v>
      </c>
      <c r="D222" s="6">
        <f>$G$4*Linear_Regression53[[#This Row],[Ice Cream Profits (USD)]]+$H$4*D221</f>
        <v>5708.0885893240202</v>
      </c>
      <c r="E222" s="6">
        <f t="shared" si="3"/>
        <v>656.14444825948976</v>
      </c>
    </row>
    <row r="223" spans="1:5" x14ac:dyDescent="0.3">
      <c r="A223">
        <v>77</v>
      </c>
      <c r="B223">
        <v>5643</v>
      </c>
      <c r="D223" s="6">
        <f>$G$4*Linear_Regression53[[#This Row],[Ice Cream Profits (USD)]]+$H$4*D222</f>
        <v>5701.5797303916188</v>
      </c>
      <c r="E223" s="6">
        <f t="shared" si="3"/>
        <v>1639.3601208097846</v>
      </c>
    </row>
    <row r="224" spans="1:5" x14ac:dyDescent="0.3">
      <c r="A224">
        <v>77</v>
      </c>
      <c r="B224">
        <v>6086</v>
      </c>
      <c r="D224" s="6">
        <f>$G$4*Linear_Regression53[[#This Row],[Ice Cream Profits (USD)]]+$H$4*D223</f>
        <v>5740.0217573524578</v>
      </c>
      <c r="E224" s="6">
        <f t="shared" si="3"/>
        <v>1568.9096882913125</v>
      </c>
    </row>
    <row r="225" spans="1:5" x14ac:dyDescent="0.3">
      <c r="A225">
        <v>77</v>
      </c>
      <c r="B225">
        <v>5507</v>
      </c>
      <c r="D225" s="6">
        <f>$G$4*Linear_Regression53[[#This Row],[Ice Cream Profits (USD)]]+$H$4*D224</f>
        <v>5716.7195816172116</v>
      </c>
      <c r="E225" s="6">
        <f t="shared" si="3"/>
        <v>1607.3097046033949</v>
      </c>
    </row>
    <row r="226" spans="1:5" x14ac:dyDescent="0.3">
      <c r="A226">
        <v>77</v>
      </c>
      <c r="B226">
        <v>5839</v>
      </c>
      <c r="D226" s="6">
        <f>$G$4*Linear_Regression53[[#This Row],[Ice Cream Profits (USD)]]+$H$4*D225</f>
        <v>5728.9476234554904</v>
      </c>
      <c r="E226" s="6">
        <f t="shared" si="3"/>
        <v>598.09420335545019</v>
      </c>
    </row>
    <row r="227" spans="1:5" x14ac:dyDescent="0.3">
      <c r="A227">
        <v>77</v>
      </c>
      <c r="B227">
        <v>5872</v>
      </c>
      <c r="D227" s="6">
        <f>$G$4*Linear_Regression53[[#This Row],[Ice Cream Profits (USD)]]+$H$4*D226</f>
        <v>5743.2528611099415</v>
      </c>
      <c r="E227" s="6">
        <f t="shared" si="3"/>
        <v>1001.7971481257113</v>
      </c>
    </row>
    <row r="228" spans="1:5" x14ac:dyDescent="0.3">
      <c r="A228">
        <v>77</v>
      </c>
      <c r="B228">
        <v>5752</v>
      </c>
      <c r="D228" s="6">
        <f>$G$4*Linear_Regression53[[#This Row],[Ice Cream Profits (USD)]]+$H$4*D227</f>
        <v>5744.1275749989472</v>
      </c>
      <c r="E228" s="6">
        <f t="shared" si="3"/>
        <v>371.78709239316566</v>
      </c>
    </row>
    <row r="229" spans="1:5" x14ac:dyDescent="0.3">
      <c r="A229">
        <v>77</v>
      </c>
      <c r="B229">
        <v>5633</v>
      </c>
      <c r="D229" s="6">
        <f>$G$4*Linear_Regression53[[#This Row],[Ice Cream Profits (USD)]]+$H$4*D228</f>
        <v>5733.0148174990527</v>
      </c>
      <c r="E229" s="6">
        <f t="shared" si="3"/>
        <v>976.21942601597402</v>
      </c>
    </row>
    <row r="230" spans="1:5" x14ac:dyDescent="0.3">
      <c r="A230">
        <v>77</v>
      </c>
      <c r="B230">
        <v>5747</v>
      </c>
      <c r="D230" s="6">
        <f>$G$4*Linear_Regression53[[#This Row],[Ice Cream Profits (USD)]]+$H$4*D229</f>
        <v>5734.4133357491473</v>
      </c>
      <c r="E230" s="6">
        <f t="shared" si="3"/>
        <v>386.93801304838075</v>
      </c>
    </row>
    <row r="231" spans="1:5" x14ac:dyDescent="0.3">
      <c r="A231">
        <v>78</v>
      </c>
      <c r="B231">
        <v>5813</v>
      </c>
      <c r="D231" s="6">
        <f>$G$4*Linear_Regression53[[#This Row],[Ice Cream Profits (USD)]]+$H$4*D230</f>
        <v>5742.2720021742325</v>
      </c>
      <c r="E231" s="6" t="e">
        <f t="shared" si="3"/>
        <v>#NUM!</v>
      </c>
    </row>
    <row r="232" spans="1:5" x14ac:dyDescent="0.3">
      <c r="A232">
        <v>78</v>
      </c>
      <c r="B232">
        <v>6046</v>
      </c>
      <c r="D232" s="6">
        <f>$G$4*Linear_Regression53[[#This Row],[Ice Cream Profits (USD)]]+$H$4*D231</f>
        <v>5772.6448019568097</v>
      </c>
      <c r="E232" s="6" t="e">
        <f t="shared" si="3"/>
        <v>#NUM!</v>
      </c>
    </row>
    <row r="233" spans="1:5" x14ac:dyDescent="0.3">
      <c r="A233">
        <v>78</v>
      </c>
      <c r="B233">
        <v>6033</v>
      </c>
      <c r="D233" s="6">
        <f>$G$4*Linear_Regression53[[#This Row],[Ice Cream Profits (USD)]]+$H$4*D232</f>
        <v>5798.6803217611287</v>
      </c>
      <c r="E233" s="6">
        <f t="shared" si="3"/>
        <v>1182.1564953182371</v>
      </c>
    </row>
    <row r="234" spans="1:5" x14ac:dyDescent="0.3">
      <c r="A234">
        <v>78</v>
      </c>
      <c r="B234">
        <v>6089</v>
      </c>
      <c r="D234" s="6">
        <f>$G$4*Linear_Regression53[[#This Row],[Ice Cream Profits (USD)]]+$H$4*D233</f>
        <v>5827.7122895850152</v>
      </c>
      <c r="E234" s="6">
        <f t="shared" si="3"/>
        <v>1507.7980379245321</v>
      </c>
    </row>
    <row r="235" spans="1:5" x14ac:dyDescent="0.3">
      <c r="A235">
        <v>78</v>
      </c>
      <c r="B235">
        <v>6258</v>
      </c>
      <c r="D235" s="6">
        <f>$G$4*Linear_Regression53[[#This Row],[Ice Cream Profits (USD)]]+$H$4*D234</f>
        <v>5870.7410606265139</v>
      </c>
      <c r="E235" s="6">
        <f t="shared" si="3"/>
        <v>1743.251175847498</v>
      </c>
    </row>
    <row r="236" spans="1:5" x14ac:dyDescent="0.3">
      <c r="A236">
        <v>78</v>
      </c>
      <c r="B236">
        <v>6122</v>
      </c>
      <c r="D236" s="6">
        <f>$G$4*Linear_Regression53[[#This Row],[Ice Cream Profits (USD)]]+$H$4*D235</f>
        <v>5895.8669545638622</v>
      </c>
      <c r="E236" s="6">
        <f t="shared" si="3"/>
        <v>1878.2127493013054</v>
      </c>
    </row>
    <row r="237" spans="1:5" x14ac:dyDescent="0.3">
      <c r="A237">
        <v>78</v>
      </c>
      <c r="B237">
        <v>5962</v>
      </c>
      <c r="D237" s="6">
        <f>$G$4*Linear_Regression53[[#This Row],[Ice Cream Profits (USD)]]+$H$4*D236</f>
        <v>5902.4802591074758</v>
      </c>
      <c r="E237" s="6">
        <f t="shared" si="3"/>
        <v>1873.3473359182042</v>
      </c>
    </row>
    <row r="238" spans="1:5" x14ac:dyDescent="0.3">
      <c r="A238">
        <v>78</v>
      </c>
      <c r="B238">
        <v>5831</v>
      </c>
      <c r="D238" s="6">
        <f>$G$4*Linear_Regression53[[#This Row],[Ice Cream Profits (USD)]]+$H$4*D237</f>
        <v>5895.3322331967283</v>
      </c>
      <c r="E238" s="6">
        <f t="shared" si="3"/>
        <v>1645.2731327454685</v>
      </c>
    </row>
    <row r="239" spans="1:5" x14ac:dyDescent="0.3">
      <c r="A239">
        <v>78</v>
      </c>
      <c r="B239">
        <v>5912</v>
      </c>
      <c r="D239" s="6">
        <f>$G$4*Linear_Regression53[[#This Row],[Ice Cream Profits (USD)]]+$H$4*D238</f>
        <v>5896.9990098770559</v>
      </c>
      <c r="E239" s="6">
        <f t="shared" si="3"/>
        <v>943.2967905454542</v>
      </c>
    </row>
    <row r="240" spans="1:5" x14ac:dyDescent="0.3">
      <c r="A240">
        <v>78</v>
      </c>
      <c r="B240">
        <v>5793</v>
      </c>
      <c r="D240" s="6">
        <f>$G$4*Linear_Regression53[[#This Row],[Ice Cream Profits (USD)]]+$H$4*D239</f>
        <v>5886.5991088893506</v>
      </c>
      <c r="E240" s="6">
        <f t="shared" si="3"/>
        <v>207.31323208070236</v>
      </c>
    </row>
    <row r="241" spans="1:5" x14ac:dyDescent="0.3">
      <c r="A241">
        <v>78</v>
      </c>
      <c r="B241">
        <v>5725</v>
      </c>
      <c r="D241" s="6">
        <f>$G$4*Linear_Regression53[[#This Row],[Ice Cream Profits (USD)]]+$H$4*D240</f>
        <v>5870.4391980004157</v>
      </c>
      <c r="E241" s="6" t="e">
        <f t="shared" si="3"/>
        <v>#NUM!</v>
      </c>
    </row>
    <row r="242" spans="1:5" x14ac:dyDescent="0.3">
      <c r="A242">
        <v>78</v>
      </c>
      <c r="B242">
        <v>6220</v>
      </c>
      <c r="D242" s="6">
        <f>$G$4*Linear_Regression53[[#This Row],[Ice Cream Profits (USD)]]+$H$4*D241</f>
        <v>5905.3952782003744</v>
      </c>
      <c r="E242" s="6" t="e">
        <f t="shared" si="3"/>
        <v>#NUM!</v>
      </c>
    </row>
    <row r="243" spans="1:5" x14ac:dyDescent="0.3">
      <c r="A243">
        <v>79</v>
      </c>
      <c r="B243">
        <v>5970</v>
      </c>
      <c r="D243" s="6">
        <f>$G$4*Linear_Regression53[[#This Row],[Ice Cream Profits (USD)]]+$H$4*D242</f>
        <v>5911.8557503803368</v>
      </c>
      <c r="E243" s="6">
        <f t="shared" si="3"/>
        <v>587.38833322089488</v>
      </c>
    </row>
    <row r="244" spans="1:5" x14ac:dyDescent="0.3">
      <c r="A244">
        <v>79</v>
      </c>
      <c r="B244">
        <v>6482</v>
      </c>
      <c r="D244" s="6">
        <f>$G$4*Linear_Regression53[[#This Row],[Ice Cream Profits (USD)]]+$H$4*D243</f>
        <v>5968.8701753423029</v>
      </c>
      <c r="E244" s="6">
        <f t="shared" si="3"/>
        <v>969.38757599560586</v>
      </c>
    </row>
    <row r="245" spans="1:5" x14ac:dyDescent="0.3">
      <c r="A245">
        <v>79</v>
      </c>
      <c r="B245">
        <v>5706</v>
      </c>
      <c r="D245" s="6">
        <f>$G$4*Linear_Regression53[[#This Row],[Ice Cream Profits (USD)]]+$H$4*D244</f>
        <v>5942.5831578080733</v>
      </c>
      <c r="E245" s="6">
        <f t="shared" si="3"/>
        <v>1905.6478360225967</v>
      </c>
    </row>
    <row r="246" spans="1:5" x14ac:dyDescent="0.3">
      <c r="A246">
        <v>79</v>
      </c>
      <c r="B246">
        <v>6252</v>
      </c>
      <c r="D246" s="6">
        <f>$G$4*Linear_Regression53[[#This Row],[Ice Cream Profits (USD)]]+$H$4*D245</f>
        <v>5973.5248420272655</v>
      </c>
      <c r="E246" s="6">
        <f t="shared" si="3"/>
        <v>1200.5437419686018</v>
      </c>
    </row>
    <row r="247" spans="1:5" x14ac:dyDescent="0.3">
      <c r="A247">
        <v>79</v>
      </c>
      <c r="B247">
        <v>5993</v>
      </c>
      <c r="D247" s="6">
        <f>$G$4*Linear_Regression53[[#This Row],[Ice Cream Profits (USD)]]+$H$4*D246</f>
        <v>5975.4723578245394</v>
      </c>
      <c r="E247" s="6">
        <f t="shared" si="3"/>
        <v>1531.6177943738774</v>
      </c>
    </row>
    <row r="248" spans="1:5" x14ac:dyDescent="0.3">
      <c r="A248">
        <v>79</v>
      </c>
      <c r="B248">
        <v>6171</v>
      </c>
      <c r="D248" s="6">
        <f>$G$4*Linear_Regression53[[#This Row],[Ice Cream Profits (USD)]]+$H$4*D247</f>
        <v>5995.025122042086</v>
      </c>
      <c r="E248" s="6">
        <f t="shared" si="3"/>
        <v>534.92226073632946</v>
      </c>
    </row>
    <row r="249" spans="1:5" x14ac:dyDescent="0.3">
      <c r="A249">
        <v>79</v>
      </c>
      <c r="B249">
        <v>5949</v>
      </c>
      <c r="D249" s="6">
        <f>$G$4*Linear_Regression53[[#This Row],[Ice Cream Profits (USD)]]+$H$4*D248</f>
        <v>5990.4226098378767</v>
      </c>
      <c r="E249" s="6">
        <f t="shared" si="3"/>
        <v>1385.0630369099024</v>
      </c>
    </row>
    <row r="250" spans="1:5" x14ac:dyDescent="0.3">
      <c r="A250">
        <v>79</v>
      </c>
      <c r="B250">
        <v>6742</v>
      </c>
      <c r="D250" s="6">
        <f>$G$4*Linear_Regression53[[#This Row],[Ice Cream Profits (USD)]]+$H$4*D249</f>
        <v>6065.5803488540887</v>
      </c>
      <c r="E250" s="6">
        <f t="shared" si="3"/>
        <v>786.58160045059822</v>
      </c>
    </row>
    <row r="251" spans="1:5" x14ac:dyDescent="0.3">
      <c r="A251">
        <v>79</v>
      </c>
      <c r="B251">
        <v>5634</v>
      </c>
      <c r="D251" s="6">
        <f>$G$4*Linear_Regression53[[#This Row],[Ice Cream Profits (USD)]]+$H$4*D250</f>
        <v>6022.4223139686792</v>
      </c>
      <c r="E251" s="6">
        <f t="shared" si="3"/>
        <v>1853.7935675457991</v>
      </c>
    </row>
    <row r="252" spans="1:5" x14ac:dyDescent="0.3">
      <c r="A252">
        <v>79</v>
      </c>
      <c r="B252">
        <v>5969</v>
      </c>
      <c r="D252" s="6">
        <f>$G$4*Linear_Regression53[[#This Row],[Ice Cream Profits (USD)]]+$H$4*D251</f>
        <v>6017.0800825718106</v>
      </c>
      <c r="E252" s="6">
        <f t="shared" si="3"/>
        <v>1101.6839321920504</v>
      </c>
    </row>
    <row r="253" spans="1:5" x14ac:dyDescent="0.3">
      <c r="A253">
        <v>79</v>
      </c>
      <c r="B253">
        <v>5744</v>
      </c>
      <c r="D253" s="6">
        <f>$G$4*Linear_Regression53[[#This Row],[Ice Cream Profits (USD)]]+$H$4*D252</f>
        <v>5989.7720743146292</v>
      </c>
      <c r="E253" s="6">
        <f t="shared" si="3"/>
        <v>1089.2494026813245</v>
      </c>
    </row>
    <row r="254" spans="1:5" x14ac:dyDescent="0.3">
      <c r="A254">
        <v>79</v>
      </c>
      <c r="B254">
        <v>6463</v>
      </c>
      <c r="D254" s="6">
        <f>$G$4*Linear_Regression53[[#This Row],[Ice Cream Profits (USD)]]+$H$4*D253</f>
        <v>6037.094866883167</v>
      </c>
      <c r="E254" s="6" t="e">
        <f t="shared" si="3"/>
        <v>#NUM!</v>
      </c>
    </row>
    <row r="255" spans="1:5" x14ac:dyDescent="0.3">
      <c r="A255">
        <v>80</v>
      </c>
      <c r="B255">
        <v>5547</v>
      </c>
      <c r="D255" s="6">
        <f>$G$4*Linear_Regression53[[#This Row],[Ice Cream Profits (USD)]]+$H$4*D254</f>
        <v>5988.0853801948506</v>
      </c>
      <c r="E255" s="6">
        <f t="shared" si="3"/>
        <v>788.18977112772995</v>
      </c>
    </row>
    <row r="256" spans="1:5" x14ac:dyDescent="0.3">
      <c r="A256">
        <v>80</v>
      </c>
      <c r="B256">
        <v>6122</v>
      </c>
      <c r="D256" s="6">
        <f>$G$4*Linear_Regression53[[#This Row],[Ice Cream Profits (USD)]]+$H$4*D255</f>
        <v>6001.4768421753652</v>
      </c>
      <c r="E256" s="6" t="e">
        <f t="shared" si="3"/>
        <v>#NUM!</v>
      </c>
    </row>
    <row r="257" spans="1:5" x14ac:dyDescent="0.3">
      <c r="A257">
        <v>80</v>
      </c>
      <c r="B257">
        <v>6279</v>
      </c>
      <c r="D257" s="6">
        <f>$G$4*Linear_Regression53[[#This Row],[Ice Cream Profits (USD)]]+$H$4*D256</f>
        <v>6029.2291579578286</v>
      </c>
      <c r="E257" s="6">
        <f t="shared" si="3"/>
        <v>752.12072625397434</v>
      </c>
    </row>
    <row r="258" spans="1:5" x14ac:dyDescent="0.3">
      <c r="A258">
        <v>80</v>
      </c>
      <c r="B258">
        <v>5991</v>
      </c>
      <c r="D258" s="6">
        <f>$G$4*Linear_Regression53[[#This Row],[Ice Cream Profits (USD)]]+$H$4*D257</f>
        <v>6025.4062421620465</v>
      </c>
      <c r="E258" s="6" t="e">
        <f t="shared" si="3"/>
        <v>#NUM!</v>
      </c>
    </row>
    <row r="259" spans="1:5" x14ac:dyDescent="0.3">
      <c r="A259">
        <v>80</v>
      </c>
      <c r="B259">
        <v>6159</v>
      </c>
      <c r="D259" s="6">
        <f>$G$4*Linear_Regression53[[#This Row],[Ice Cream Profits (USD)]]+$H$4*D258</f>
        <v>6038.7656179458427</v>
      </c>
      <c r="E259" s="6">
        <f t="shared" si="3"/>
        <v>1172.1713598529561</v>
      </c>
    </row>
    <row r="260" spans="1:5" x14ac:dyDescent="0.3">
      <c r="A260">
        <v>80</v>
      </c>
      <c r="B260">
        <v>6346</v>
      </c>
      <c r="D260" s="6">
        <f>$G$4*Linear_Regression53[[#This Row],[Ice Cream Profits (USD)]]+$H$4*D259</f>
        <v>6069.4890561512593</v>
      </c>
      <c r="E260" s="6">
        <f t="shared" si="3"/>
        <v>1172.9433332804197</v>
      </c>
    </row>
    <row r="261" spans="1:5" x14ac:dyDescent="0.3">
      <c r="A261">
        <v>80</v>
      </c>
      <c r="B261">
        <v>6445</v>
      </c>
      <c r="D261" s="6">
        <f>$G$4*Linear_Regression53[[#This Row],[Ice Cream Profits (USD)]]+$H$4*D260</f>
        <v>6107.0401505361333</v>
      </c>
      <c r="E261" s="6">
        <f t="shared" si="3"/>
        <v>1222.8614020253083</v>
      </c>
    </row>
    <row r="262" spans="1:5" x14ac:dyDescent="0.3">
      <c r="A262">
        <v>80</v>
      </c>
      <c r="B262">
        <v>6542</v>
      </c>
      <c r="D262" s="6">
        <f>$G$4*Linear_Regression53[[#This Row],[Ice Cream Profits (USD)]]+$H$4*D261</f>
        <v>6150.53613548252</v>
      </c>
      <c r="E262" s="6">
        <f t="shared" si="3"/>
        <v>1745.6321690164154</v>
      </c>
    </row>
    <row r="263" spans="1:5" x14ac:dyDescent="0.3">
      <c r="A263">
        <v>80</v>
      </c>
      <c r="B263">
        <v>6182</v>
      </c>
      <c r="D263" s="6">
        <f>$G$4*Linear_Regression53[[#This Row],[Ice Cream Profits (USD)]]+$H$4*D262</f>
        <v>6153.6825219342682</v>
      </c>
      <c r="E263" s="6">
        <f t="shared" ref="E263:E326" si="4">SQRT(SUMX2MY2(B260:B262,D260:D262)/3)</f>
        <v>2052.9469422534562</v>
      </c>
    </row>
    <row r="264" spans="1:5" x14ac:dyDescent="0.3">
      <c r="A264">
        <v>81</v>
      </c>
      <c r="B264">
        <v>6436</v>
      </c>
      <c r="D264" s="6">
        <f>$G$4*Linear_Regression53[[#This Row],[Ice Cream Profits (USD)]]+$H$4*D263</f>
        <v>6181.9142697408415</v>
      </c>
      <c r="E264" s="6">
        <f t="shared" si="4"/>
        <v>1785.1302721000557</v>
      </c>
    </row>
    <row r="265" spans="1:5" x14ac:dyDescent="0.3">
      <c r="A265">
        <v>81</v>
      </c>
      <c r="B265">
        <v>5811</v>
      </c>
      <c r="D265" s="6">
        <f>$G$4*Linear_Regression53[[#This Row],[Ice Cream Profits (USD)]]+$H$4*D264</f>
        <v>6144.8228427667582</v>
      </c>
      <c r="E265" s="6">
        <f t="shared" si="4"/>
        <v>1685.6271460932087</v>
      </c>
    </row>
    <row r="266" spans="1:5" x14ac:dyDescent="0.3">
      <c r="A266">
        <v>81</v>
      </c>
      <c r="B266">
        <v>5947</v>
      </c>
      <c r="D266" s="6">
        <f>$G$4*Linear_Regression53[[#This Row],[Ice Cream Profits (USD)]]+$H$4*D265</f>
        <v>6125.0405584900827</v>
      </c>
      <c r="E266" s="6" t="e">
        <f t="shared" si="4"/>
        <v>#NUM!</v>
      </c>
    </row>
    <row r="267" spans="1:5" x14ac:dyDescent="0.3">
      <c r="A267">
        <v>81</v>
      </c>
      <c r="B267">
        <v>6586</v>
      </c>
      <c r="D267" s="6">
        <f>$G$4*Linear_Regression53[[#This Row],[Ice Cream Profits (USD)]]+$H$4*D266</f>
        <v>6171.1365026410749</v>
      </c>
      <c r="E267" s="6" t="e">
        <f t="shared" si="4"/>
        <v>#NUM!</v>
      </c>
    </row>
    <row r="268" spans="1:5" x14ac:dyDescent="0.3">
      <c r="A268">
        <v>81</v>
      </c>
      <c r="B268">
        <v>6152</v>
      </c>
      <c r="D268" s="6">
        <f>$G$4*Linear_Regression53[[#This Row],[Ice Cream Profits (USD)]]+$H$4*D267</f>
        <v>6169.2228523769672</v>
      </c>
      <c r="E268" s="6" t="e">
        <f t="shared" si="4"/>
        <v>#NUM!</v>
      </c>
    </row>
    <row r="269" spans="1:5" x14ac:dyDescent="0.3">
      <c r="A269">
        <v>81</v>
      </c>
      <c r="B269">
        <v>6212</v>
      </c>
      <c r="D269" s="6">
        <f>$G$4*Linear_Regression53[[#This Row],[Ice Cream Profits (USD)]]+$H$4*D268</f>
        <v>6173.5005671392701</v>
      </c>
      <c r="E269" s="6">
        <f t="shared" si="4"/>
        <v>988.42481088719637</v>
      </c>
    </row>
    <row r="270" spans="1:5" x14ac:dyDescent="0.3">
      <c r="A270">
        <v>81</v>
      </c>
      <c r="B270">
        <v>6423</v>
      </c>
      <c r="D270" s="6">
        <f>$G$4*Linear_Regression53[[#This Row],[Ice Cream Profits (USD)]]+$H$4*D269</f>
        <v>6198.4505104253431</v>
      </c>
      <c r="E270" s="6">
        <f t="shared" si="4"/>
        <v>1361.0165821928579</v>
      </c>
    </row>
    <row r="271" spans="1:5" x14ac:dyDescent="0.3">
      <c r="A271">
        <v>81</v>
      </c>
      <c r="B271">
        <v>6236</v>
      </c>
      <c r="D271" s="6">
        <f>$G$4*Linear_Regression53[[#This Row],[Ice Cream Profits (USD)]]+$H$4*D270</f>
        <v>6202.2054593828088</v>
      </c>
      <c r="E271" s="6">
        <f t="shared" si="4"/>
        <v>1016.3280990980395</v>
      </c>
    </row>
    <row r="272" spans="1:5" x14ac:dyDescent="0.3">
      <c r="A272">
        <v>81</v>
      </c>
      <c r="B272">
        <v>6232</v>
      </c>
      <c r="D272" s="6">
        <f>$G$4*Linear_Regression53[[#This Row],[Ice Cream Profits (USD)]]+$H$4*D271</f>
        <v>6205.1849134445283</v>
      </c>
      <c r="E272" s="6">
        <f t="shared" si="4"/>
        <v>1115.2456316795558</v>
      </c>
    </row>
    <row r="273" spans="1:5" x14ac:dyDescent="0.3">
      <c r="A273">
        <v>82</v>
      </c>
      <c r="B273">
        <v>6497</v>
      </c>
      <c r="D273" s="6">
        <f>$G$4*Linear_Regression53[[#This Row],[Ice Cream Profits (USD)]]+$H$4*D272</f>
        <v>6234.3664221000754</v>
      </c>
      <c r="E273" s="6">
        <f t="shared" si="4"/>
        <v>1093.6160050295389</v>
      </c>
    </row>
    <row r="274" spans="1:5" x14ac:dyDescent="0.3">
      <c r="A274">
        <v>82</v>
      </c>
      <c r="B274">
        <v>6615</v>
      </c>
      <c r="D274" s="6">
        <f>$G$4*Linear_Regression53[[#This Row],[Ice Cream Profits (USD)]]+$H$4*D273</f>
        <v>6272.4297798900679</v>
      </c>
      <c r="E274" s="6">
        <f t="shared" si="4"/>
        <v>1168.6932794869101</v>
      </c>
    </row>
    <row r="275" spans="1:5" x14ac:dyDescent="0.3">
      <c r="A275">
        <v>82</v>
      </c>
      <c r="B275">
        <v>6402</v>
      </c>
      <c r="D275" s="6">
        <f>$G$4*Linear_Regression53[[#This Row],[Ice Cream Profits (USD)]]+$H$4*D274</f>
        <v>6285.3868019010615</v>
      </c>
      <c r="E275" s="6">
        <f t="shared" si="4"/>
        <v>1642.3599038476877</v>
      </c>
    </row>
    <row r="276" spans="1:5" x14ac:dyDescent="0.3">
      <c r="A276">
        <v>82</v>
      </c>
      <c r="B276">
        <v>6341</v>
      </c>
      <c r="D276" s="6">
        <f>$G$4*Linear_Regression53[[#This Row],[Ice Cream Profits (USD)]]+$H$4*D275</f>
        <v>6290.948121710956</v>
      </c>
      <c r="E276" s="6">
        <f t="shared" si="4"/>
        <v>1754.8077503273953</v>
      </c>
    </row>
    <row r="277" spans="1:5" x14ac:dyDescent="0.3">
      <c r="A277">
        <v>82</v>
      </c>
      <c r="B277">
        <v>6185</v>
      </c>
      <c r="D277" s="6">
        <f>$G$4*Linear_Regression53[[#This Row],[Ice Cream Profits (USD)]]+$H$4*D276</f>
        <v>6280.3533095398607</v>
      </c>
      <c r="E277" s="6">
        <f t="shared" si="4"/>
        <v>1474.9710886180765</v>
      </c>
    </row>
    <row r="278" spans="1:5" x14ac:dyDescent="0.3">
      <c r="A278">
        <v>82</v>
      </c>
      <c r="B278">
        <v>6549</v>
      </c>
      <c r="D278" s="6">
        <f>$G$4*Linear_Regression53[[#This Row],[Ice Cream Profits (USD)]]+$H$4*D277</f>
        <v>6307.2179785858752</v>
      </c>
      <c r="E278" s="6">
        <f t="shared" si="4"/>
        <v>554.72419206336519</v>
      </c>
    </row>
    <row r="279" spans="1:5" x14ac:dyDescent="0.3">
      <c r="A279">
        <v>82</v>
      </c>
      <c r="B279">
        <v>6439</v>
      </c>
      <c r="D279" s="6">
        <f>$G$4*Linear_Regression53[[#This Row],[Ice Cream Profits (USD)]]+$H$4*D278</f>
        <v>6320.3961807272881</v>
      </c>
      <c r="E279" s="6">
        <f t="shared" si="4"/>
        <v>922.32358889495697</v>
      </c>
    </row>
    <row r="280" spans="1:5" x14ac:dyDescent="0.3">
      <c r="A280">
        <v>82</v>
      </c>
      <c r="B280">
        <v>6606</v>
      </c>
      <c r="D280" s="6">
        <f>$G$4*Linear_Regression53[[#This Row],[Ice Cream Profits (USD)]]+$H$4*D279</f>
        <v>6348.95656265456</v>
      </c>
      <c r="E280" s="6">
        <f t="shared" si="4"/>
        <v>1069.7511854948223</v>
      </c>
    </row>
    <row r="281" spans="1:5" x14ac:dyDescent="0.3">
      <c r="A281">
        <v>82</v>
      </c>
      <c r="B281">
        <v>6486</v>
      </c>
      <c r="D281" s="6">
        <f>$G$4*Linear_Regression53[[#This Row],[Ice Cream Profits (USD)]]+$H$4*D280</f>
        <v>6362.6609063891046</v>
      </c>
      <c r="E281" s="6">
        <f t="shared" si="4"/>
        <v>1628.0563109401969</v>
      </c>
    </row>
    <row r="282" spans="1:5" x14ac:dyDescent="0.3">
      <c r="A282">
        <v>82</v>
      </c>
      <c r="B282">
        <v>6285</v>
      </c>
      <c r="D282" s="6">
        <f>$G$4*Linear_Regression53[[#This Row],[Ice Cream Profits (USD)]]+$H$4*D281</f>
        <v>6354.8948157501945</v>
      </c>
      <c r="E282" s="6">
        <f t="shared" si="4"/>
        <v>1463.7898157956608</v>
      </c>
    </row>
    <row r="283" spans="1:5" x14ac:dyDescent="0.3">
      <c r="A283">
        <v>82</v>
      </c>
      <c r="B283">
        <v>6657</v>
      </c>
      <c r="D283" s="6">
        <f>$G$4*Linear_Regression53[[#This Row],[Ice Cream Profits (USD)]]+$H$4*D282</f>
        <v>6385.1053341751749</v>
      </c>
      <c r="E283" s="6">
        <f t="shared" si="4"/>
        <v>1159.2045601165019</v>
      </c>
    </row>
    <row r="284" spans="1:5" x14ac:dyDescent="0.3">
      <c r="A284">
        <v>83</v>
      </c>
      <c r="B284">
        <v>6554</v>
      </c>
      <c r="D284" s="6">
        <f>$G$4*Linear_Regression53[[#This Row],[Ice Cream Profits (USD)]]+$H$4*D283</f>
        <v>6401.9948007576568</v>
      </c>
      <c r="E284" s="6">
        <f t="shared" si="4"/>
        <v>1189.8680518649696</v>
      </c>
    </row>
    <row r="285" spans="1:5" x14ac:dyDescent="0.3">
      <c r="A285">
        <v>83</v>
      </c>
      <c r="B285">
        <v>6258</v>
      </c>
      <c r="D285" s="6">
        <f>$G$4*Linear_Regression53[[#This Row],[Ice Cream Profits (USD)]]+$H$4*D284</f>
        <v>6387.5953206818913</v>
      </c>
      <c r="E285" s="6">
        <f t="shared" si="4"/>
        <v>1242.5772039476344</v>
      </c>
    </row>
    <row r="286" spans="1:5" x14ac:dyDescent="0.3">
      <c r="A286">
        <v>83</v>
      </c>
      <c r="B286">
        <v>6329</v>
      </c>
      <c r="D286" s="6">
        <f>$G$4*Linear_Regression53[[#This Row],[Ice Cream Profits (USD)]]+$H$4*D285</f>
        <v>6381.7357886137015</v>
      </c>
      <c r="E286" s="6">
        <f t="shared" si="4"/>
        <v>1136.7567112568497</v>
      </c>
    </row>
    <row r="287" spans="1:5" x14ac:dyDescent="0.3">
      <c r="A287">
        <v>83</v>
      </c>
      <c r="B287">
        <v>6438</v>
      </c>
      <c r="D287" s="6">
        <f>$G$4*Linear_Regression53[[#This Row],[Ice Cream Profits (USD)]]+$H$4*D286</f>
        <v>6387.3622097523321</v>
      </c>
      <c r="E287" s="6" t="e">
        <f t="shared" si="4"/>
        <v>#NUM!</v>
      </c>
    </row>
    <row r="288" spans="1:5" x14ac:dyDescent="0.3">
      <c r="A288">
        <v>83</v>
      </c>
      <c r="B288">
        <v>6078</v>
      </c>
      <c r="D288" s="6">
        <f>$G$4*Linear_Regression53[[#This Row],[Ice Cream Profits (USD)]]+$H$4*D287</f>
        <v>6356.4259887770995</v>
      </c>
      <c r="E288" s="6" t="e">
        <f t="shared" si="4"/>
        <v>#NUM!</v>
      </c>
    </row>
    <row r="289" spans="1:5" x14ac:dyDescent="0.3">
      <c r="A289">
        <v>83</v>
      </c>
      <c r="B289">
        <v>6566</v>
      </c>
      <c r="D289" s="6">
        <f>$G$4*Linear_Regression53[[#This Row],[Ice Cream Profits (USD)]]+$H$4*D288</f>
        <v>6377.3833898993898</v>
      </c>
      <c r="E289" s="6" t="e">
        <f t="shared" si="4"/>
        <v>#NUM!</v>
      </c>
    </row>
    <row r="290" spans="1:5" x14ac:dyDescent="0.3">
      <c r="A290">
        <v>84</v>
      </c>
      <c r="B290">
        <v>6661</v>
      </c>
      <c r="D290" s="6">
        <f>$G$4*Linear_Regression53[[#This Row],[Ice Cream Profits (USD)]]+$H$4*D289</f>
        <v>6405.7450509094515</v>
      </c>
      <c r="E290" s="6" t="e">
        <f t="shared" si="4"/>
        <v>#NUM!</v>
      </c>
    </row>
    <row r="291" spans="1:5" x14ac:dyDescent="0.3">
      <c r="A291">
        <v>84</v>
      </c>
      <c r="B291">
        <v>6512</v>
      </c>
      <c r="D291" s="6">
        <f>$G$4*Linear_Regression53[[#This Row],[Ice Cream Profits (USD)]]+$H$4*D290</f>
        <v>6416.3705458185059</v>
      </c>
      <c r="E291" s="6">
        <f t="shared" si="4"/>
        <v>878.37370372439079</v>
      </c>
    </row>
    <row r="292" spans="1:5" x14ac:dyDescent="0.3">
      <c r="A292">
        <v>84</v>
      </c>
      <c r="B292">
        <v>6313</v>
      </c>
      <c r="D292" s="6">
        <f>$G$4*Linear_Regression53[[#This Row],[Ice Cream Profits (USD)]]+$H$4*D291</f>
        <v>6406.0334912366552</v>
      </c>
      <c r="E292" s="6">
        <f t="shared" si="4"/>
        <v>1528.94532927518</v>
      </c>
    </row>
    <row r="293" spans="1:5" x14ac:dyDescent="0.3">
      <c r="A293">
        <v>84</v>
      </c>
      <c r="B293">
        <v>6335</v>
      </c>
      <c r="D293" s="6">
        <f>$G$4*Linear_Regression53[[#This Row],[Ice Cream Profits (USD)]]+$H$4*D292</f>
        <v>6398.9301421129894</v>
      </c>
      <c r="E293" s="6">
        <f t="shared" si="4"/>
        <v>1062.7618533262141</v>
      </c>
    </row>
    <row r="294" spans="1:5" x14ac:dyDescent="0.3">
      <c r="A294">
        <v>84</v>
      </c>
      <c r="B294">
        <v>6540</v>
      </c>
      <c r="D294" s="6">
        <f>$G$4*Linear_Regression53[[#This Row],[Ice Cream Profits (USD)]]+$H$4*D293</f>
        <v>6413.0371279016908</v>
      </c>
      <c r="E294" s="6" t="e">
        <f t="shared" si="4"/>
        <v>#NUM!</v>
      </c>
    </row>
    <row r="295" spans="1:5" x14ac:dyDescent="0.3">
      <c r="A295">
        <v>84</v>
      </c>
      <c r="B295">
        <v>6541</v>
      </c>
      <c r="D295" s="6">
        <f>$G$4*Linear_Regression53[[#This Row],[Ice Cream Profits (USD)]]+$H$4*D294</f>
        <v>6425.8334151115223</v>
      </c>
      <c r="E295" s="6" t="e">
        <f t="shared" si="4"/>
        <v>#NUM!</v>
      </c>
    </row>
    <row r="296" spans="1:5" x14ac:dyDescent="0.3">
      <c r="A296">
        <v>84</v>
      </c>
      <c r="B296">
        <v>6828</v>
      </c>
      <c r="D296" s="6">
        <f>$G$4*Linear_Regression53[[#This Row],[Ice Cream Profits (USD)]]+$H$4*D295</f>
        <v>6466.0500736003705</v>
      </c>
      <c r="E296" s="6">
        <f t="shared" si="4"/>
        <v>880.11718040808898</v>
      </c>
    </row>
    <row r="297" spans="1:5" x14ac:dyDescent="0.3">
      <c r="A297">
        <v>84</v>
      </c>
      <c r="B297">
        <v>6410</v>
      </c>
      <c r="D297" s="6">
        <f>$G$4*Linear_Regression53[[#This Row],[Ice Cream Profits (USD)]]+$H$4*D296</f>
        <v>6460.4450662403333</v>
      </c>
      <c r="E297" s="6">
        <f t="shared" si="4"/>
        <v>1627.8494159558354</v>
      </c>
    </row>
    <row r="298" spans="1:5" x14ac:dyDescent="0.3">
      <c r="A298">
        <v>84</v>
      </c>
      <c r="B298">
        <v>6626</v>
      </c>
      <c r="D298" s="6">
        <f>$G$4*Linear_Regression53[[#This Row],[Ice Cream Profits (USD)]]+$H$4*D297</f>
        <v>6477.0005596163001</v>
      </c>
      <c r="E298" s="6">
        <f t="shared" si="4"/>
        <v>1373.0593472266921</v>
      </c>
    </row>
    <row r="299" spans="1:5" x14ac:dyDescent="0.3">
      <c r="A299">
        <v>84</v>
      </c>
      <c r="B299">
        <v>6363</v>
      </c>
      <c r="D299" s="6">
        <f>$G$4*Linear_Regression53[[#This Row],[Ice Cream Profits (USD)]]+$H$4*D298</f>
        <v>6465.6005036546703</v>
      </c>
      <c r="E299" s="6">
        <f t="shared" si="4"/>
        <v>1427.6869104153188</v>
      </c>
    </row>
    <row r="300" spans="1:5" x14ac:dyDescent="0.3">
      <c r="A300">
        <v>84</v>
      </c>
      <c r="B300">
        <v>6758</v>
      </c>
      <c r="D300" s="6">
        <f>$G$4*Linear_Regression53[[#This Row],[Ice Cream Profits (USD)]]+$H$4*D299</f>
        <v>6494.8404532892037</v>
      </c>
      <c r="E300" s="6" t="e">
        <f t="shared" si="4"/>
        <v>#NUM!</v>
      </c>
    </row>
    <row r="301" spans="1:5" x14ac:dyDescent="0.3">
      <c r="A301">
        <v>84</v>
      </c>
      <c r="B301">
        <v>6854</v>
      </c>
      <c r="D301" s="6">
        <f>$G$4*Linear_Regression53[[#This Row],[Ice Cream Profits (USD)]]+$H$4*D300</f>
        <v>6530.7564079602835</v>
      </c>
      <c r="E301" s="6">
        <f t="shared" si="4"/>
        <v>1172.4234678915711</v>
      </c>
    </row>
    <row r="302" spans="1:5" x14ac:dyDescent="0.3">
      <c r="A302">
        <v>84</v>
      </c>
      <c r="B302">
        <v>6520</v>
      </c>
      <c r="D302" s="6">
        <f>$G$4*Linear_Regression53[[#This Row],[Ice Cream Profits (USD)]]+$H$4*D301</f>
        <v>6529.6807671642555</v>
      </c>
      <c r="E302" s="6">
        <f t="shared" si="4"/>
        <v>1471.7254446560626</v>
      </c>
    </row>
    <row r="303" spans="1:5" x14ac:dyDescent="0.3">
      <c r="A303">
        <v>85</v>
      </c>
      <c r="B303">
        <v>6793</v>
      </c>
      <c r="D303" s="6">
        <f>$G$4*Linear_Regression53[[#This Row],[Ice Cream Profits (USD)]]+$H$4*D302</f>
        <v>6556.0126904478302</v>
      </c>
      <c r="E303" s="6">
        <f t="shared" si="4"/>
        <v>1600.8140955077624</v>
      </c>
    </row>
    <row r="304" spans="1:5" x14ac:dyDescent="0.3">
      <c r="A304">
        <v>85</v>
      </c>
      <c r="B304">
        <v>6788</v>
      </c>
      <c r="D304" s="6">
        <f>$G$4*Linear_Regression53[[#This Row],[Ice Cream Profits (USD)]]+$H$4*D303</f>
        <v>6579.2114214030471</v>
      </c>
      <c r="E304" s="6">
        <f t="shared" si="4"/>
        <v>1566.7112498796025</v>
      </c>
    </row>
    <row r="305" spans="1:5" x14ac:dyDescent="0.3">
      <c r="A305">
        <v>85</v>
      </c>
      <c r="B305">
        <v>6971</v>
      </c>
      <c r="D305" s="6">
        <f>$G$4*Linear_Regression53[[#This Row],[Ice Cream Profits (USD)]]+$H$4*D304</f>
        <v>6618.3902792627432</v>
      </c>
      <c r="E305" s="6">
        <f t="shared" si="4"/>
        <v>1393.812129149396</v>
      </c>
    </row>
    <row r="306" spans="1:5" x14ac:dyDescent="0.3">
      <c r="A306">
        <v>85</v>
      </c>
      <c r="B306">
        <v>6422</v>
      </c>
      <c r="D306" s="6">
        <f>$G$4*Linear_Regression53[[#This Row],[Ice Cream Profits (USD)]]+$H$4*D305</f>
        <v>6598.7512513364691</v>
      </c>
      <c r="E306" s="6">
        <f t="shared" si="4"/>
        <v>1892.6365020368744</v>
      </c>
    </row>
    <row r="307" spans="1:5" x14ac:dyDescent="0.3">
      <c r="A307">
        <v>85</v>
      </c>
      <c r="B307">
        <v>6182</v>
      </c>
      <c r="D307" s="6">
        <f>$G$4*Linear_Regression53[[#This Row],[Ice Cream Profits (USD)]]+$H$4*D306</f>
        <v>6557.0761262028218</v>
      </c>
      <c r="E307" s="6">
        <f t="shared" si="4"/>
        <v>1326.8054500472815</v>
      </c>
    </row>
    <row r="308" spans="1:5" x14ac:dyDescent="0.3">
      <c r="A308">
        <v>85</v>
      </c>
      <c r="B308">
        <v>6828</v>
      </c>
      <c r="D308" s="6">
        <f>$G$4*Linear_Regression53[[#This Row],[Ice Cream Profits (USD)]]+$H$4*D307</f>
        <v>6584.1685135825401</v>
      </c>
      <c r="E308" s="6" t="e">
        <f t="shared" si="4"/>
        <v>#NUM!</v>
      </c>
    </row>
    <row r="309" spans="1:5" x14ac:dyDescent="0.3">
      <c r="A309">
        <v>85</v>
      </c>
      <c r="B309">
        <v>6299</v>
      </c>
      <c r="D309" s="6">
        <f>$G$4*Linear_Regression53[[#This Row],[Ice Cream Profits (USD)]]+$H$4*D308</f>
        <v>6555.6516622242871</v>
      </c>
      <c r="E309" s="6" t="e">
        <f t="shared" si="4"/>
        <v>#NUM!</v>
      </c>
    </row>
    <row r="310" spans="1:5" x14ac:dyDescent="0.3">
      <c r="A310">
        <v>85</v>
      </c>
      <c r="B310">
        <v>6496</v>
      </c>
      <c r="D310" s="6">
        <f>$G$4*Linear_Regression53[[#This Row],[Ice Cream Profits (USD)]]+$H$4*D309</f>
        <v>6549.6864960018593</v>
      </c>
      <c r="E310" s="6" t="e">
        <f t="shared" si="4"/>
        <v>#NUM!</v>
      </c>
    </row>
    <row r="311" spans="1:5" x14ac:dyDescent="0.3">
      <c r="A311">
        <v>85</v>
      </c>
      <c r="B311">
        <v>6599</v>
      </c>
      <c r="D311" s="6">
        <f>$G$4*Linear_Regression53[[#This Row],[Ice Cream Profits (USD)]]+$H$4*D310</f>
        <v>6554.6178464016739</v>
      </c>
      <c r="E311" s="6" t="e">
        <f t="shared" si="4"/>
        <v>#NUM!</v>
      </c>
    </row>
    <row r="312" spans="1:5" x14ac:dyDescent="0.3">
      <c r="A312">
        <v>85</v>
      </c>
      <c r="B312">
        <v>7030</v>
      </c>
      <c r="D312" s="6">
        <f>$G$4*Linear_Regression53[[#This Row],[Ice Cream Profits (USD)]]+$H$4*D311</f>
        <v>6602.1560617615069</v>
      </c>
      <c r="E312" s="6" t="e">
        <f t="shared" si="4"/>
        <v>#NUM!</v>
      </c>
    </row>
    <row r="313" spans="1:5" x14ac:dyDescent="0.3">
      <c r="A313">
        <v>85</v>
      </c>
      <c r="B313">
        <v>6431</v>
      </c>
      <c r="D313" s="6">
        <f>$G$4*Linear_Regression53[[#This Row],[Ice Cream Profits (USD)]]+$H$4*D312</f>
        <v>6585.0404555853565</v>
      </c>
      <c r="E313" s="6">
        <f t="shared" si="4"/>
        <v>1380.3192901003447</v>
      </c>
    </row>
    <row r="314" spans="1:5" x14ac:dyDescent="0.3">
      <c r="A314">
        <v>86</v>
      </c>
      <c r="B314">
        <v>6959</v>
      </c>
      <c r="D314" s="6">
        <f>$G$4*Linear_Regression53[[#This Row],[Ice Cream Profits (USD)]]+$H$4*D313</f>
        <v>6622.4364100268212</v>
      </c>
      <c r="E314" s="6">
        <f t="shared" si="4"/>
        <v>1212.6038680023346</v>
      </c>
    </row>
    <row r="315" spans="1:5" x14ac:dyDescent="0.3">
      <c r="A315">
        <v>86</v>
      </c>
      <c r="B315">
        <v>6835</v>
      </c>
      <c r="D315" s="6">
        <f>$G$4*Linear_Regression53[[#This Row],[Ice Cream Profits (USD)]]+$H$4*D314</f>
        <v>6643.6927690241391</v>
      </c>
      <c r="E315" s="6">
        <f t="shared" si="4"/>
        <v>1673.1662130624334</v>
      </c>
    </row>
    <row r="316" spans="1:5" x14ac:dyDescent="0.3">
      <c r="A316">
        <v>86</v>
      </c>
      <c r="B316">
        <v>6966</v>
      </c>
      <c r="D316" s="6">
        <f>$G$4*Linear_Regression53[[#This Row],[Ice Cream Profits (USD)]]+$H$4*D315</f>
        <v>6675.9234921217258</v>
      </c>
      <c r="E316" s="6">
        <f t="shared" si="4"/>
        <v>1309.5281063894265</v>
      </c>
    </row>
    <row r="317" spans="1:5" x14ac:dyDescent="0.3">
      <c r="A317">
        <v>86</v>
      </c>
      <c r="B317">
        <v>7146</v>
      </c>
      <c r="D317" s="6">
        <f>$G$4*Linear_Regression53[[#This Row],[Ice Cream Profits (USD)]]+$H$4*D316</f>
        <v>6722.9311429095533</v>
      </c>
      <c r="E317" s="6">
        <f t="shared" si="4"/>
        <v>1924.1266341992405</v>
      </c>
    </row>
    <row r="318" spans="1:5" x14ac:dyDescent="0.3">
      <c r="A318">
        <v>86</v>
      </c>
      <c r="B318">
        <v>6990</v>
      </c>
      <c r="D318" s="6">
        <f>$G$4*Linear_Regression53[[#This Row],[Ice Cream Profits (USD)]]+$H$4*D317</f>
        <v>6749.6380286185977</v>
      </c>
      <c r="E318" s="6">
        <f t="shared" si="4"/>
        <v>2033.3294343555906</v>
      </c>
    </row>
    <row r="319" spans="1:5" x14ac:dyDescent="0.3">
      <c r="A319">
        <v>86</v>
      </c>
      <c r="B319">
        <v>6919</v>
      </c>
      <c r="D319" s="6">
        <f>$G$4*Linear_Regression53[[#This Row],[Ice Cream Profits (USD)]]+$H$4*D318</f>
        <v>6766.5742257567381</v>
      </c>
      <c r="E319" s="6">
        <f t="shared" si="4"/>
        <v>2091.8254275201643</v>
      </c>
    </row>
    <row r="320" spans="1:5" x14ac:dyDescent="0.3">
      <c r="A320">
        <v>86</v>
      </c>
      <c r="B320">
        <v>6797</v>
      </c>
      <c r="D320" s="6">
        <f>$G$4*Linear_Regression53[[#This Row],[Ice Cream Profits (USD)]]+$H$4*D319</f>
        <v>6769.6168031810639</v>
      </c>
      <c r="E320" s="6">
        <f t="shared" si="4"/>
        <v>1937.0108911797663</v>
      </c>
    </row>
    <row r="321" spans="1:5" x14ac:dyDescent="0.3">
      <c r="A321">
        <v>86</v>
      </c>
      <c r="B321">
        <v>6485</v>
      </c>
      <c r="D321" s="6">
        <f>$G$4*Linear_Regression53[[#This Row],[Ice Cream Profits (USD)]]+$H$4*D320</f>
        <v>6741.1551228629578</v>
      </c>
      <c r="E321" s="6">
        <f t="shared" si="4"/>
        <v>1385.642819300708</v>
      </c>
    </row>
    <row r="322" spans="1:5" x14ac:dyDescent="0.3">
      <c r="A322">
        <v>87</v>
      </c>
      <c r="B322">
        <v>7043</v>
      </c>
      <c r="D322" s="6">
        <f>$G$4*Linear_Regression53[[#This Row],[Ice Cream Profits (USD)]]+$H$4*D321</f>
        <v>6771.3396105766624</v>
      </c>
      <c r="E322" s="6" t="e">
        <f t="shared" si="4"/>
        <v>#NUM!</v>
      </c>
    </row>
    <row r="323" spans="1:5" x14ac:dyDescent="0.3">
      <c r="A323">
        <v>87</v>
      </c>
      <c r="B323">
        <v>6848</v>
      </c>
      <c r="D323" s="6">
        <f>$G$4*Linear_Regression53[[#This Row],[Ice Cream Profits (USD)]]+$H$4*D322</f>
        <v>6779.0056495189965</v>
      </c>
      <c r="E323" s="6">
        <f t="shared" si="4"/>
        <v>495.4320760112974</v>
      </c>
    </row>
    <row r="324" spans="1:5" x14ac:dyDescent="0.3">
      <c r="A324">
        <v>87</v>
      </c>
      <c r="B324">
        <v>7029</v>
      </c>
      <c r="D324" s="6">
        <f>$G$4*Linear_Regression53[[#This Row],[Ice Cream Profits (USD)]]+$H$4*D323</f>
        <v>6804.0050845670976</v>
      </c>
      <c r="E324" s="6">
        <f t="shared" si="4"/>
        <v>659.55739995937813</v>
      </c>
    </row>
    <row r="325" spans="1:5" x14ac:dyDescent="0.3">
      <c r="A325">
        <v>87</v>
      </c>
      <c r="B325">
        <v>6519</v>
      </c>
      <c r="D325" s="6">
        <f>$G$4*Linear_Regression53[[#This Row],[Ice Cream Profits (USD)]]+$H$4*D324</f>
        <v>6775.5045761103884</v>
      </c>
      <c r="E325" s="6">
        <f t="shared" si="4"/>
        <v>1613.004555811928</v>
      </c>
    </row>
    <row r="326" spans="1:5" x14ac:dyDescent="0.3">
      <c r="A326">
        <v>87</v>
      </c>
      <c r="B326">
        <v>6800</v>
      </c>
      <c r="D326" s="6">
        <f>$G$4*Linear_Regression53[[#This Row],[Ice Cream Profits (USD)]]+$H$4*D325</f>
        <v>6777.9541184993495</v>
      </c>
      <c r="E326" s="6">
        <f t="shared" si="4"/>
        <v>462.76017982024342</v>
      </c>
    </row>
    <row r="327" spans="1:5" x14ac:dyDescent="0.3">
      <c r="A327">
        <v>87</v>
      </c>
      <c r="B327">
        <v>7064</v>
      </c>
      <c r="D327" s="6">
        <f>$G$4*Linear_Regression53[[#This Row],[Ice Cream Profits (USD)]]+$H$4*D326</f>
        <v>6806.5587066494154</v>
      </c>
      <c r="E327" s="6">
        <f t="shared" ref="E327:E366" si="5">SQRT(SUMX2MY2(B324:B326,D324:D326)/3)</f>
        <v>23.039934967848861</v>
      </c>
    </row>
    <row r="328" spans="1:5" x14ac:dyDescent="0.3">
      <c r="A328">
        <v>88</v>
      </c>
      <c r="B328">
        <v>6967</v>
      </c>
      <c r="D328" s="6">
        <f>$G$4*Linear_Regression53[[#This Row],[Ice Cream Profits (USD)]]+$H$4*D327</f>
        <v>6822.602835984474</v>
      </c>
      <c r="E328" s="6">
        <f t="shared" si="5"/>
        <v>391.61685338262498</v>
      </c>
    </row>
    <row r="329" spans="1:5" x14ac:dyDescent="0.3">
      <c r="A329">
        <v>88</v>
      </c>
      <c r="B329">
        <v>7469</v>
      </c>
      <c r="D329" s="6">
        <f>$G$4*Linear_Regression53[[#This Row],[Ice Cream Profits (USD)]]+$H$4*D328</f>
        <v>6887.2425523860275</v>
      </c>
      <c r="E329" s="6">
        <f t="shared" si="5"/>
        <v>1397.7806316764386</v>
      </c>
    </row>
    <row r="330" spans="1:5" x14ac:dyDescent="0.3">
      <c r="A330">
        <v>88</v>
      </c>
      <c r="B330">
        <v>6978</v>
      </c>
      <c r="D330" s="6">
        <f>$G$4*Linear_Regression53[[#This Row],[Ice Cream Profits (USD)]]+$H$4*D329</f>
        <v>6896.3182971474253</v>
      </c>
      <c r="E330" s="6">
        <f t="shared" si="5"/>
        <v>2153.5927454647226</v>
      </c>
    </row>
    <row r="331" spans="1:5" x14ac:dyDescent="0.3">
      <c r="A331">
        <v>89</v>
      </c>
      <c r="B331">
        <v>7316</v>
      </c>
      <c r="D331" s="6">
        <f>$G$4*Linear_Regression53[[#This Row],[Ice Cream Profits (USD)]]+$H$4*D330</f>
        <v>6938.2864674326829</v>
      </c>
      <c r="E331" s="6">
        <f t="shared" si="5"/>
        <v>1955.8722275453342</v>
      </c>
    </row>
    <row r="332" spans="1:5" x14ac:dyDescent="0.3">
      <c r="A332">
        <v>89</v>
      </c>
      <c r="B332">
        <v>7151</v>
      </c>
      <c r="D332" s="6">
        <f>$G$4*Linear_Regression53[[#This Row],[Ice Cream Profits (USD)]]+$H$4*D331</f>
        <v>6959.5578206894152</v>
      </c>
      <c r="E332" s="6">
        <f t="shared" si="5"/>
        <v>2226.2948191163823</v>
      </c>
    </row>
    <row r="333" spans="1:5" x14ac:dyDescent="0.3">
      <c r="A333">
        <v>89</v>
      </c>
      <c r="B333">
        <v>7332</v>
      </c>
      <c r="D333" s="6">
        <f>$G$4*Linear_Regression53[[#This Row],[Ice Cream Profits (USD)]]+$H$4*D332</f>
        <v>6996.8020386204735</v>
      </c>
      <c r="E333" s="6">
        <f t="shared" si="5"/>
        <v>1752.9661320887842</v>
      </c>
    </row>
    <row r="334" spans="1:5" x14ac:dyDescent="0.3">
      <c r="A334">
        <v>89</v>
      </c>
      <c r="B334">
        <v>7409</v>
      </c>
      <c r="D334" s="6">
        <f>$G$4*Linear_Regression53[[#This Row],[Ice Cream Profits (USD)]]+$H$4*D333</f>
        <v>7038.0218347584268</v>
      </c>
      <c r="E334" s="6">
        <f t="shared" si="5"/>
        <v>2072.7098260230646</v>
      </c>
    </row>
    <row r="335" spans="1:5" x14ac:dyDescent="0.3">
      <c r="A335">
        <v>90</v>
      </c>
      <c r="B335">
        <v>7112</v>
      </c>
      <c r="D335" s="6">
        <f>$G$4*Linear_Regression53[[#This Row],[Ice Cream Profits (USD)]]+$H$4*D334</f>
        <v>7045.4196512825838</v>
      </c>
      <c r="E335" s="6">
        <f t="shared" si="5"/>
        <v>2070.7382601623676</v>
      </c>
    </row>
    <row r="336" spans="1:5" x14ac:dyDescent="0.3">
      <c r="A336">
        <v>90</v>
      </c>
      <c r="B336">
        <v>6758</v>
      </c>
      <c r="D336" s="6">
        <f>$G$4*Linear_Regression53[[#This Row],[Ice Cream Profits (USD)]]+$H$4*D335</f>
        <v>7016.6776861543258</v>
      </c>
      <c r="E336" s="6">
        <f t="shared" si="5"/>
        <v>1923.9820532029573</v>
      </c>
    </row>
    <row r="337" spans="1:5" x14ac:dyDescent="0.3">
      <c r="A337">
        <v>90</v>
      </c>
      <c r="B337">
        <v>7739</v>
      </c>
      <c r="D337" s="6">
        <f>$G$4*Linear_Regression53[[#This Row],[Ice Cream Profits (USD)]]+$H$4*D336</f>
        <v>7088.9099175388928</v>
      </c>
      <c r="E337" s="6">
        <f t="shared" si="5"/>
        <v>955.49879459348222</v>
      </c>
    </row>
    <row r="338" spans="1:5" x14ac:dyDescent="0.3">
      <c r="A338">
        <v>90</v>
      </c>
      <c r="B338">
        <v>7511</v>
      </c>
      <c r="D338" s="6">
        <f>$G$4*Linear_Regression53[[#This Row],[Ice Cream Profits (USD)]]+$H$4*D337</f>
        <v>7131.1189257850037</v>
      </c>
      <c r="E338" s="6">
        <f t="shared" si="5"/>
        <v>1529.5839703400718</v>
      </c>
    </row>
    <row r="339" spans="1:5" x14ac:dyDescent="0.3">
      <c r="A339">
        <v>90</v>
      </c>
      <c r="B339">
        <v>7480</v>
      </c>
      <c r="D339" s="6">
        <f>$G$4*Linear_Regression53[[#This Row],[Ice Cream Profits (USD)]]+$H$4*D338</f>
        <v>7166.0070332065034</v>
      </c>
      <c r="E339" s="6">
        <f t="shared" si="5"/>
        <v>1969.6479631272209</v>
      </c>
    </row>
    <row r="340" spans="1:5" x14ac:dyDescent="0.3">
      <c r="A340">
        <v>90</v>
      </c>
      <c r="B340">
        <v>7394</v>
      </c>
      <c r="D340" s="6">
        <f>$G$4*Linear_Regression53[[#This Row],[Ice Cream Profits (USD)]]+$H$4*D339</f>
        <v>7188.8063298858524</v>
      </c>
      <c r="E340" s="6">
        <f t="shared" si="5"/>
        <v>2569.0779310461166</v>
      </c>
    </row>
    <row r="341" spans="1:5" x14ac:dyDescent="0.3">
      <c r="A341">
        <v>90</v>
      </c>
      <c r="B341">
        <v>7594</v>
      </c>
      <c r="D341" s="6">
        <f>$G$4*Linear_Regression53[[#This Row],[Ice Cream Profits (USD)]]+$H$4*D340</f>
        <v>7229.3256968972673</v>
      </c>
      <c r="E341" s="6">
        <f t="shared" si="5"/>
        <v>2093.9043768153119</v>
      </c>
    </row>
    <row r="342" spans="1:5" x14ac:dyDescent="0.3">
      <c r="A342">
        <v>91</v>
      </c>
      <c r="B342">
        <v>7931</v>
      </c>
      <c r="D342" s="6">
        <f>$G$4*Linear_Regression53[[#This Row],[Ice Cream Profits (USD)]]+$H$4*D341</f>
        <v>7299.493127207541</v>
      </c>
      <c r="E342" s="6">
        <f t="shared" si="5"/>
        <v>2081.4040709425672</v>
      </c>
    </row>
    <row r="343" spans="1:5" x14ac:dyDescent="0.3">
      <c r="A343">
        <v>91</v>
      </c>
      <c r="B343">
        <v>8181</v>
      </c>
      <c r="D343" s="6">
        <f>$G$4*Linear_Regression53[[#This Row],[Ice Cream Profits (USD)]]+$H$4*D342</f>
        <v>7387.6438144867871</v>
      </c>
      <c r="E343" s="6">
        <f t="shared" si="5"/>
        <v>2450.58813385847</v>
      </c>
    </row>
    <row r="344" spans="1:5" x14ac:dyDescent="0.3">
      <c r="A344">
        <v>91</v>
      </c>
      <c r="B344">
        <v>7558</v>
      </c>
      <c r="D344" s="6">
        <f>$G$4*Linear_Regression53[[#This Row],[Ice Cream Profits (USD)]]+$H$4*D343</f>
        <v>7404.679433038109</v>
      </c>
      <c r="E344" s="6">
        <f t="shared" si="5"/>
        <v>3020.7795309768321</v>
      </c>
    </row>
    <row r="345" spans="1:5" x14ac:dyDescent="0.3">
      <c r="A345">
        <v>92</v>
      </c>
      <c r="B345">
        <v>7820</v>
      </c>
      <c r="D345" s="6">
        <f>$G$4*Linear_Regression53[[#This Row],[Ice Cream Profits (USD)]]+$H$4*D344</f>
        <v>7446.2114897342981</v>
      </c>
      <c r="E345" s="6">
        <f t="shared" si="5"/>
        <v>2843.9249550616614</v>
      </c>
    </row>
    <row r="346" spans="1:5" x14ac:dyDescent="0.3">
      <c r="A346">
        <v>92</v>
      </c>
      <c r="B346">
        <v>7560</v>
      </c>
      <c r="D346" s="6">
        <f>$G$4*Linear_Regression53[[#This Row],[Ice Cream Profits (USD)]]+$H$4*D345</f>
        <v>7457.5903407608685</v>
      </c>
      <c r="E346" s="6">
        <f t="shared" si="5"/>
        <v>2604.6049485713102</v>
      </c>
    </row>
    <row r="347" spans="1:5" x14ac:dyDescent="0.3">
      <c r="A347">
        <v>92</v>
      </c>
      <c r="B347">
        <v>7504</v>
      </c>
      <c r="D347" s="6">
        <f>$G$4*Linear_Regression53[[#This Row],[Ice Cream Profits (USD)]]+$H$4*D346</f>
        <v>7462.2313066847819</v>
      </c>
      <c r="E347" s="6">
        <f t="shared" si="5"/>
        <v>1783.1028436858367</v>
      </c>
    </row>
    <row r="348" spans="1:5" x14ac:dyDescent="0.3">
      <c r="A348">
        <v>92</v>
      </c>
      <c r="B348">
        <v>7741</v>
      </c>
      <c r="D348" s="6">
        <f>$G$4*Linear_Regression53[[#This Row],[Ice Cream Profits (USD)]]+$H$4*D347</f>
        <v>7490.1081760163042</v>
      </c>
      <c r="E348" s="6">
        <f t="shared" si="5"/>
        <v>1619.6090768117115</v>
      </c>
    </row>
    <row r="349" spans="1:5" x14ac:dyDescent="0.3">
      <c r="A349">
        <v>93</v>
      </c>
      <c r="B349">
        <v>7976</v>
      </c>
      <c r="D349" s="6">
        <f>$G$4*Linear_Regression53[[#This Row],[Ice Cream Profits (USD)]]+$H$4*D348</f>
        <v>7538.6973584146745</v>
      </c>
      <c r="E349" s="6">
        <f t="shared" si="5"/>
        <v>1412.3770443826768</v>
      </c>
    </row>
    <row r="350" spans="1:5" x14ac:dyDescent="0.3">
      <c r="A350">
        <v>93</v>
      </c>
      <c r="B350">
        <v>7718</v>
      </c>
      <c r="D350" s="6">
        <f>$G$4*Linear_Regression53[[#This Row],[Ice Cream Profits (USD)]]+$H$4*D349</f>
        <v>7556.6276225732072</v>
      </c>
      <c r="E350" s="6">
        <f t="shared" si="5"/>
        <v>1934.8642136111132</v>
      </c>
    </row>
    <row r="351" spans="1:5" x14ac:dyDescent="0.3">
      <c r="A351">
        <v>94</v>
      </c>
      <c r="B351">
        <v>8094</v>
      </c>
      <c r="D351" s="6">
        <f>$G$4*Linear_Regression53[[#This Row],[Ice Cream Profits (USD)]]+$H$4*D350</f>
        <v>7610.3648603158872</v>
      </c>
      <c r="E351" s="6">
        <f t="shared" si="5"/>
        <v>2087.3333565076855</v>
      </c>
    </row>
    <row r="352" spans="1:5" x14ac:dyDescent="0.3">
      <c r="A352">
        <v>94</v>
      </c>
      <c r="B352">
        <v>7570</v>
      </c>
      <c r="D352" s="6">
        <f>$G$4*Linear_Regression53[[#This Row],[Ice Cream Profits (USD)]]+$H$4*D351</f>
        <v>7606.3283742842987</v>
      </c>
      <c r="E352" s="6">
        <f t="shared" si="5"/>
        <v>2369.5782891240628</v>
      </c>
    </row>
    <row r="353" spans="1:5" x14ac:dyDescent="0.3">
      <c r="A353">
        <v>95</v>
      </c>
      <c r="B353">
        <v>7820</v>
      </c>
      <c r="D353" s="6">
        <f>$G$4*Linear_Regression53[[#This Row],[Ice Cream Profits (USD)]]+$H$4*D352</f>
        <v>7627.6955368558692</v>
      </c>
      <c r="E353" s="6">
        <f t="shared" si="5"/>
        <v>1780.3327712528285</v>
      </c>
    </row>
    <row r="354" spans="1:5" x14ac:dyDescent="0.3">
      <c r="A354">
        <v>95</v>
      </c>
      <c r="B354">
        <v>8075</v>
      </c>
      <c r="D354" s="6">
        <f>$G$4*Linear_Regression53[[#This Row],[Ice Cream Profits (USD)]]+$H$4*D353</f>
        <v>7672.4259831702821</v>
      </c>
      <c r="E354" s="6">
        <f t="shared" si="5"/>
        <v>1827.0661502762459</v>
      </c>
    </row>
    <row r="355" spans="1:5" x14ac:dyDescent="0.3">
      <c r="A355">
        <v>95</v>
      </c>
      <c r="B355">
        <v>8097</v>
      </c>
      <c r="D355" s="6">
        <f>$G$4*Linear_Regression53[[#This Row],[Ice Cream Profits (USD)]]+$H$4*D354</f>
        <v>7714.883384853254</v>
      </c>
      <c r="E355" s="6">
        <f t="shared" si="5"/>
        <v>1708.6870195523586</v>
      </c>
    </row>
    <row r="356" spans="1:5" x14ac:dyDescent="0.3">
      <c r="A356">
        <v>95</v>
      </c>
      <c r="B356">
        <v>8098</v>
      </c>
      <c r="D356" s="6">
        <f>$G$4*Linear_Regression53[[#This Row],[Ice Cream Profits (USD)]]+$H$4*D355</f>
        <v>7753.1950463679286</v>
      </c>
      <c r="E356" s="6">
        <f t="shared" si="5"/>
        <v>2262.1633221261004</v>
      </c>
    </row>
    <row r="357" spans="1:5" x14ac:dyDescent="0.3">
      <c r="A357">
        <v>96</v>
      </c>
      <c r="B357">
        <v>8002</v>
      </c>
      <c r="D357" s="6">
        <f>$G$4*Linear_Regression53[[#This Row],[Ice Cream Profits (USD)]]+$H$4*D356</f>
        <v>7778.0755417311357</v>
      </c>
      <c r="E357" s="6">
        <f t="shared" si="5"/>
        <v>2439.0611898750813</v>
      </c>
    </row>
    <row r="358" spans="1:5" x14ac:dyDescent="0.3">
      <c r="A358">
        <v>96</v>
      </c>
      <c r="B358">
        <v>8283</v>
      </c>
      <c r="D358" s="6">
        <f>$G$4*Linear_Regression53[[#This Row],[Ice Cream Profits (USD)]]+$H$4*D357</f>
        <v>7828.5679875580227</v>
      </c>
      <c r="E358" s="6">
        <f t="shared" si="5"/>
        <v>2239.1292056076109</v>
      </c>
    </row>
    <row r="359" spans="1:5" x14ac:dyDescent="0.3">
      <c r="A359">
        <v>96</v>
      </c>
      <c r="B359">
        <v>8095</v>
      </c>
      <c r="D359" s="6">
        <f>$G$4*Linear_Regression53[[#This Row],[Ice Cream Profits (USD)]]+$H$4*D358</f>
        <v>7855.2111888022209</v>
      </c>
      <c r="E359" s="6">
        <f t="shared" si="5"/>
        <v>2332.4327574645786</v>
      </c>
    </row>
    <row r="360" spans="1:5" x14ac:dyDescent="0.3">
      <c r="A360">
        <v>97</v>
      </c>
      <c r="B360">
        <v>8250</v>
      </c>
      <c r="D360" s="6">
        <f>$G$4*Linear_Regression53[[#This Row],[Ice Cream Profits (USD)]]+$H$4*D359</f>
        <v>7894.6900699219987</v>
      </c>
      <c r="E360" s="6">
        <f t="shared" si="5"/>
        <v>2212.0758961227675</v>
      </c>
    </row>
    <row r="361" spans="1:5" x14ac:dyDescent="0.3">
      <c r="A361">
        <v>98</v>
      </c>
      <c r="B361">
        <v>8412</v>
      </c>
      <c r="D361" s="6">
        <f>$G$4*Linear_Regression53[[#This Row],[Ice Cream Profits (USD)]]+$H$4*D360</f>
        <v>7946.4210629297986</v>
      </c>
      <c r="E361" s="6">
        <f t="shared" si="5"/>
        <v>2372.2466948284223</v>
      </c>
    </row>
    <row r="362" spans="1:5" x14ac:dyDescent="0.3">
      <c r="A362">
        <v>99</v>
      </c>
      <c r="B362">
        <v>8513</v>
      </c>
      <c r="D362" s="6">
        <f>$G$4*Linear_Regression53[[#This Row],[Ice Cream Profits (USD)]]+$H$4*D361</f>
        <v>8003.0789566368194</v>
      </c>
      <c r="E362" s="6">
        <f t="shared" si="5"/>
        <v>2392.8495683192623</v>
      </c>
    </row>
    <row r="363" spans="1:5" x14ac:dyDescent="0.3">
      <c r="A363">
        <v>99</v>
      </c>
      <c r="B363">
        <v>8708</v>
      </c>
      <c r="D363" s="6">
        <f>$G$4*Linear_Regression53[[#This Row],[Ice Cream Profits (USD)]]+$H$4*D362</f>
        <v>8073.5710609731377</v>
      </c>
      <c r="E363" s="6">
        <f t="shared" si="5"/>
        <v>2694.0923768087805</v>
      </c>
    </row>
    <row r="364" spans="1:5" x14ac:dyDescent="0.3">
      <c r="A364">
        <v>99</v>
      </c>
      <c r="B364">
        <v>8929</v>
      </c>
      <c r="D364" s="6">
        <f>$G$4*Linear_Regression53[[#This Row],[Ice Cream Profits (USD)]]+$H$4*D363</f>
        <v>8159.1139548758238</v>
      </c>
      <c r="E364" s="6">
        <f t="shared" si="5"/>
        <v>2982.4345104785143</v>
      </c>
    </row>
    <row r="365" spans="1:5" x14ac:dyDescent="0.3">
      <c r="A365">
        <v>101</v>
      </c>
      <c r="B365">
        <v>8191</v>
      </c>
      <c r="D365" s="6">
        <f>$G$4*Linear_Regression53[[#This Row],[Ice Cream Profits (USD)]]+$H$4*D364</f>
        <v>8162.3025593882421</v>
      </c>
      <c r="E365" s="6">
        <f t="shared" si="5"/>
        <v>3277.4233277888993</v>
      </c>
    </row>
    <row r="366" spans="1:5" x14ac:dyDescent="0.3">
      <c r="A366">
        <v>101</v>
      </c>
      <c r="B366">
        <v>8502</v>
      </c>
      <c r="D366" s="6">
        <f>$G$4*Linear_Regression53[[#This Row],[Ice Cream Profits (USD)]]+$H$4*D365</f>
        <v>8196.2723034494174</v>
      </c>
      <c r="E366" s="6">
        <f t="shared" si="5"/>
        <v>2844.404608101775</v>
      </c>
    </row>
  </sheetData>
  <mergeCells count="2">
    <mergeCell ref="G7:H7"/>
    <mergeCell ref="G8:H8"/>
  </mergeCells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A9B2E-84AB-48D6-BE00-9C1473DB1D0D}">
  <sheetPr codeName="Sheet5"/>
  <dimension ref="A1:P450"/>
  <sheetViews>
    <sheetView workbookViewId="0">
      <selection activeCell="H17" sqref="H17"/>
    </sheetView>
  </sheetViews>
  <sheetFormatPr defaultRowHeight="14.4" x14ac:dyDescent="0.3"/>
  <cols>
    <col min="1" max="1" width="15" bestFit="1" customWidth="1"/>
    <col min="2" max="2" width="16.44140625" bestFit="1" customWidth="1"/>
    <col min="3" max="3" width="23.6640625" bestFit="1" customWidth="1"/>
    <col min="4" max="4" width="13.109375" bestFit="1" customWidth="1"/>
    <col min="5" max="5" width="32.33203125" bestFit="1" customWidth="1"/>
    <col min="6" max="6" width="19.44140625" bestFit="1" customWidth="1"/>
    <col min="9" max="9" width="30.6640625" customWidth="1"/>
    <col min="10" max="10" width="18.77734375" customWidth="1"/>
    <col min="11" max="11" width="24.109375" customWidth="1"/>
    <col min="12" max="12" width="18.109375" customWidth="1"/>
    <col min="13" max="13" width="34.44140625" customWidth="1"/>
    <col min="14" max="14" width="18.77734375" customWidth="1"/>
    <col min="16" max="16" width="16" customWidth="1"/>
  </cols>
  <sheetData>
    <row r="1" spans="1:16" x14ac:dyDescent="0.3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P1" s="7" t="s">
        <v>20</v>
      </c>
    </row>
    <row r="2" spans="1:16" x14ac:dyDescent="0.3">
      <c r="A2">
        <v>7</v>
      </c>
      <c r="B2">
        <v>99</v>
      </c>
      <c r="C2">
        <v>1</v>
      </c>
      <c r="D2">
        <v>9</v>
      </c>
      <c r="E2">
        <v>1</v>
      </c>
      <c r="F2">
        <v>910</v>
      </c>
      <c r="P2" s="6">
        <f>$I$6*A2+$J$6*Student_Performance__2[[#This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253.83416143207563</v>
      </c>
    </row>
    <row r="3" spans="1:16" x14ac:dyDescent="0.3">
      <c r="A3">
        <v>4</v>
      </c>
      <c r="B3">
        <v>82</v>
      </c>
      <c r="C3">
        <v>0</v>
      </c>
      <c r="D3">
        <v>4</v>
      </c>
      <c r="E3">
        <v>2</v>
      </c>
      <c r="F3">
        <v>650</v>
      </c>
      <c r="P3" s="6">
        <f>$I$6*A3+$J$6*Student_Performance__2[[#This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140.94897388377416</v>
      </c>
    </row>
    <row r="4" spans="1:16" x14ac:dyDescent="0.3">
      <c r="A4">
        <v>8</v>
      </c>
      <c r="B4">
        <v>51</v>
      </c>
      <c r="C4">
        <v>1</v>
      </c>
      <c r="D4">
        <v>7</v>
      </c>
      <c r="E4">
        <v>2</v>
      </c>
      <c r="F4">
        <v>450</v>
      </c>
      <c r="I4" s="41" t="s">
        <v>16</v>
      </c>
      <c r="J4" s="41"/>
      <c r="K4" s="41"/>
      <c r="L4" s="41"/>
      <c r="M4" s="41"/>
      <c r="N4" s="43" t="s">
        <v>17</v>
      </c>
      <c r="P4" s="6">
        <f>$I$6*A4+$J$6*Student_Performance__2[[#This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42.326812992907719</v>
      </c>
    </row>
    <row r="5" spans="1:16" x14ac:dyDescent="0.3">
      <c r="A5">
        <v>5</v>
      </c>
      <c r="B5">
        <v>52</v>
      </c>
      <c r="C5">
        <v>1</v>
      </c>
      <c r="D5">
        <v>5</v>
      </c>
      <c r="E5">
        <v>2</v>
      </c>
      <c r="F5">
        <v>360</v>
      </c>
      <c r="I5" s="1" t="s">
        <v>10</v>
      </c>
      <c r="J5" s="1" t="s">
        <v>11</v>
      </c>
      <c r="K5" s="1" t="s">
        <v>12</v>
      </c>
      <c r="L5" s="1" t="s">
        <v>13</v>
      </c>
      <c r="M5" s="1" t="s">
        <v>14</v>
      </c>
      <c r="N5" s="44"/>
      <c r="P5" s="6">
        <f>$I$6*A5+$J$6*Student_Performance__2[[#This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20.268054637654984</v>
      </c>
    </row>
    <row r="6" spans="1:16" x14ac:dyDescent="0.3">
      <c r="A6">
        <v>7</v>
      </c>
      <c r="B6">
        <v>75</v>
      </c>
      <c r="C6">
        <v>0</v>
      </c>
      <c r="D6">
        <v>8</v>
      </c>
      <c r="E6">
        <v>5</v>
      </c>
      <c r="F6">
        <v>660</v>
      </c>
      <c r="I6" s="2" cm="1">
        <f t="array" ref="I6:N6">LINEST(Student_Performance__2[Performance Index],Student_Performance__2[[Hours Studied]:[Sample Question Papers Practiced]])</f>
        <v>2.0716321616430524</v>
      </c>
      <c r="J6" s="2">
        <v>4.6204879964565553</v>
      </c>
      <c r="K6" s="2">
        <v>5.629913552544374</v>
      </c>
      <c r="L6" s="2">
        <v>10.232174933390077</v>
      </c>
      <c r="M6" s="2">
        <v>28.668793095883885</v>
      </c>
      <c r="N6" s="2">
        <v>-344.48385639756367</v>
      </c>
      <c r="P6" s="6">
        <f>$I$6*A6+$J$6*Student_Performance__2[[#This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241.75553341471931</v>
      </c>
    </row>
    <row r="7" spans="1:16" x14ac:dyDescent="0.3">
      <c r="A7">
        <v>3</v>
      </c>
      <c r="B7">
        <v>78</v>
      </c>
      <c r="C7">
        <v>0</v>
      </c>
      <c r="D7">
        <v>9</v>
      </c>
      <c r="E7">
        <v>6</v>
      </c>
      <c r="F7">
        <v>610</v>
      </c>
      <c r="P7" s="6">
        <f>$I$6*A7+$J$6*Student_Performance__2[[#This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286.23143678679077</v>
      </c>
    </row>
    <row r="8" spans="1:16" x14ac:dyDescent="0.3">
      <c r="A8">
        <v>7</v>
      </c>
      <c r="B8">
        <v>73</v>
      </c>
      <c r="C8">
        <v>1</v>
      </c>
      <c r="D8">
        <v>5</v>
      </c>
      <c r="E8">
        <v>6</v>
      </c>
      <c r="F8">
        <v>630</v>
      </c>
      <c r="P8" s="6">
        <f>$I$6*A8+$J$6*Student_Performance__2[[#This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236.11673927006433</v>
      </c>
    </row>
    <row r="9" spans="1:16" x14ac:dyDescent="0.3">
      <c r="A9">
        <v>8</v>
      </c>
      <c r="B9">
        <v>45</v>
      </c>
      <c r="C9">
        <v>1</v>
      </c>
      <c r="D9">
        <v>4</v>
      </c>
      <c r="E9">
        <v>6</v>
      </c>
      <c r="F9">
        <v>420</v>
      </c>
      <c r="I9" s="1" t="s">
        <v>18</v>
      </c>
      <c r="J9" s="1" t="s">
        <v>15</v>
      </c>
      <c r="P9" s="6">
        <f>$I$6*A9+$J$6*Student_Performance__2[[#This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98.582532597533771</v>
      </c>
    </row>
    <row r="10" spans="1:16" x14ac:dyDescent="0.3">
      <c r="A10">
        <v>5</v>
      </c>
      <c r="B10">
        <v>77</v>
      </c>
      <c r="C10">
        <v>0</v>
      </c>
      <c r="D10">
        <v>8</v>
      </c>
      <c r="E10">
        <v>2</v>
      </c>
      <c r="F10">
        <v>610</v>
      </c>
      <c r="I10" s="1" t="s">
        <v>10</v>
      </c>
      <c r="J10" s="4">
        <f>CORREL(Student_Performance__2[Hours Studied],Student_Performance__2[Performance Index])</f>
        <v>0.42163904019596543</v>
      </c>
      <c r="P10" s="6">
        <f>$I$6*A10+$J$6*Student_Performance__2[[#This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160.84686579669477</v>
      </c>
    </row>
    <row r="11" spans="1:16" x14ac:dyDescent="0.3">
      <c r="A11">
        <v>4</v>
      </c>
      <c r="B11">
        <v>89</v>
      </c>
      <c r="C11">
        <v>0</v>
      </c>
      <c r="D11">
        <v>4</v>
      </c>
      <c r="E11">
        <v>0</v>
      </c>
      <c r="F11">
        <v>690</v>
      </c>
      <c r="I11" s="1" t="s">
        <v>11</v>
      </c>
      <c r="J11" s="4">
        <f>CORREL(Student_Performance__2[Previous Scores],Student_Performance__2[Performance Index])</f>
        <v>0.91900399276226563</v>
      </c>
      <c r="P11" s="6">
        <f>$I$6*A11+$J$6*Student_Performance__2[[#This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115.95480366720227</v>
      </c>
    </row>
    <row r="12" spans="1:16" x14ac:dyDescent="0.3">
      <c r="A12">
        <v>8</v>
      </c>
      <c r="B12">
        <v>91</v>
      </c>
      <c r="C12">
        <v>0</v>
      </c>
      <c r="D12">
        <v>4</v>
      </c>
      <c r="E12">
        <v>5</v>
      </c>
      <c r="F12">
        <v>840</v>
      </c>
      <c r="I12" s="1" t="s">
        <v>12</v>
      </c>
      <c r="J12" s="4">
        <f>CORREL(Student_Performance__2[Extracurricular Activities],Student_Performance__2[Performance Index])</f>
        <v>-4.1253154329794192E-2</v>
      </c>
      <c r="P12" s="6">
        <f>$I$6*A12+$J$6*Student_Performance__2[[#This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276.82627378610704</v>
      </c>
    </row>
    <row r="13" spans="1:16" x14ac:dyDescent="0.3">
      <c r="A13">
        <v>8</v>
      </c>
      <c r="B13">
        <v>79</v>
      </c>
      <c r="C13">
        <v>0</v>
      </c>
      <c r="D13">
        <v>6</v>
      </c>
      <c r="E13">
        <v>2</v>
      </c>
      <c r="F13">
        <v>730</v>
      </c>
      <c r="I13" s="1" t="s">
        <v>13</v>
      </c>
      <c r="J13" s="4">
        <f>CORREL(Student_Performance__2[Sleep Hours],Student_Performance__2[Performance Index])</f>
        <v>6.0584095983110473E-2</v>
      </c>
      <c r="P13" s="6">
        <f>$I$6*A13+$J$6*Student_Performance__2[[#This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155.8383884077569</v>
      </c>
    </row>
    <row r="14" spans="1:16" x14ac:dyDescent="0.3">
      <c r="A14">
        <v>3</v>
      </c>
      <c r="B14">
        <v>47</v>
      </c>
      <c r="C14">
        <v>0</v>
      </c>
      <c r="D14">
        <v>9</v>
      </c>
      <c r="E14">
        <v>2</v>
      </c>
      <c r="F14">
        <v>270</v>
      </c>
      <c r="I14" s="1" t="s">
        <v>14</v>
      </c>
      <c r="J14" s="4">
        <f>CORREL(Student_Performance__2[Sample Question Papers Practiced],Student_Performance__2[Performance Index])</f>
        <v>5.9858345655761522E-2</v>
      </c>
      <c r="P14" s="6">
        <f>$I$6*A14+$J$6*Student_Performance__2[[#This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28.32113651310209</v>
      </c>
    </row>
    <row r="15" spans="1:16" x14ac:dyDescent="0.3">
      <c r="A15">
        <v>6</v>
      </c>
      <c r="B15">
        <v>47</v>
      </c>
      <c r="C15">
        <v>0</v>
      </c>
      <c r="D15">
        <v>4</v>
      </c>
      <c r="E15">
        <v>2</v>
      </c>
      <c r="F15">
        <v>330</v>
      </c>
      <c r="P15" s="6">
        <f>$I$6*A15+$J$6*Student_Performance__2[[#This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-16.624841668919146</v>
      </c>
    </row>
    <row r="16" spans="1:16" x14ac:dyDescent="0.3">
      <c r="A16">
        <v>5</v>
      </c>
      <c r="B16">
        <v>79</v>
      </c>
      <c r="C16">
        <v>0</v>
      </c>
      <c r="D16">
        <v>7</v>
      </c>
      <c r="E16">
        <v>8</v>
      </c>
      <c r="F16">
        <v>680</v>
      </c>
      <c r="P16" s="6">
        <f>$I$6*A16+$J$6*Student_Performance__2[[#This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331.86842543152108</v>
      </c>
    </row>
    <row r="17" spans="1:16" x14ac:dyDescent="0.3">
      <c r="A17">
        <v>2</v>
      </c>
      <c r="B17">
        <v>72</v>
      </c>
      <c r="C17">
        <v>0</v>
      </c>
      <c r="D17">
        <v>4</v>
      </c>
      <c r="E17">
        <v>3</v>
      </c>
      <c r="F17">
        <v>430</v>
      </c>
      <c r="P17" s="6">
        <f>$I$6*A17+$J$6*Student_Performance__2[[#This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119.26962269180638</v>
      </c>
    </row>
    <row r="18" spans="1:16" x14ac:dyDescent="0.3">
      <c r="A18">
        <v>8</v>
      </c>
      <c r="B18">
        <v>73</v>
      </c>
      <c r="C18">
        <v>1</v>
      </c>
      <c r="D18">
        <v>8</v>
      </c>
      <c r="E18">
        <v>4</v>
      </c>
      <c r="F18">
        <v>670</v>
      </c>
      <c r="P18" s="6">
        <f>$I$6*A18+$J$6*Student_Performance__2[[#This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211.54731004010983</v>
      </c>
    </row>
    <row r="19" spans="1:16" x14ac:dyDescent="0.3">
      <c r="A19">
        <v>6</v>
      </c>
      <c r="B19">
        <v>83</v>
      </c>
      <c r="C19">
        <v>1</v>
      </c>
      <c r="D19">
        <v>7</v>
      </c>
      <c r="E19">
        <v>2</v>
      </c>
      <c r="F19">
        <v>700</v>
      </c>
      <c r="P19" s="6">
        <f>$I$6*A19+$J$6*Student_Performance__2[[#This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186.03916455623147</v>
      </c>
    </row>
    <row r="20" spans="1:16" x14ac:dyDescent="0.3">
      <c r="A20">
        <v>2</v>
      </c>
      <c r="B20">
        <v>54</v>
      </c>
      <c r="C20">
        <v>1</v>
      </c>
      <c r="D20">
        <v>4</v>
      </c>
      <c r="E20">
        <v>9</v>
      </c>
      <c r="F20">
        <v>300</v>
      </c>
      <c r="I20" s="45" t="s">
        <v>19</v>
      </c>
      <c r="J20" s="46"/>
      <c r="K20" s="46"/>
      <c r="L20" s="46"/>
      <c r="M20" s="46"/>
      <c r="N20" s="47"/>
      <c r="P20" s="6">
        <f>$I$6*A20+$J$6*Student_Performance__2[[#This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213.74351088343604</v>
      </c>
    </row>
    <row r="21" spans="1:16" x14ac:dyDescent="0.3">
      <c r="A21">
        <v>5</v>
      </c>
      <c r="B21">
        <v>75</v>
      </c>
      <c r="C21">
        <v>0</v>
      </c>
      <c r="D21">
        <v>7</v>
      </c>
      <c r="E21">
        <v>0</v>
      </c>
      <c r="F21">
        <v>630</v>
      </c>
      <c r="I21" s="1" t="s">
        <v>10</v>
      </c>
      <c r="J21" s="1" t="s">
        <v>11</v>
      </c>
      <c r="K21" s="1" t="s">
        <v>12</v>
      </c>
      <c r="L21" s="1" t="s">
        <v>13</v>
      </c>
      <c r="M21" s="1" t="s">
        <v>14</v>
      </c>
      <c r="N21" s="1" t="s">
        <v>15</v>
      </c>
      <c r="P21" s="6">
        <f>$I$6*A21+$J$6*Student_Performance__2[[#This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84.036128678623754</v>
      </c>
    </row>
    <row r="22" spans="1:16" x14ac:dyDescent="0.3">
      <c r="A22">
        <v>1</v>
      </c>
      <c r="B22">
        <v>99</v>
      </c>
      <c r="C22">
        <v>1</v>
      </c>
      <c r="D22">
        <v>4</v>
      </c>
      <c r="E22">
        <v>3</v>
      </c>
      <c r="F22">
        <v>710</v>
      </c>
      <c r="I22" s="5">
        <v>12</v>
      </c>
      <c r="J22" s="5">
        <v>100</v>
      </c>
      <c r="K22" s="5">
        <v>1</v>
      </c>
      <c r="L22" s="5">
        <v>8</v>
      </c>
      <c r="M22" s="5">
        <v>10</v>
      </c>
      <c r="N22" s="5">
        <f>$N$6+$I$6*I22+$J$6*J22+$K$6*K22+$L$6*L22+$M$6*M22</f>
        <v>516.59977316631227</v>
      </c>
      <c r="P22" s="6">
        <f>$I$6*A22+$J$6*Student_Performance__2[[#This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247.58107998703468</v>
      </c>
    </row>
    <row r="23" spans="1:16" x14ac:dyDescent="0.3">
      <c r="A23">
        <v>6</v>
      </c>
      <c r="B23">
        <v>96</v>
      </c>
      <c r="C23">
        <v>0</v>
      </c>
      <c r="D23">
        <v>9</v>
      </c>
      <c r="E23">
        <v>0</v>
      </c>
      <c r="F23">
        <v>850</v>
      </c>
      <c r="I23" s="5">
        <v>8</v>
      </c>
      <c r="J23" s="5">
        <v>90</v>
      </c>
      <c r="K23" s="5">
        <v>0</v>
      </c>
      <c r="L23" s="5">
        <v>6</v>
      </c>
      <c r="M23" s="5">
        <v>5</v>
      </c>
      <c r="N23" s="5">
        <f t="shared" ref="N23:N26" si="0">$N$6+$I$6*I23+$J$6*J23+$K$6*K23+$L$6*L23+$M$6*M23</f>
        <v>292.6701356564306</v>
      </c>
      <c r="P23" s="6">
        <f>$I$6*A23+$J$6*Student_Performance__2[[#This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203.60235863263466</v>
      </c>
    </row>
    <row r="24" spans="1:16" x14ac:dyDescent="0.3">
      <c r="A24">
        <v>9</v>
      </c>
      <c r="B24">
        <v>74</v>
      </c>
      <c r="C24">
        <v>1</v>
      </c>
      <c r="D24">
        <v>7</v>
      </c>
      <c r="E24">
        <v>6</v>
      </c>
      <c r="F24">
        <v>730</v>
      </c>
      <c r="I24" s="5">
        <v>10</v>
      </c>
      <c r="J24" s="5">
        <v>80</v>
      </c>
      <c r="K24" s="5">
        <v>1</v>
      </c>
      <c r="L24" s="5">
        <v>7</v>
      </c>
      <c r="M24" s="5">
        <v>8</v>
      </c>
      <c r="N24" s="5">
        <f t="shared" si="0"/>
        <v>352.47698778873723</v>
      </c>
      <c r="P24" s="6">
        <f>$I$6*A24+$J$6*Student_Performance__2[[#This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265.34484145658718</v>
      </c>
    </row>
    <row r="25" spans="1:16" x14ac:dyDescent="0.3">
      <c r="A25">
        <v>1</v>
      </c>
      <c r="B25">
        <v>85</v>
      </c>
      <c r="C25">
        <v>0</v>
      </c>
      <c r="D25">
        <v>5</v>
      </c>
      <c r="E25">
        <v>6</v>
      </c>
      <c r="F25">
        <v>570</v>
      </c>
      <c r="I25" s="5">
        <v>11</v>
      </c>
      <c r="J25" s="5">
        <v>95</v>
      </c>
      <c r="K25" s="5">
        <v>0</v>
      </c>
      <c r="L25" s="5">
        <v>9</v>
      </c>
      <c r="M25" s="5">
        <v>9</v>
      </c>
      <c r="N25" s="5">
        <f t="shared" si="0"/>
        <v>467.35916930734828</v>
      </c>
      <c r="P25" s="6">
        <f>$I$6*A25+$J$6*Student_Performance__2[[#This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273.50288870514026</v>
      </c>
    </row>
    <row r="26" spans="1:16" x14ac:dyDescent="0.3">
      <c r="A26">
        <v>3</v>
      </c>
      <c r="B26">
        <v>61</v>
      </c>
      <c r="C26">
        <v>0</v>
      </c>
      <c r="D26">
        <v>6</v>
      </c>
      <c r="E26">
        <v>3</v>
      </c>
      <c r="F26">
        <v>350</v>
      </c>
      <c r="I26" s="5">
        <v>5</v>
      </c>
      <c r="J26" s="5">
        <v>100</v>
      </c>
      <c r="K26" s="5">
        <v>1</v>
      </c>
      <c r="L26" s="5">
        <v>10</v>
      </c>
      <c r="M26" s="5">
        <v>7</v>
      </c>
      <c r="N26" s="5">
        <f t="shared" si="0"/>
        <v>436.55631861393948</v>
      </c>
      <c r="P26" s="6">
        <f>$I$6*A26+$J$6*Student_Performance__2[[#This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90.980236759207514</v>
      </c>
    </row>
    <row r="27" spans="1:16" x14ac:dyDescent="0.3">
      <c r="A27">
        <v>7</v>
      </c>
      <c r="B27">
        <v>62</v>
      </c>
      <c r="C27">
        <v>1</v>
      </c>
      <c r="D27">
        <v>7</v>
      </c>
      <c r="E27">
        <v>4</v>
      </c>
      <c r="F27">
        <v>490</v>
      </c>
      <c r="P27" s="6">
        <f>$I$6*A27+$J$6*Student_Performance__2[[#This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148.41813498405463</v>
      </c>
    </row>
    <row r="28" spans="1:16" x14ac:dyDescent="0.3">
      <c r="A28">
        <v>4</v>
      </c>
      <c r="B28">
        <v>79</v>
      </c>
      <c r="C28">
        <v>0</v>
      </c>
      <c r="D28">
        <v>8</v>
      </c>
      <c r="E28">
        <v>9</v>
      </c>
      <c r="F28">
        <v>660</v>
      </c>
      <c r="P28" s="6">
        <f>$I$6*A28+$J$6*Student_Performance__2[[#This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368.69776129915198</v>
      </c>
    </row>
    <row r="29" spans="1:16" x14ac:dyDescent="0.3">
      <c r="A29">
        <v>9</v>
      </c>
      <c r="B29">
        <v>84</v>
      </c>
      <c r="C29">
        <v>1</v>
      </c>
      <c r="D29">
        <v>6</v>
      </c>
      <c r="E29">
        <v>6</v>
      </c>
      <c r="F29">
        <v>830</v>
      </c>
      <c r="P29" s="6">
        <f>$I$6*A29+$J$6*Student_Performance__2[[#This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301.31754648776263</v>
      </c>
    </row>
    <row r="30" spans="1:16" x14ac:dyDescent="0.3">
      <c r="A30">
        <v>3</v>
      </c>
      <c r="B30">
        <v>94</v>
      </c>
      <c r="C30">
        <v>1</v>
      </c>
      <c r="D30">
        <v>6</v>
      </c>
      <c r="E30">
        <v>5</v>
      </c>
      <c r="F30">
        <v>740</v>
      </c>
      <c r="P30" s="6">
        <f>$I$6*A30+$J$6*Student_Performance__2[[#This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306.42384038658605</v>
      </c>
    </row>
    <row r="31" spans="1:16" x14ac:dyDescent="0.3">
      <c r="A31">
        <v>5</v>
      </c>
      <c r="B31">
        <v>90</v>
      </c>
      <c r="C31">
        <v>1</v>
      </c>
      <c r="D31">
        <v>4</v>
      </c>
      <c r="E31">
        <v>3</v>
      </c>
      <c r="F31">
        <v>740</v>
      </c>
      <c r="P31" s="6">
        <f>$I$6*A31+$J$6*Student_Performance__2[[#This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214.28321666549783</v>
      </c>
    </row>
    <row r="32" spans="1:16" x14ac:dyDescent="0.3">
      <c r="A32">
        <v>3</v>
      </c>
      <c r="B32">
        <v>61</v>
      </c>
      <c r="C32">
        <v>1</v>
      </c>
      <c r="D32">
        <v>7</v>
      </c>
      <c r="E32">
        <v>3</v>
      </c>
      <c r="F32">
        <v>390</v>
      </c>
      <c r="P32" s="6">
        <f>$I$6*A32+$J$6*Student_Performance__2[[#This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106.84232524514198</v>
      </c>
    </row>
    <row r="33" spans="1:16" x14ac:dyDescent="0.3">
      <c r="A33">
        <v>7</v>
      </c>
      <c r="B33">
        <v>44</v>
      </c>
      <c r="C33">
        <v>1</v>
      </c>
      <c r="D33">
        <v>9</v>
      </c>
      <c r="E33">
        <v>1</v>
      </c>
      <c r="F33">
        <v>360</v>
      </c>
      <c r="P33" s="6">
        <f>$I$6*A33+$J$6*Student_Performance__2[[#This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-0.29267837303490296</v>
      </c>
    </row>
    <row r="34" spans="1:16" x14ac:dyDescent="0.3">
      <c r="A34">
        <v>5</v>
      </c>
      <c r="B34">
        <v>70</v>
      </c>
      <c r="C34">
        <v>1</v>
      </c>
      <c r="D34">
        <v>6</v>
      </c>
      <c r="E34">
        <v>9</v>
      </c>
      <c r="F34">
        <v>580</v>
      </c>
      <c r="P34" s="6">
        <f>$I$6*A34+$J$6*Student_Performance__2[[#This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314.35056517845027</v>
      </c>
    </row>
    <row r="35" spans="1:16" x14ac:dyDescent="0.3">
      <c r="A35">
        <v>9</v>
      </c>
      <c r="B35">
        <v>52</v>
      </c>
      <c r="C35">
        <v>1</v>
      </c>
      <c r="D35">
        <v>8</v>
      </c>
      <c r="E35">
        <v>1</v>
      </c>
      <c r="F35">
        <v>470</v>
      </c>
      <c r="P35" s="6">
        <f>$I$6*A35+$J$6*Student_Performance__2[[#This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30.582314988513531</v>
      </c>
    </row>
    <row r="36" spans="1:16" x14ac:dyDescent="0.3">
      <c r="A36">
        <v>7</v>
      </c>
      <c r="B36">
        <v>67</v>
      </c>
      <c r="C36">
        <v>1</v>
      </c>
      <c r="D36">
        <v>9</v>
      </c>
      <c r="E36">
        <v>3</v>
      </c>
      <c r="F36">
        <v>600</v>
      </c>
      <c r="P36" s="6">
        <f>$I$6*A36+$J$6*Student_Performance__2[[#This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163.31613173723366</v>
      </c>
    </row>
    <row r="37" spans="1:16" x14ac:dyDescent="0.3">
      <c r="A37">
        <v>2</v>
      </c>
      <c r="B37">
        <v>97</v>
      </c>
      <c r="C37">
        <v>1</v>
      </c>
      <c r="D37">
        <v>9</v>
      </c>
      <c r="E37">
        <v>4</v>
      </c>
      <c r="F37">
        <v>740</v>
      </c>
      <c r="P37" s="6">
        <f>$I$6*A37+$J$6*Student_Performance__2[[#This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320.24140391859891</v>
      </c>
    </row>
    <row r="38" spans="1:16" x14ac:dyDescent="0.3">
      <c r="A38">
        <v>4</v>
      </c>
      <c r="B38">
        <v>59</v>
      </c>
      <c r="C38">
        <v>0</v>
      </c>
      <c r="D38">
        <v>8</v>
      </c>
      <c r="E38">
        <v>3</v>
      </c>
      <c r="F38">
        <v>420</v>
      </c>
      <c r="P38" s="6">
        <f>$I$6*A38+$J$6*Student_Performance__2[[#This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104.2752427947176</v>
      </c>
    </row>
    <row r="39" spans="1:16" x14ac:dyDescent="0.3">
      <c r="A39">
        <v>9</v>
      </c>
      <c r="B39">
        <v>72</v>
      </c>
      <c r="C39">
        <v>0</v>
      </c>
      <c r="D39">
        <v>8</v>
      </c>
      <c r="E39">
        <v>2</v>
      </c>
      <c r="F39">
        <v>680</v>
      </c>
      <c r="P39" s="6">
        <f>$I$6*A39+$J$6*Student_Performance__2[[#This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146.03095446098411</v>
      </c>
    </row>
    <row r="40" spans="1:16" x14ac:dyDescent="0.3">
      <c r="A40">
        <v>2</v>
      </c>
      <c r="B40">
        <v>55</v>
      </c>
      <c r="C40">
        <v>1</v>
      </c>
      <c r="D40">
        <v>4</v>
      </c>
      <c r="E40">
        <v>1</v>
      </c>
      <c r="F40">
        <v>320</v>
      </c>
      <c r="P40" s="6">
        <f>$I$6*A40+$J$6*Student_Performance__2[[#This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-10.986345887178402</v>
      </c>
    </row>
    <row r="41" spans="1:16" x14ac:dyDescent="0.3">
      <c r="A41">
        <v>9</v>
      </c>
      <c r="B41">
        <v>68</v>
      </c>
      <c r="C41">
        <v>0</v>
      </c>
      <c r="D41">
        <v>5</v>
      </c>
      <c r="E41">
        <v>3</v>
      </c>
      <c r="F41">
        <v>640</v>
      </c>
      <c r="P41" s="6">
        <f>$I$6*A41+$J$6*Student_Performance__2[[#This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125.52127077087164</v>
      </c>
    </row>
    <row r="42" spans="1:16" x14ac:dyDescent="0.3">
      <c r="A42">
        <v>5</v>
      </c>
      <c r="B42">
        <v>62</v>
      </c>
      <c r="C42">
        <v>0</v>
      </c>
      <c r="D42">
        <v>7</v>
      </c>
      <c r="E42">
        <v>4</v>
      </c>
      <c r="F42">
        <v>450</v>
      </c>
      <c r="P42" s="6">
        <f>$I$6*A42+$J$6*Student_Performance__2[[#This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138.64495710822411</v>
      </c>
    </row>
    <row r="43" spans="1:16" x14ac:dyDescent="0.3">
      <c r="A43">
        <v>2</v>
      </c>
      <c r="B43">
        <v>63</v>
      </c>
      <c r="C43">
        <v>1</v>
      </c>
      <c r="D43">
        <v>6</v>
      </c>
      <c r="E43">
        <v>0</v>
      </c>
      <c r="F43">
        <v>390</v>
      </c>
      <c r="P43" s="6">
        <f>$I$6*A43+$J$6*Student_Performance__2[[#This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17.773114855370295</v>
      </c>
    </row>
    <row r="44" spans="1:16" x14ac:dyDescent="0.3">
      <c r="A44">
        <v>4</v>
      </c>
      <c r="B44">
        <v>73</v>
      </c>
      <c r="C44">
        <v>1</v>
      </c>
      <c r="D44">
        <v>7</v>
      </c>
      <c r="E44">
        <v>0</v>
      </c>
      <c r="F44">
        <v>580</v>
      </c>
      <c r="P44" s="6">
        <f>$I$6*A44+$J$6*Student_Performance__2[[#This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78.353434076612018</v>
      </c>
    </row>
    <row r="45" spans="1:16" x14ac:dyDescent="0.3">
      <c r="A45">
        <v>7</v>
      </c>
      <c r="B45">
        <v>46</v>
      </c>
      <c r="C45">
        <v>0</v>
      </c>
      <c r="D45">
        <v>9</v>
      </c>
      <c r="E45">
        <v>5</v>
      </c>
      <c r="F45">
        <v>360</v>
      </c>
      <c r="P45" s="6">
        <f>$I$6*A45+$J$6*Student_Performance__2[[#This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117.99355645086933</v>
      </c>
    </row>
    <row r="46" spans="1:16" x14ac:dyDescent="0.3">
      <c r="A46">
        <v>8</v>
      </c>
      <c r="B46">
        <v>77</v>
      </c>
      <c r="C46">
        <v>1</v>
      </c>
      <c r="D46">
        <v>6</v>
      </c>
      <c r="E46">
        <v>4</v>
      </c>
      <c r="F46">
        <v>710</v>
      </c>
      <c r="P46" s="6">
        <f>$I$6*A46+$J$6*Student_Performance__2[[#This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209.56491215915588</v>
      </c>
    </row>
    <row r="47" spans="1:16" x14ac:dyDescent="0.3">
      <c r="A47">
        <v>3</v>
      </c>
      <c r="B47">
        <v>76</v>
      </c>
      <c r="C47">
        <v>1</v>
      </c>
      <c r="D47">
        <v>4</v>
      </c>
      <c r="E47">
        <v>3</v>
      </c>
      <c r="F47">
        <v>540</v>
      </c>
      <c r="P47" s="6">
        <f>$I$6*A47+$J$6*Student_Performance__2[[#This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145.45312039182011</v>
      </c>
    </row>
    <row r="48" spans="1:16" x14ac:dyDescent="0.3">
      <c r="A48">
        <v>1</v>
      </c>
      <c r="B48">
        <v>43</v>
      </c>
      <c r="C48">
        <v>1</v>
      </c>
      <c r="D48">
        <v>7</v>
      </c>
      <c r="E48">
        <v>0</v>
      </c>
      <c r="F48">
        <v>170</v>
      </c>
      <c r="P48" s="6">
        <f>$I$6*A48+$J$6*Student_Performance__2[[#This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-66.476102302013828</v>
      </c>
    </row>
    <row r="49" spans="1:16" x14ac:dyDescent="0.3">
      <c r="A49">
        <v>4</v>
      </c>
      <c r="B49">
        <v>73</v>
      </c>
      <c r="C49">
        <v>0</v>
      </c>
      <c r="D49">
        <v>4</v>
      </c>
      <c r="E49">
        <v>6</v>
      </c>
      <c r="F49">
        <v>540</v>
      </c>
      <c r="P49" s="6">
        <f>$I$6*A49+$J$6*Student_Performance__2[[#This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214.03975429920075</v>
      </c>
    </row>
    <row r="50" spans="1:16" x14ac:dyDescent="0.3">
      <c r="A50">
        <v>2</v>
      </c>
      <c r="B50">
        <v>81</v>
      </c>
      <c r="C50">
        <v>1</v>
      </c>
      <c r="D50">
        <v>4</v>
      </c>
      <c r="E50">
        <v>3</v>
      </c>
      <c r="F50">
        <v>580</v>
      </c>
      <c r="P50" s="6">
        <f>$I$6*A50+$J$6*Student_Performance__2[[#This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166.48392821245977</v>
      </c>
    </row>
    <row r="51" spans="1:16" x14ac:dyDescent="0.3">
      <c r="A51">
        <v>8</v>
      </c>
      <c r="B51">
        <v>61</v>
      </c>
      <c r="C51">
        <v>0</v>
      </c>
      <c r="D51">
        <v>7</v>
      </c>
      <c r="E51">
        <v>2</v>
      </c>
      <c r="F51">
        <v>530</v>
      </c>
      <c r="P51" s="6">
        <f>$I$6*A51+$J$6*Student_Performance__2[[#This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82.901779404928959</v>
      </c>
    </row>
    <row r="52" spans="1:16" x14ac:dyDescent="0.3">
      <c r="A52">
        <v>4</v>
      </c>
      <c r="B52">
        <v>44</v>
      </c>
      <c r="C52">
        <v>1</v>
      </c>
      <c r="D52">
        <v>7</v>
      </c>
      <c r="E52">
        <v>6</v>
      </c>
      <c r="F52">
        <v>270</v>
      </c>
      <c r="P52" s="6">
        <f>$I$6*A52+$J$6*Student_Performance__2[[#This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116.3720407546752</v>
      </c>
    </row>
    <row r="53" spans="1:16" x14ac:dyDescent="0.3">
      <c r="A53">
        <v>2</v>
      </c>
      <c r="B53">
        <v>89</v>
      </c>
      <c r="C53">
        <v>1</v>
      </c>
      <c r="D53">
        <v>6</v>
      </c>
      <c r="E53">
        <v>1</v>
      </c>
      <c r="F53">
        <v>650</v>
      </c>
      <c r="P53" s="6">
        <f>$I$6*A53+$J$6*Student_Performance__2[[#This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166.5745958591246</v>
      </c>
    </row>
    <row r="54" spans="1:16" x14ac:dyDescent="0.3">
      <c r="A54">
        <v>6</v>
      </c>
      <c r="B54">
        <v>81</v>
      </c>
      <c r="C54">
        <v>0</v>
      </c>
      <c r="D54">
        <v>9</v>
      </c>
      <c r="E54">
        <v>9</v>
      </c>
      <c r="F54">
        <v>750</v>
      </c>
      <c r="P54" s="6">
        <f>$I$6*A54+$J$6*Student_Performance__2[[#This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392.31417654874127</v>
      </c>
    </row>
    <row r="55" spans="1:16" x14ac:dyDescent="0.3">
      <c r="A55">
        <v>6</v>
      </c>
      <c r="B55">
        <v>62</v>
      </c>
      <c r="C55">
        <v>1</v>
      </c>
      <c r="D55">
        <v>9</v>
      </c>
      <c r="E55">
        <v>0</v>
      </c>
      <c r="F55">
        <v>520</v>
      </c>
      <c r="P55" s="6">
        <f>$I$6*A55+$J$6*Student_Performance__2[[#This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52.135680305656194</v>
      </c>
    </row>
    <row r="56" spans="1:16" x14ac:dyDescent="0.3">
      <c r="A56">
        <v>4</v>
      </c>
      <c r="B56">
        <v>93</v>
      </c>
      <c r="C56">
        <v>0</v>
      </c>
      <c r="D56">
        <v>8</v>
      </c>
      <c r="E56">
        <v>3</v>
      </c>
      <c r="F56">
        <v>780</v>
      </c>
      <c r="P56" s="6">
        <f>$I$6*A56+$J$6*Student_Performance__2[[#This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261.37183467424035</v>
      </c>
    </row>
    <row r="57" spans="1:16" x14ac:dyDescent="0.3">
      <c r="A57">
        <v>6</v>
      </c>
      <c r="B57">
        <v>99</v>
      </c>
      <c r="C57">
        <v>0</v>
      </c>
      <c r="D57">
        <v>4</v>
      </c>
      <c r="E57">
        <v>7</v>
      </c>
      <c r="F57">
        <v>910</v>
      </c>
      <c r="P57" s="6">
        <f>$I$6*A57+$J$6*Student_Performance__2[[#This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366.98449962624119</v>
      </c>
    </row>
    <row r="58" spans="1:16" x14ac:dyDescent="0.3">
      <c r="A58">
        <v>2</v>
      </c>
      <c r="B58">
        <v>54</v>
      </c>
      <c r="C58">
        <v>1</v>
      </c>
      <c r="D58">
        <v>9</v>
      </c>
      <c r="E58">
        <v>5</v>
      </c>
      <c r="F58">
        <v>330</v>
      </c>
      <c r="P58" s="6">
        <f>$I$6*A58+$J$6*Student_Performance__2[[#This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150.22921316685091</v>
      </c>
    </row>
    <row r="59" spans="1:16" x14ac:dyDescent="0.3">
      <c r="A59">
        <v>2</v>
      </c>
      <c r="B59">
        <v>70</v>
      </c>
      <c r="C59">
        <v>1</v>
      </c>
      <c r="D59">
        <v>5</v>
      </c>
      <c r="E59">
        <v>8</v>
      </c>
      <c r="F59">
        <v>470</v>
      </c>
      <c r="P59" s="6">
        <f>$I$6*A59+$J$6*Student_Performance__2[[#This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269.23470066424721</v>
      </c>
    </row>
    <row r="60" spans="1:16" x14ac:dyDescent="0.3">
      <c r="A60">
        <v>4</v>
      </c>
      <c r="B60">
        <v>98</v>
      </c>
      <c r="C60">
        <v>0</v>
      </c>
      <c r="D60">
        <v>6</v>
      </c>
      <c r="E60">
        <v>0</v>
      </c>
      <c r="F60">
        <v>780</v>
      </c>
      <c r="P60" s="6">
        <f>$I$6*A60+$J$6*Student_Performance__2[[#This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178.00354550209141</v>
      </c>
    </row>
    <row r="61" spans="1:16" x14ac:dyDescent="0.3">
      <c r="A61">
        <v>8</v>
      </c>
      <c r="B61">
        <v>48</v>
      </c>
      <c r="C61">
        <v>0</v>
      </c>
      <c r="D61">
        <v>6</v>
      </c>
      <c r="E61">
        <v>0</v>
      </c>
      <c r="F61">
        <v>380</v>
      </c>
      <c r="P61" s="6">
        <f>$I$6*A61+$J$6*Student_Performance__2[[#This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-44.734325674164154</v>
      </c>
    </row>
    <row r="62" spans="1:16" x14ac:dyDescent="0.3">
      <c r="A62">
        <v>7</v>
      </c>
      <c r="B62">
        <v>82</v>
      </c>
      <c r="C62">
        <v>1</v>
      </c>
      <c r="D62">
        <v>8</v>
      </c>
      <c r="E62">
        <v>4</v>
      </c>
      <c r="F62">
        <v>700</v>
      </c>
      <c r="P62" s="6">
        <f>$I$6*A62+$J$6*Student_Performance__2[[#This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251.0600698465758</v>
      </c>
    </row>
    <row r="63" spans="1:16" x14ac:dyDescent="0.3">
      <c r="A63">
        <v>9</v>
      </c>
      <c r="B63">
        <v>97</v>
      </c>
      <c r="C63">
        <v>1</v>
      </c>
      <c r="D63">
        <v>8</v>
      </c>
      <c r="E63">
        <v>5</v>
      </c>
      <c r="F63">
        <v>980</v>
      </c>
      <c r="P63" s="6">
        <f>$I$6*A63+$J$6*Student_Performance__2[[#This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353.17944721259408</v>
      </c>
    </row>
    <row r="64" spans="1:16" x14ac:dyDescent="0.3">
      <c r="A64">
        <v>8</v>
      </c>
      <c r="B64">
        <v>92</v>
      </c>
      <c r="C64">
        <v>1</v>
      </c>
      <c r="D64">
        <v>4</v>
      </c>
      <c r="E64">
        <v>7</v>
      </c>
      <c r="F64">
        <v>870</v>
      </c>
      <c r="P64" s="6">
        <f>$I$6*A64+$J$6*Student_Performance__2[[#This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344.41426152687569</v>
      </c>
    </row>
    <row r="65" spans="1:16" x14ac:dyDescent="0.3">
      <c r="A65">
        <v>5</v>
      </c>
      <c r="B65">
        <v>64</v>
      </c>
      <c r="C65">
        <v>1</v>
      </c>
      <c r="D65">
        <v>6</v>
      </c>
      <c r="E65">
        <v>2</v>
      </c>
      <c r="F65">
        <v>490</v>
      </c>
      <c r="P65" s="6">
        <f>$I$6*A65+$J$6*Student_Performance__2[[#This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85.946085528523724</v>
      </c>
    </row>
    <row r="66" spans="1:16" x14ac:dyDescent="0.3">
      <c r="A66">
        <v>2</v>
      </c>
      <c r="B66">
        <v>64</v>
      </c>
      <c r="C66">
        <v>1</v>
      </c>
      <c r="D66">
        <v>6</v>
      </c>
      <c r="E66">
        <v>5</v>
      </c>
      <c r="F66">
        <v>410</v>
      </c>
      <c r="P66" s="6">
        <f>$I$6*A66+$J$6*Student_Performance__2[[#This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165.73756833124628</v>
      </c>
    </row>
    <row r="67" spans="1:16" x14ac:dyDescent="0.3">
      <c r="A67">
        <v>5</v>
      </c>
      <c r="B67">
        <v>88</v>
      </c>
      <c r="C67">
        <v>0</v>
      </c>
      <c r="D67">
        <v>5</v>
      </c>
      <c r="E67">
        <v>2</v>
      </c>
      <c r="F67">
        <v>710</v>
      </c>
      <c r="P67" s="6">
        <f>$I$6*A67+$J$6*Student_Performance__2[[#This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180.9757089575466</v>
      </c>
    </row>
    <row r="68" spans="1:16" x14ac:dyDescent="0.3">
      <c r="A68">
        <v>8</v>
      </c>
      <c r="B68">
        <v>60</v>
      </c>
      <c r="C68">
        <v>0</v>
      </c>
      <c r="D68">
        <v>4</v>
      </c>
      <c r="E68">
        <v>7</v>
      </c>
      <c r="F68">
        <v>540</v>
      </c>
      <c r="P68" s="6">
        <f>$I$6*A68+$J$6*Student_Performance__2[[#This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190.92873208772158</v>
      </c>
    </row>
    <row r="69" spans="1:16" x14ac:dyDescent="0.3">
      <c r="A69">
        <v>9</v>
      </c>
      <c r="B69">
        <v>48</v>
      </c>
      <c r="C69">
        <v>0</v>
      </c>
      <c r="D69">
        <v>4</v>
      </c>
      <c r="E69">
        <v>3</v>
      </c>
      <c r="F69">
        <v>420</v>
      </c>
      <c r="P69" s="6">
        <f>$I$6*A69+$J$6*Student_Performance__2[[#This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22.879335908350413</v>
      </c>
    </row>
    <row r="70" spans="1:16" x14ac:dyDescent="0.3">
      <c r="A70">
        <v>9</v>
      </c>
      <c r="B70">
        <v>94</v>
      </c>
      <c r="C70">
        <v>0</v>
      </c>
      <c r="D70">
        <v>9</v>
      </c>
      <c r="E70">
        <v>1</v>
      </c>
      <c r="F70">
        <v>910</v>
      </c>
      <c r="P70" s="6">
        <f>$I$6*A70+$J$6*Student_Performance__2[[#This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229.2450722205345</v>
      </c>
    </row>
    <row r="71" spans="1:16" x14ac:dyDescent="0.3">
      <c r="A71">
        <v>1</v>
      </c>
      <c r="B71">
        <v>87</v>
      </c>
      <c r="C71">
        <v>1</v>
      </c>
      <c r="D71">
        <v>8</v>
      </c>
      <c r="E71">
        <v>8</v>
      </c>
      <c r="F71">
        <v>610</v>
      </c>
      <c r="P71" s="6">
        <f>$I$6*A71+$J$6*Student_Performance__2[[#This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376.40788924253576</v>
      </c>
    </row>
    <row r="72" spans="1:16" x14ac:dyDescent="0.3">
      <c r="A72">
        <v>9</v>
      </c>
      <c r="B72">
        <v>77</v>
      </c>
      <c r="C72">
        <v>0</v>
      </c>
      <c r="D72">
        <v>9</v>
      </c>
      <c r="E72">
        <v>9</v>
      </c>
      <c r="F72">
        <v>740</v>
      </c>
      <c r="P72" s="6">
        <f>$I$6*A72+$J$6*Student_Performance__2[[#This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380.0471210478442</v>
      </c>
    </row>
    <row r="73" spans="1:16" x14ac:dyDescent="0.3">
      <c r="A73">
        <v>7</v>
      </c>
      <c r="B73">
        <v>61</v>
      </c>
      <c r="C73">
        <v>1</v>
      </c>
      <c r="D73">
        <v>4</v>
      </c>
      <c r="E73">
        <v>7</v>
      </c>
      <c r="F73">
        <v>540</v>
      </c>
      <c r="P73" s="6">
        <f>$I$6*A73+$J$6*Student_Performance__2[[#This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199.10750147507946</v>
      </c>
    </row>
    <row r="74" spans="1:16" x14ac:dyDescent="0.3">
      <c r="A74">
        <v>9</v>
      </c>
      <c r="B74">
        <v>82</v>
      </c>
      <c r="C74">
        <v>1</v>
      </c>
      <c r="D74">
        <v>5</v>
      </c>
      <c r="E74">
        <v>5</v>
      </c>
      <c r="F74">
        <v>810</v>
      </c>
      <c r="P74" s="6">
        <f>$I$6*A74+$J$6*Student_Performance__2[[#This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253.17560246557554</v>
      </c>
    </row>
    <row r="75" spans="1:16" x14ac:dyDescent="0.3">
      <c r="A75">
        <v>8</v>
      </c>
      <c r="B75">
        <v>62</v>
      </c>
      <c r="C75">
        <v>1</v>
      </c>
      <c r="D75">
        <v>4</v>
      </c>
      <c r="E75">
        <v>2</v>
      </c>
      <c r="F75">
        <v>520</v>
      </c>
      <c r="P75" s="6">
        <f>$I$6*A75+$J$6*Student_Performance__2[[#This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62.455656153759662</v>
      </c>
    </row>
    <row r="76" spans="1:16" x14ac:dyDescent="0.3">
      <c r="A76">
        <v>1</v>
      </c>
      <c r="B76">
        <v>88</v>
      </c>
      <c r="C76">
        <v>1</v>
      </c>
      <c r="D76">
        <v>9</v>
      </c>
      <c r="E76">
        <v>1</v>
      </c>
      <c r="F76">
        <v>650</v>
      </c>
      <c r="P76" s="6">
        <f>$I$6*A76+$J$6*Student_Performance__2[[#This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190.57900050119525</v>
      </c>
    </row>
    <row r="77" spans="1:16" x14ac:dyDescent="0.3">
      <c r="A77">
        <v>8</v>
      </c>
      <c r="B77">
        <v>43</v>
      </c>
      <c r="C77">
        <v>1</v>
      </c>
      <c r="D77">
        <v>7</v>
      </c>
      <c r="E77">
        <v>3</v>
      </c>
      <c r="F77">
        <v>360</v>
      </c>
      <c r="P77" s="6">
        <f>$I$6*A77+$J$6*Student_Performance__2[[#This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34.031702117139162</v>
      </c>
    </row>
    <row r="78" spans="1:16" x14ac:dyDescent="0.3">
      <c r="A78">
        <v>8</v>
      </c>
      <c r="B78">
        <v>68</v>
      </c>
      <c r="C78">
        <v>0</v>
      </c>
      <c r="D78">
        <v>7</v>
      </c>
      <c r="E78">
        <v>3</v>
      </c>
      <c r="F78">
        <v>610</v>
      </c>
      <c r="P78" s="6">
        <f>$I$6*A78+$J$6*Student_Performance__2[[#This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143.91398847600874</v>
      </c>
    </row>
    <row r="79" spans="1:16" x14ac:dyDescent="0.3">
      <c r="A79">
        <v>3</v>
      </c>
      <c r="B79">
        <v>54</v>
      </c>
      <c r="C79">
        <v>1</v>
      </c>
      <c r="D79">
        <v>5</v>
      </c>
      <c r="E79">
        <v>0</v>
      </c>
      <c r="F79">
        <v>350</v>
      </c>
      <c r="P79" s="6">
        <f>$I$6*A79+$J$6*Student_Performance__2[[#This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-31.97181988448574</v>
      </c>
    </row>
    <row r="80" spans="1:16" x14ac:dyDescent="0.3">
      <c r="A80">
        <v>1</v>
      </c>
      <c r="B80">
        <v>40</v>
      </c>
      <c r="C80">
        <v>1</v>
      </c>
      <c r="D80">
        <v>8</v>
      </c>
      <c r="E80">
        <v>8</v>
      </c>
      <c r="F80">
        <v>150</v>
      </c>
      <c r="P80" s="6">
        <f>$I$6*A80+$J$6*Student_Performance__2[[#This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159.24495340907765</v>
      </c>
    </row>
    <row r="81" spans="1:16" x14ac:dyDescent="0.3">
      <c r="A81">
        <v>8</v>
      </c>
      <c r="B81">
        <v>93</v>
      </c>
      <c r="C81">
        <v>1</v>
      </c>
      <c r="D81">
        <v>6</v>
      </c>
      <c r="E81">
        <v>9</v>
      </c>
      <c r="F81">
        <v>880</v>
      </c>
      <c r="P81" s="6">
        <f>$I$6*A81+$J$6*Student_Performance__2[[#This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426.8366855818802</v>
      </c>
    </row>
    <row r="82" spans="1:16" x14ac:dyDescent="0.3">
      <c r="A82">
        <v>3</v>
      </c>
      <c r="B82">
        <v>69</v>
      </c>
      <c r="C82">
        <v>0</v>
      </c>
      <c r="D82">
        <v>4</v>
      </c>
      <c r="E82">
        <v>7</v>
      </c>
      <c r="F82">
        <v>450</v>
      </c>
      <c r="P82" s="6">
        <f>$I$6*A82+$J$6*Student_Performance__2[[#This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222.15496324761529</v>
      </c>
    </row>
    <row r="83" spans="1:16" x14ac:dyDescent="0.3">
      <c r="A83">
        <v>3</v>
      </c>
      <c r="B83">
        <v>68</v>
      </c>
      <c r="C83">
        <v>1</v>
      </c>
      <c r="D83">
        <v>9</v>
      </c>
      <c r="E83">
        <v>6</v>
      </c>
      <c r="F83">
        <v>490</v>
      </c>
      <c r="P83" s="6">
        <f>$I$6*A83+$J$6*Student_Performance__2[[#This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245.65647037476964</v>
      </c>
    </row>
    <row r="84" spans="1:16" x14ac:dyDescent="0.3">
      <c r="A84">
        <v>1</v>
      </c>
      <c r="B84">
        <v>59</v>
      </c>
      <c r="C84">
        <v>1</v>
      </c>
      <c r="D84">
        <v>8</v>
      </c>
      <c r="E84">
        <v>5</v>
      </c>
      <c r="F84">
        <v>330</v>
      </c>
      <c r="P84" s="6">
        <f>$I$6*A84+$J$6*Student_Performance__2[[#This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161.02784605410056</v>
      </c>
    </row>
    <row r="85" spans="1:16" x14ac:dyDescent="0.3">
      <c r="A85">
        <v>5</v>
      </c>
      <c r="B85">
        <v>72</v>
      </c>
      <c r="C85">
        <v>1</v>
      </c>
      <c r="D85">
        <v>9</v>
      </c>
      <c r="E85">
        <v>2</v>
      </c>
      <c r="F85">
        <v>600</v>
      </c>
      <c r="P85" s="6">
        <f>$I$6*A85+$J$6*Student_Performance__2[[#This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153.60651430034642</v>
      </c>
    </row>
    <row r="86" spans="1:16" x14ac:dyDescent="0.3">
      <c r="A86">
        <v>7</v>
      </c>
      <c r="B86">
        <v>80</v>
      </c>
      <c r="C86">
        <v>0</v>
      </c>
      <c r="D86">
        <v>8</v>
      </c>
      <c r="E86">
        <v>3</v>
      </c>
      <c r="F86">
        <v>710</v>
      </c>
      <c r="P86" s="6">
        <f>$I$6*A86+$J$6*Student_Performance__2[[#This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207.52038720523439</v>
      </c>
    </row>
    <row r="87" spans="1:16" x14ac:dyDescent="0.3">
      <c r="A87">
        <v>9</v>
      </c>
      <c r="B87">
        <v>83</v>
      </c>
      <c r="C87">
        <v>1</v>
      </c>
      <c r="D87">
        <v>4</v>
      </c>
      <c r="E87">
        <v>1</v>
      </c>
      <c r="F87">
        <v>810</v>
      </c>
      <c r="P87" s="6">
        <f>$I$6*A87+$J$6*Student_Performance__2[[#This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132.88874314510639</v>
      </c>
    </row>
    <row r="88" spans="1:16" x14ac:dyDescent="0.3">
      <c r="A88">
        <v>7</v>
      </c>
      <c r="B88">
        <v>75</v>
      </c>
      <c r="C88">
        <v>0</v>
      </c>
      <c r="D88">
        <v>6</v>
      </c>
      <c r="E88">
        <v>6</v>
      </c>
      <c r="F88">
        <v>670</v>
      </c>
      <c r="P88" s="6">
        <f>$I$6*A88+$J$6*Student_Performance__2[[#This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249.95997664382315</v>
      </c>
    </row>
    <row r="89" spans="1:16" x14ac:dyDescent="0.3">
      <c r="A89">
        <v>9</v>
      </c>
      <c r="B89">
        <v>99</v>
      </c>
      <c r="C89">
        <v>0</v>
      </c>
      <c r="D89">
        <v>4</v>
      </c>
      <c r="E89">
        <v>1</v>
      </c>
      <c r="F89">
        <v>950</v>
      </c>
      <c r="P89" s="6">
        <f>$I$6*A89+$J$6*Student_Performance__2[[#This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201.18663753586696</v>
      </c>
    </row>
    <row r="90" spans="1:16" x14ac:dyDescent="0.3">
      <c r="A90">
        <v>8</v>
      </c>
      <c r="B90">
        <v>61</v>
      </c>
      <c r="C90">
        <v>1</v>
      </c>
      <c r="D90">
        <v>6</v>
      </c>
      <c r="E90">
        <v>9</v>
      </c>
      <c r="F90">
        <v>580</v>
      </c>
      <c r="P90" s="6">
        <f>$I$6*A90+$J$6*Student_Performance__2[[#This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278.98106969527038</v>
      </c>
    </row>
    <row r="91" spans="1:16" x14ac:dyDescent="0.3">
      <c r="A91">
        <v>2</v>
      </c>
      <c r="B91">
        <v>52</v>
      </c>
      <c r="C91">
        <v>0</v>
      </c>
      <c r="D91">
        <v>9</v>
      </c>
      <c r="E91">
        <v>0</v>
      </c>
      <c r="F91">
        <v>290</v>
      </c>
      <c r="P91" s="6">
        <f>$I$6*A91+$J$6*Student_Performance__2[[#This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-7.9856418580259856</v>
      </c>
    </row>
    <row r="92" spans="1:16" x14ac:dyDescent="0.3">
      <c r="A92">
        <v>1</v>
      </c>
      <c r="B92">
        <v>46</v>
      </c>
      <c r="C92">
        <v>0</v>
      </c>
      <c r="D92">
        <v>5</v>
      </c>
      <c r="E92">
        <v>5</v>
      </c>
      <c r="F92">
        <v>210</v>
      </c>
      <c r="P92" s="6">
        <f>$I$6*A92+$J$6*Student_Performance__2[[#This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64.635063747450715</v>
      </c>
    </row>
    <row r="93" spans="1:16" x14ac:dyDescent="0.3">
      <c r="A93">
        <v>7</v>
      </c>
      <c r="B93">
        <v>47</v>
      </c>
      <c r="C93">
        <v>1</v>
      </c>
      <c r="D93">
        <v>6</v>
      </c>
      <c r="E93">
        <v>3</v>
      </c>
      <c r="F93">
        <v>380</v>
      </c>
      <c r="P93" s="6">
        <f>$I$6*A93+$J$6*Student_Performance__2[[#This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40.209847007932296</v>
      </c>
    </row>
    <row r="94" spans="1:16" x14ac:dyDescent="0.3">
      <c r="A94">
        <v>7</v>
      </c>
      <c r="B94">
        <v>67</v>
      </c>
      <c r="C94">
        <v>1</v>
      </c>
      <c r="D94">
        <v>8</v>
      </c>
      <c r="E94">
        <v>7</v>
      </c>
      <c r="F94">
        <v>600</v>
      </c>
      <c r="P94" s="6">
        <f>$I$6*A94+$J$6*Student_Performance__2[[#This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267.75912918737907</v>
      </c>
    </row>
    <row r="95" spans="1:16" x14ac:dyDescent="0.3">
      <c r="A95">
        <v>8</v>
      </c>
      <c r="B95">
        <v>84</v>
      </c>
      <c r="C95">
        <v>1</v>
      </c>
      <c r="D95">
        <v>5</v>
      </c>
      <c r="E95">
        <v>0</v>
      </c>
      <c r="F95">
        <v>760</v>
      </c>
      <c r="P95" s="6">
        <f>$I$6*A95+$J$6*Student_Performance__2[[#This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117.00098081742618</v>
      </c>
    </row>
    <row r="96" spans="1:16" x14ac:dyDescent="0.3">
      <c r="A96">
        <v>5</v>
      </c>
      <c r="B96">
        <v>82</v>
      </c>
      <c r="C96">
        <v>1</v>
      </c>
      <c r="D96">
        <v>9</v>
      </c>
      <c r="E96">
        <v>8</v>
      </c>
      <c r="F96">
        <v>690</v>
      </c>
      <c r="P96" s="6">
        <f>$I$6*A96+$J$6*Student_Performance__2[[#This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371.82415284021528</v>
      </c>
    </row>
    <row r="97" spans="1:16" x14ac:dyDescent="0.3">
      <c r="A97">
        <v>3</v>
      </c>
      <c r="B97">
        <v>48</v>
      </c>
      <c r="C97">
        <v>0</v>
      </c>
      <c r="D97">
        <v>7</v>
      </c>
      <c r="E97">
        <v>5</v>
      </c>
      <c r="F97">
        <v>300</v>
      </c>
      <c r="P97" s="6">
        <f>$I$6*A97+$J$6*Student_Performance__2[[#This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98.483653930430137</v>
      </c>
    </row>
    <row r="98" spans="1:16" x14ac:dyDescent="0.3">
      <c r="A98">
        <v>8</v>
      </c>
      <c r="B98">
        <v>64</v>
      </c>
      <c r="C98">
        <v>0</v>
      </c>
      <c r="D98">
        <v>5</v>
      </c>
      <c r="E98">
        <v>1</v>
      </c>
      <c r="F98">
        <v>570</v>
      </c>
      <c r="P98" s="6">
        <f>$I$6*A98+$J$6*Student_Performance__2[[#This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47.63010043163456</v>
      </c>
    </row>
    <row r="99" spans="1:16" x14ac:dyDescent="0.3">
      <c r="A99">
        <v>6</v>
      </c>
      <c r="B99">
        <v>95</v>
      </c>
      <c r="C99">
        <v>1</v>
      </c>
      <c r="D99">
        <v>6</v>
      </c>
      <c r="E99">
        <v>7</v>
      </c>
      <c r="F99">
        <v>810</v>
      </c>
      <c r="P99" s="6">
        <f>$I$6*A99+$J$6*Student_Performance__2[[#This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374.59681105973942</v>
      </c>
    </row>
    <row r="100" spans="1:16" x14ac:dyDescent="0.3">
      <c r="A100">
        <v>3</v>
      </c>
      <c r="B100">
        <v>55</v>
      </c>
      <c r="C100">
        <v>1</v>
      </c>
      <c r="D100">
        <v>5</v>
      </c>
      <c r="E100">
        <v>4</v>
      </c>
      <c r="F100">
        <v>360</v>
      </c>
      <c r="P100" s="6">
        <f>$I$6*A100+$J$6*Student_Performance__2[[#This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87.323840495506374</v>
      </c>
    </row>
    <row r="101" spans="1:16" x14ac:dyDescent="0.3">
      <c r="A101">
        <v>1</v>
      </c>
      <c r="B101">
        <v>49</v>
      </c>
      <c r="C101">
        <v>1</v>
      </c>
      <c r="D101">
        <v>9</v>
      </c>
      <c r="E101">
        <v>4</v>
      </c>
      <c r="F101">
        <v>250</v>
      </c>
      <c r="P101" s="6">
        <f>$I$6*A101+$J$6*Student_Performance__2[[#This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96.386347927041186</v>
      </c>
    </row>
    <row r="102" spans="1:16" x14ac:dyDescent="0.3">
      <c r="A102">
        <v>3</v>
      </c>
      <c r="B102">
        <v>50</v>
      </c>
      <c r="C102">
        <v>0</v>
      </c>
      <c r="D102">
        <v>5</v>
      </c>
      <c r="E102">
        <v>4</v>
      </c>
      <c r="F102">
        <v>270</v>
      </c>
      <c r="P102" s="6">
        <f>$I$6*A102+$J$6*Student_Performance__2[[#This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58.591486960679219</v>
      </c>
    </row>
    <row r="103" spans="1:16" x14ac:dyDescent="0.3">
      <c r="A103">
        <v>5</v>
      </c>
      <c r="B103">
        <v>70</v>
      </c>
      <c r="C103">
        <v>1</v>
      </c>
      <c r="D103">
        <v>9</v>
      </c>
      <c r="E103">
        <v>6</v>
      </c>
      <c r="F103">
        <v>610</v>
      </c>
      <c r="P103" s="6">
        <f>$I$6*A103+$J$6*Student_Performance__2[[#This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259.04071069096887</v>
      </c>
    </row>
    <row r="104" spans="1:16" x14ac:dyDescent="0.3">
      <c r="A104">
        <v>3</v>
      </c>
      <c r="B104">
        <v>51</v>
      </c>
      <c r="C104">
        <v>0</v>
      </c>
      <c r="D104">
        <v>7</v>
      </c>
      <c r="E104">
        <v>6</v>
      </c>
      <c r="F104">
        <v>340</v>
      </c>
      <c r="P104" s="6">
        <f>$I$6*A104+$J$6*Student_Performance__2[[#This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141.01391101568373</v>
      </c>
    </row>
    <row r="105" spans="1:16" x14ac:dyDescent="0.3">
      <c r="A105">
        <v>1</v>
      </c>
      <c r="B105">
        <v>99</v>
      </c>
      <c r="C105">
        <v>0</v>
      </c>
      <c r="D105">
        <v>6</v>
      </c>
      <c r="E105">
        <v>9</v>
      </c>
      <c r="F105">
        <v>760</v>
      </c>
      <c r="P105" s="6">
        <f>$I$6*A105+$J$6*Student_Performance__2[[#This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434.42827487657377</v>
      </c>
    </row>
    <row r="106" spans="1:16" x14ac:dyDescent="0.3">
      <c r="A106">
        <v>5</v>
      </c>
      <c r="B106">
        <v>70</v>
      </c>
      <c r="C106">
        <v>0</v>
      </c>
      <c r="D106">
        <v>8</v>
      </c>
      <c r="E106">
        <v>6</v>
      </c>
      <c r="F106">
        <v>570</v>
      </c>
      <c r="P106" s="6">
        <f>$I$6*A106+$J$6*Student_Performance__2[[#This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243.1786222050344</v>
      </c>
    </row>
    <row r="107" spans="1:16" x14ac:dyDescent="0.3">
      <c r="A107">
        <v>7</v>
      </c>
      <c r="B107">
        <v>53</v>
      </c>
      <c r="C107">
        <v>0</v>
      </c>
      <c r="D107">
        <v>5</v>
      </c>
      <c r="E107">
        <v>9</v>
      </c>
      <c r="F107">
        <v>450</v>
      </c>
      <c r="P107" s="6">
        <f>$I$6*A107+$J$6*Student_Performance__2[[#This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224.0834450760405</v>
      </c>
    </row>
    <row r="108" spans="1:16" x14ac:dyDescent="0.3">
      <c r="A108">
        <v>7</v>
      </c>
      <c r="B108">
        <v>90</v>
      </c>
      <c r="C108">
        <v>1</v>
      </c>
      <c r="D108">
        <v>4</v>
      </c>
      <c r="E108">
        <v>1</v>
      </c>
      <c r="F108">
        <v>760</v>
      </c>
      <c r="P108" s="6">
        <f>$I$6*A108+$J$6*Student_Performance__2[[#This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161.08889479701628</v>
      </c>
    </row>
    <row r="109" spans="1:16" x14ac:dyDescent="0.3">
      <c r="A109">
        <v>9</v>
      </c>
      <c r="B109">
        <v>83</v>
      </c>
      <c r="C109">
        <v>1</v>
      </c>
      <c r="D109">
        <v>8</v>
      </c>
      <c r="E109">
        <v>7</v>
      </c>
      <c r="F109">
        <v>830</v>
      </c>
      <c r="P109" s="6">
        <f>$I$6*A109+$J$6*Student_Performance__2[[#This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345.83020145397012</v>
      </c>
    </row>
    <row r="110" spans="1:16" x14ac:dyDescent="0.3">
      <c r="A110">
        <v>3</v>
      </c>
      <c r="B110">
        <v>71</v>
      </c>
      <c r="C110">
        <v>1</v>
      </c>
      <c r="D110">
        <v>5</v>
      </c>
      <c r="E110">
        <v>0</v>
      </c>
      <c r="F110">
        <v>500</v>
      </c>
      <c r="P110" s="6">
        <f>$I$6*A110+$J$6*Student_Performance__2[[#This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46.576476055275748</v>
      </c>
    </row>
    <row r="111" spans="1:16" x14ac:dyDescent="0.3">
      <c r="A111">
        <v>7</v>
      </c>
      <c r="B111">
        <v>89</v>
      </c>
      <c r="C111">
        <v>0</v>
      </c>
      <c r="D111">
        <v>8</v>
      </c>
      <c r="E111">
        <v>1</v>
      </c>
      <c r="F111">
        <v>810</v>
      </c>
      <c r="P111" s="6">
        <f>$I$6*A111+$J$6*Student_Performance__2[[#This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191.76719298157565</v>
      </c>
    </row>
    <row r="112" spans="1:16" x14ac:dyDescent="0.3">
      <c r="A112">
        <v>1</v>
      </c>
      <c r="B112">
        <v>92</v>
      </c>
      <c r="C112">
        <v>0</v>
      </c>
      <c r="D112">
        <v>4</v>
      </c>
      <c r="E112">
        <v>6</v>
      </c>
      <c r="F112">
        <v>660</v>
      </c>
      <c r="P112" s="6">
        <f>$I$6*A112+$J$6*Student_Performance__2[[#This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295.61412974694605</v>
      </c>
    </row>
    <row r="113" spans="1:16" x14ac:dyDescent="0.3">
      <c r="A113">
        <v>4</v>
      </c>
      <c r="B113">
        <v>56</v>
      </c>
      <c r="C113">
        <v>1</v>
      </c>
      <c r="D113">
        <v>8</v>
      </c>
      <c r="E113">
        <v>3</v>
      </c>
      <c r="F113">
        <v>380</v>
      </c>
      <c r="P113" s="6">
        <f>$I$6*A113+$J$6*Student_Performance__2[[#This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96.043692357892326</v>
      </c>
    </row>
    <row r="114" spans="1:16" x14ac:dyDescent="0.3">
      <c r="A114">
        <v>4</v>
      </c>
      <c r="B114">
        <v>74</v>
      </c>
      <c r="C114">
        <v>0</v>
      </c>
      <c r="D114">
        <v>8</v>
      </c>
      <c r="E114">
        <v>9</v>
      </c>
      <c r="F114">
        <v>560</v>
      </c>
      <c r="P114" s="6">
        <f>$I$6*A114+$J$6*Student_Performance__2[[#This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345.59532131686927</v>
      </c>
    </row>
    <row r="115" spans="1:16" x14ac:dyDescent="0.3">
      <c r="A115">
        <v>5</v>
      </c>
      <c r="B115">
        <v>40</v>
      </c>
      <c r="C115">
        <v>0</v>
      </c>
      <c r="D115">
        <v>4</v>
      </c>
      <c r="E115">
        <v>9</v>
      </c>
      <c r="F115">
        <v>250</v>
      </c>
      <c r="P115" s="6">
        <f>$I$6*A115+$J$6*Student_Performance__2[[#This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149.64166186542906</v>
      </c>
    </row>
    <row r="116" spans="1:16" x14ac:dyDescent="0.3">
      <c r="A116">
        <v>7</v>
      </c>
      <c r="B116">
        <v>68</v>
      </c>
      <c r="C116">
        <v>0</v>
      </c>
      <c r="D116">
        <v>4</v>
      </c>
      <c r="E116">
        <v>8</v>
      </c>
      <c r="F116">
        <v>560</v>
      </c>
      <c r="P116" s="6">
        <f>$I$6*A116+$J$6*Student_Performance__2[[#This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254.4897969936149</v>
      </c>
    </row>
    <row r="117" spans="1:16" x14ac:dyDescent="0.3">
      <c r="A117">
        <v>7</v>
      </c>
      <c r="B117">
        <v>90</v>
      </c>
      <c r="C117">
        <v>1</v>
      </c>
      <c r="D117">
        <v>4</v>
      </c>
      <c r="E117">
        <v>8</v>
      </c>
      <c r="F117">
        <v>820</v>
      </c>
      <c r="P117" s="6">
        <f>$I$6*A117+$J$6*Student_Performance__2[[#This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361.77044646820349</v>
      </c>
    </row>
    <row r="118" spans="1:16" x14ac:dyDescent="0.3">
      <c r="A118">
        <v>4</v>
      </c>
      <c r="B118">
        <v>43</v>
      </c>
      <c r="C118">
        <v>1</v>
      </c>
      <c r="D118">
        <v>7</v>
      </c>
      <c r="E118">
        <v>2</v>
      </c>
      <c r="F118">
        <v>230</v>
      </c>
      <c r="P118" s="6">
        <f>$I$6*A118+$J$6*Student_Performance__2[[#This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-2.9236196253169169</v>
      </c>
    </row>
    <row r="119" spans="1:16" x14ac:dyDescent="0.3">
      <c r="A119">
        <v>7</v>
      </c>
      <c r="B119">
        <v>62</v>
      </c>
      <c r="C119">
        <v>1</v>
      </c>
      <c r="D119">
        <v>9</v>
      </c>
      <c r="E119">
        <v>2</v>
      </c>
      <c r="F119">
        <v>560</v>
      </c>
      <c r="P119" s="6">
        <f>$I$6*A119+$J$6*Student_Performance__2[[#This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111.54489865906697</v>
      </c>
    </row>
    <row r="120" spans="1:16" x14ac:dyDescent="0.3">
      <c r="A120">
        <v>3</v>
      </c>
      <c r="B120">
        <v>67</v>
      </c>
      <c r="C120">
        <v>0</v>
      </c>
      <c r="D120">
        <v>9</v>
      </c>
      <c r="E120">
        <v>8</v>
      </c>
      <c r="F120">
        <v>460</v>
      </c>
      <c r="P120" s="6">
        <f>$I$6*A120+$J$6*Student_Performance__2[[#This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292.74365501753647</v>
      </c>
    </row>
    <row r="121" spans="1:16" x14ac:dyDescent="0.3">
      <c r="A121">
        <v>6</v>
      </c>
      <c r="B121">
        <v>55</v>
      </c>
      <c r="C121">
        <v>1</v>
      </c>
      <c r="D121">
        <v>4</v>
      </c>
      <c r="E121">
        <v>9</v>
      </c>
      <c r="F121">
        <v>430</v>
      </c>
      <c r="P121" s="6">
        <f>$I$6*A121+$J$6*Student_Performance__2[[#This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226.65052752646483</v>
      </c>
    </row>
    <row r="122" spans="1:16" x14ac:dyDescent="0.3">
      <c r="A122">
        <v>2</v>
      </c>
      <c r="B122">
        <v>51</v>
      </c>
      <c r="C122">
        <v>1</v>
      </c>
      <c r="D122">
        <v>9</v>
      </c>
      <c r="E122">
        <v>7</v>
      </c>
      <c r="F122">
        <v>300</v>
      </c>
      <c r="P122" s="6">
        <f>$I$6*A122+$J$6*Student_Performance__2[[#This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193.70533536924898</v>
      </c>
    </row>
    <row r="123" spans="1:16" x14ac:dyDescent="0.3">
      <c r="A123">
        <v>9</v>
      </c>
      <c r="B123">
        <v>92</v>
      </c>
      <c r="C123">
        <v>1</v>
      </c>
      <c r="D123">
        <v>8</v>
      </c>
      <c r="E123">
        <v>0</v>
      </c>
      <c r="F123">
        <v>920</v>
      </c>
      <c r="P123" s="6">
        <f>$I$6*A123+$J$6*Student_Performance__2[[#This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186.73304175089191</v>
      </c>
    </row>
    <row r="124" spans="1:16" x14ac:dyDescent="0.3">
      <c r="A124">
        <v>5</v>
      </c>
      <c r="B124">
        <v>60</v>
      </c>
      <c r="C124">
        <v>0</v>
      </c>
      <c r="D124">
        <v>4</v>
      </c>
      <c r="E124">
        <v>5</v>
      </c>
      <c r="F124">
        <v>450</v>
      </c>
      <c r="P124" s="6">
        <f>$I$6*A124+$J$6*Student_Performance__2[[#This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127.37624941102456</v>
      </c>
    </row>
    <row r="125" spans="1:16" x14ac:dyDescent="0.3">
      <c r="A125">
        <v>6</v>
      </c>
      <c r="B125">
        <v>84</v>
      </c>
      <c r="C125">
        <v>0</v>
      </c>
      <c r="D125">
        <v>5</v>
      </c>
      <c r="E125">
        <v>6</v>
      </c>
      <c r="F125">
        <v>700</v>
      </c>
      <c r="P125" s="6">
        <f>$I$6*A125+$J$6*Student_Performance__2[[#This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279.24056151689905</v>
      </c>
    </row>
    <row r="126" spans="1:16" x14ac:dyDescent="0.3">
      <c r="A126">
        <v>4</v>
      </c>
      <c r="B126">
        <v>56</v>
      </c>
      <c r="C126">
        <v>0</v>
      </c>
      <c r="D126">
        <v>4</v>
      </c>
      <c r="E126">
        <v>7</v>
      </c>
      <c r="F126">
        <v>360</v>
      </c>
      <c r="P126" s="6">
        <f>$I$6*A126+$J$6*Student_Performance__2[[#This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164.16025145532313</v>
      </c>
    </row>
    <row r="127" spans="1:16" x14ac:dyDescent="0.3">
      <c r="A127">
        <v>7</v>
      </c>
      <c r="B127">
        <v>79</v>
      </c>
      <c r="C127">
        <v>0</v>
      </c>
      <c r="D127">
        <v>4</v>
      </c>
      <c r="E127">
        <v>1</v>
      </c>
      <c r="F127">
        <v>710</v>
      </c>
      <c r="P127" s="6">
        <f>$I$6*A127+$J$6*Student_Performance__2[[#This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104.63361328344973</v>
      </c>
    </row>
    <row r="128" spans="1:16" x14ac:dyDescent="0.3">
      <c r="A128">
        <v>9</v>
      </c>
      <c r="B128">
        <v>52</v>
      </c>
      <c r="C128">
        <v>0</v>
      </c>
      <c r="D128">
        <v>9</v>
      </c>
      <c r="E128">
        <v>0</v>
      </c>
      <c r="F128">
        <v>490</v>
      </c>
      <c r="P128" s="6">
        <f>$I$6*A128+$J$6*Student_Performance__2[[#This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6.5157832734753356</v>
      </c>
    </row>
    <row r="129" spans="1:16" x14ac:dyDescent="0.3">
      <c r="A129">
        <v>7</v>
      </c>
      <c r="B129">
        <v>91</v>
      </c>
      <c r="C129">
        <v>1</v>
      </c>
      <c r="D129">
        <v>6</v>
      </c>
      <c r="E129">
        <v>3</v>
      </c>
      <c r="F129">
        <v>820</v>
      </c>
      <c r="P129" s="6">
        <f>$I$6*A129+$J$6*Student_Performance__2[[#This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243.51131885202079</v>
      </c>
    </row>
    <row r="130" spans="1:16" x14ac:dyDescent="0.3">
      <c r="A130">
        <v>1</v>
      </c>
      <c r="B130">
        <v>97</v>
      </c>
      <c r="C130">
        <v>1</v>
      </c>
      <c r="D130">
        <v>8</v>
      </c>
      <c r="E130">
        <v>0</v>
      </c>
      <c r="F130">
        <v>710</v>
      </c>
      <c r="P130" s="6">
        <f>$I$6*A130+$J$6*Student_Performance__2[[#This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193.26242444003032</v>
      </c>
    </row>
    <row r="131" spans="1:16" x14ac:dyDescent="0.3">
      <c r="A131">
        <v>1</v>
      </c>
      <c r="B131">
        <v>71</v>
      </c>
      <c r="C131">
        <v>0</v>
      </c>
      <c r="D131">
        <v>9</v>
      </c>
      <c r="E131">
        <v>1</v>
      </c>
      <c r="F131">
        <v>430</v>
      </c>
      <c r="P131" s="6">
        <f>$I$6*A131+$J$6*Student_Performance__2[[#This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106.40079100888937</v>
      </c>
    </row>
    <row r="132" spans="1:16" x14ac:dyDescent="0.3">
      <c r="A132">
        <v>9</v>
      </c>
      <c r="B132">
        <v>76</v>
      </c>
      <c r="C132">
        <v>0</v>
      </c>
      <c r="D132">
        <v>8</v>
      </c>
      <c r="E132">
        <v>2</v>
      </c>
      <c r="F132">
        <v>770</v>
      </c>
      <c r="P132" s="6">
        <f>$I$6*A132+$J$6*Student_Performance__2[[#This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164.5129064468104</v>
      </c>
    </row>
    <row r="133" spans="1:16" x14ac:dyDescent="0.3">
      <c r="A133">
        <v>9</v>
      </c>
      <c r="B133">
        <v>89</v>
      </c>
      <c r="C133">
        <v>1</v>
      </c>
      <c r="D133">
        <v>5</v>
      </c>
      <c r="E133">
        <v>3</v>
      </c>
      <c r="F133">
        <v>860</v>
      </c>
      <c r="P133" s="6">
        <f>$I$6*A133+$J$6*Student_Performance__2[[#This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228.18143224900365</v>
      </c>
    </row>
    <row r="134" spans="1:16" x14ac:dyDescent="0.3">
      <c r="A134">
        <v>4</v>
      </c>
      <c r="B134">
        <v>54</v>
      </c>
      <c r="C134">
        <v>0</v>
      </c>
      <c r="D134">
        <v>7</v>
      </c>
      <c r="E134">
        <v>5</v>
      </c>
      <c r="F134">
        <v>340</v>
      </c>
      <c r="P134" s="6">
        <f>$I$6*A134+$J$6*Student_Performance__2[[#This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128.27821407081251</v>
      </c>
    </row>
    <row r="135" spans="1:16" x14ac:dyDescent="0.3">
      <c r="A135">
        <v>9</v>
      </c>
      <c r="B135">
        <v>51</v>
      </c>
      <c r="C135">
        <v>0</v>
      </c>
      <c r="D135">
        <v>6</v>
      </c>
      <c r="E135">
        <v>7</v>
      </c>
      <c r="F135">
        <v>490</v>
      </c>
      <c r="P135" s="6">
        <f>$I$6*A135+$J$6*Student_Performance__2[[#This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171.88032214803587</v>
      </c>
    </row>
    <row r="136" spans="1:16" x14ac:dyDescent="0.3">
      <c r="A136">
        <v>3</v>
      </c>
      <c r="B136">
        <v>88</v>
      </c>
      <c r="C136">
        <v>0</v>
      </c>
      <c r="D136">
        <v>5</v>
      </c>
      <c r="E136">
        <v>8</v>
      </c>
      <c r="F136">
        <v>690</v>
      </c>
      <c r="P136" s="6">
        <f>$I$6*A136+$J$6*Student_Performance__2[[#This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348.84520320956386</v>
      </c>
    </row>
    <row r="137" spans="1:16" x14ac:dyDescent="0.3">
      <c r="A137">
        <v>7</v>
      </c>
      <c r="B137">
        <v>96</v>
      </c>
      <c r="C137">
        <v>0</v>
      </c>
      <c r="D137">
        <v>5</v>
      </c>
      <c r="E137">
        <v>3</v>
      </c>
      <c r="F137">
        <v>840</v>
      </c>
      <c r="P137" s="6">
        <f>$I$6*A137+$J$6*Student_Performance__2[[#This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250.75167034836903</v>
      </c>
    </row>
    <row r="138" spans="1:16" x14ac:dyDescent="0.3">
      <c r="A138">
        <v>6</v>
      </c>
      <c r="B138">
        <v>54</v>
      </c>
      <c r="C138">
        <v>0</v>
      </c>
      <c r="D138">
        <v>8</v>
      </c>
      <c r="E138">
        <v>0</v>
      </c>
      <c r="F138">
        <v>410</v>
      </c>
      <c r="P138" s="6">
        <f>$I$6*A138+$J$6*Student_Performance__2[[#This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-0.69031215193075468</v>
      </c>
    </row>
    <row r="139" spans="1:16" x14ac:dyDescent="0.3">
      <c r="A139">
        <v>8</v>
      </c>
      <c r="B139">
        <v>73</v>
      </c>
      <c r="C139">
        <v>1</v>
      </c>
      <c r="D139">
        <v>6</v>
      </c>
      <c r="E139">
        <v>4</v>
      </c>
      <c r="F139">
        <v>680</v>
      </c>
      <c r="P139" s="6">
        <f>$I$6*A139+$J$6*Student_Performance__2[[#This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191.0829601733297</v>
      </c>
    </row>
    <row r="140" spans="1:16" x14ac:dyDescent="0.3">
      <c r="A140">
        <v>9</v>
      </c>
      <c r="B140">
        <v>45</v>
      </c>
      <c r="C140">
        <v>1</v>
      </c>
      <c r="D140">
        <v>8</v>
      </c>
      <c r="E140">
        <v>4</v>
      </c>
      <c r="F140">
        <v>440</v>
      </c>
      <c r="P140" s="6">
        <f>$I$6*A140+$J$6*Student_Performance__2[[#This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84.245278300969289</v>
      </c>
    </row>
    <row r="141" spans="1:16" x14ac:dyDescent="0.3">
      <c r="A141">
        <v>5</v>
      </c>
      <c r="B141">
        <v>56</v>
      </c>
      <c r="C141">
        <v>0</v>
      </c>
      <c r="D141">
        <v>7</v>
      </c>
      <c r="E141">
        <v>8</v>
      </c>
      <c r="F141">
        <v>410</v>
      </c>
      <c r="P141" s="6">
        <f>$I$6*A141+$J$6*Student_Performance__2[[#This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225.59720151302025</v>
      </c>
    </row>
    <row r="142" spans="1:16" x14ac:dyDescent="0.3">
      <c r="A142">
        <v>1</v>
      </c>
      <c r="B142">
        <v>87</v>
      </c>
      <c r="C142">
        <v>0</v>
      </c>
      <c r="D142">
        <v>8</v>
      </c>
      <c r="E142">
        <v>5</v>
      </c>
      <c r="F142">
        <v>580</v>
      </c>
      <c r="P142" s="6">
        <f>$I$6*A142+$J$6*Student_Performance__2[[#This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284.77159640233975</v>
      </c>
    </row>
    <row r="143" spans="1:16" x14ac:dyDescent="0.3">
      <c r="A143">
        <v>3</v>
      </c>
      <c r="B143">
        <v>88</v>
      </c>
      <c r="C143">
        <v>1</v>
      </c>
      <c r="D143">
        <v>4</v>
      </c>
      <c r="E143">
        <v>4</v>
      </c>
      <c r="F143">
        <v>680</v>
      </c>
      <c r="P143" s="6">
        <f>$I$6*A143+$J$6*Student_Performance__2[[#This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229.56776944518259</v>
      </c>
    </row>
    <row r="144" spans="1:16" x14ac:dyDescent="0.3">
      <c r="A144">
        <v>8</v>
      </c>
      <c r="B144">
        <v>96</v>
      </c>
      <c r="C144">
        <v>0</v>
      </c>
      <c r="D144">
        <v>8</v>
      </c>
      <c r="E144">
        <v>9</v>
      </c>
      <c r="F144">
        <v>940</v>
      </c>
      <c r="P144" s="6">
        <f>$I$6*A144+$J$6*Student_Performance__2[[#This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455.53258588548562</v>
      </c>
    </row>
    <row r="145" spans="1:16" x14ac:dyDescent="0.3">
      <c r="A145">
        <v>6</v>
      </c>
      <c r="B145">
        <v>59</v>
      </c>
      <c r="C145">
        <v>1</v>
      </c>
      <c r="D145">
        <v>4</v>
      </c>
      <c r="E145">
        <v>9</v>
      </c>
      <c r="F145">
        <v>470</v>
      </c>
      <c r="P145" s="6">
        <f>$I$6*A145+$J$6*Student_Performance__2[[#This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245.13247951229113</v>
      </c>
    </row>
    <row r="146" spans="1:16" x14ac:dyDescent="0.3">
      <c r="A146">
        <v>8</v>
      </c>
      <c r="B146">
        <v>48</v>
      </c>
      <c r="C146">
        <v>0</v>
      </c>
      <c r="D146">
        <v>5</v>
      </c>
      <c r="E146">
        <v>4</v>
      </c>
      <c r="F146">
        <v>400</v>
      </c>
      <c r="P146" s="6">
        <f>$I$6*A146+$J$6*Student_Performance__2[[#This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59.708671775981315</v>
      </c>
    </row>
    <row r="147" spans="1:16" x14ac:dyDescent="0.3">
      <c r="A147">
        <v>9</v>
      </c>
      <c r="B147">
        <v>98</v>
      </c>
      <c r="C147">
        <v>1</v>
      </c>
      <c r="D147">
        <v>7</v>
      </c>
      <c r="E147">
        <v>7</v>
      </c>
      <c r="F147">
        <v>1000</v>
      </c>
      <c r="P147" s="6">
        <f>$I$6*A147+$J$6*Student_Performance__2[[#This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404.90534646742839</v>
      </c>
    </row>
    <row r="148" spans="1:16" x14ac:dyDescent="0.3">
      <c r="A148">
        <v>4</v>
      </c>
      <c r="B148">
        <v>44</v>
      </c>
      <c r="C148">
        <v>1</v>
      </c>
      <c r="D148">
        <v>9</v>
      </c>
      <c r="E148">
        <v>0</v>
      </c>
      <c r="F148">
        <v>230</v>
      </c>
      <c r="P148" s="6">
        <f>$I$6*A148+$J$6*Student_Performance__2[[#This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-35.176367953848001</v>
      </c>
    </row>
    <row r="149" spans="1:16" x14ac:dyDescent="0.3">
      <c r="A149">
        <v>1</v>
      </c>
      <c r="B149">
        <v>62</v>
      </c>
      <c r="C149">
        <v>0</v>
      </c>
      <c r="D149">
        <v>4</v>
      </c>
      <c r="E149">
        <v>4</v>
      </c>
      <c r="F149">
        <v>360</v>
      </c>
      <c r="P149" s="6">
        <f>$I$6*A149+$J$6*Student_Performance__2[[#This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99.661903661481688</v>
      </c>
    </row>
    <row r="150" spans="1:16" x14ac:dyDescent="0.3">
      <c r="A150">
        <v>1</v>
      </c>
      <c r="B150">
        <v>72</v>
      </c>
      <c r="C150">
        <v>0</v>
      </c>
      <c r="D150">
        <v>7</v>
      </c>
      <c r="E150">
        <v>0</v>
      </c>
      <c r="F150">
        <v>470</v>
      </c>
      <c r="P150" s="6">
        <f>$I$6*A150+$J$6*Student_Performance__2[[#This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61.888136042681879</v>
      </c>
    </row>
    <row r="151" spans="1:16" x14ac:dyDescent="0.3">
      <c r="A151">
        <v>4</v>
      </c>
      <c r="B151">
        <v>77</v>
      </c>
      <c r="C151">
        <v>1</v>
      </c>
      <c r="D151">
        <v>8</v>
      </c>
      <c r="E151">
        <v>6</v>
      </c>
      <c r="F151">
        <v>600</v>
      </c>
      <c r="P151" s="6">
        <f>$I$6*A151+$J$6*Student_Performance__2[[#This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279.08031957113161</v>
      </c>
    </row>
    <row r="152" spans="1:16" x14ac:dyDescent="0.3">
      <c r="A152">
        <v>7</v>
      </c>
      <c r="B152">
        <v>95</v>
      </c>
      <c r="C152">
        <v>0</v>
      </c>
      <c r="D152">
        <v>9</v>
      </c>
      <c r="E152">
        <v>6</v>
      </c>
      <c r="F152">
        <v>830</v>
      </c>
      <c r="P152" s="6">
        <f>$I$6*A152+$J$6*Student_Performance__2[[#This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373.06626137312452</v>
      </c>
    </row>
    <row r="153" spans="1:16" x14ac:dyDescent="0.3">
      <c r="A153">
        <v>2</v>
      </c>
      <c r="B153">
        <v>53</v>
      </c>
      <c r="C153">
        <v>1</v>
      </c>
      <c r="D153">
        <v>8</v>
      </c>
      <c r="E153">
        <v>9</v>
      </c>
      <c r="F153">
        <v>330</v>
      </c>
      <c r="P153" s="6">
        <f>$I$6*A153+$J$6*Student_Performance__2[[#This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250.05172262053981</v>
      </c>
    </row>
    <row r="154" spans="1:16" x14ac:dyDescent="0.3">
      <c r="A154">
        <v>3</v>
      </c>
      <c r="B154">
        <v>56</v>
      </c>
      <c r="C154">
        <v>0</v>
      </c>
      <c r="D154">
        <v>5</v>
      </c>
      <c r="E154">
        <v>7</v>
      </c>
      <c r="F154">
        <v>360</v>
      </c>
      <c r="P154" s="6">
        <f>$I$6*A154+$J$6*Student_Performance__2[[#This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172.32079422707028</v>
      </c>
    </row>
    <row r="155" spans="1:16" x14ac:dyDescent="0.3">
      <c r="A155">
        <v>1</v>
      </c>
      <c r="B155">
        <v>96</v>
      </c>
      <c r="C155">
        <v>0</v>
      </c>
      <c r="D155">
        <v>8</v>
      </c>
      <c r="E155">
        <v>6</v>
      </c>
      <c r="F155">
        <v>740</v>
      </c>
      <c r="P155" s="6">
        <f>$I$6*A155+$J$6*Student_Performance__2[[#This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355.02478146633263</v>
      </c>
    </row>
    <row r="156" spans="1:16" x14ac:dyDescent="0.3">
      <c r="A156">
        <v>5</v>
      </c>
      <c r="B156">
        <v>58</v>
      </c>
      <c r="C156">
        <v>0</v>
      </c>
      <c r="D156">
        <v>4</v>
      </c>
      <c r="E156">
        <v>8</v>
      </c>
      <c r="F156">
        <v>420</v>
      </c>
      <c r="P156" s="6">
        <f>$I$6*A156+$J$6*Student_Performance__2[[#This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204.14165270576319</v>
      </c>
    </row>
    <row r="157" spans="1:16" x14ac:dyDescent="0.3">
      <c r="A157">
        <v>1</v>
      </c>
      <c r="B157">
        <v>72</v>
      </c>
      <c r="C157">
        <v>1</v>
      </c>
      <c r="D157">
        <v>5</v>
      </c>
      <c r="E157">
        <v>7</v>
      </c>
      <c r="F157">
        <v>470</v>
      </c>
      <c r="P157" s="6">
        <f>$I$6*A157+$J$6*Student_Performance__2[[#This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247.73525139963334</v>
      </c>
    </row>
    <row r="158" spans="1:16" x14ac:dyDescent="0.3">
      <c r="A158">
        <v>8</v>
      </c>
      <c r="B158">
        <v>40</v>
      </c>
      <c r="C158">
        <v>1</v>
      </c>
      <c r="D158">
        <v>7</v>
      </c>
      <c r="E158">
        <v>7</v>
      </c>
      <c r="F158">
        <v>310</v>
      </c>
      <c r="P158" s="6">
        <f>$I$6*A158+$J$6*Student_Performance__2[[#This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134.84541051130503</v>
      </c>
    </row>
    <row r="159" spans="1:16" x14ac:dyDescent="0.3">
      <c r="A159">
        <v>1</v>
      </c>
      <c r="B159">
        <v>52</v>
      </c>
      <c r="C159">
        <v>0</v>
      </c>
      <c r="D159">
        <v>5</v>
      </c>
      <c r="E159">
        <v>2</v>
      </c>
      <c r="F159">
        <v>260</v>
      </c>
      <c r="P159" s="6">
        <f>$I$6*A159+$J$6*Student_Performance__2[[#This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6.3516124385384387</v>
      </c>
    </row>
    <row r="160" spans="1:16" x14ac:dyDescent="0.3">
      <c r="A160">
        <v>1</v>
      </c>
      <c r="B160">
        <v>85</v>
      </c>
      <c r="C160">
        <v>1</v>
      </c>
      <c r="D160">
        <v>7</v>
      </c>
      <c r="E160">
        <v>9</v>
      </c>
      <c r="F160">
        <v>580</v>
      </c>
      <c r="P160" s="6">
        <f>$I$6*A160+$J$6*Student_Performance__2[[#This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385.60353141211652</v>
      </c>
    </row>
    <row r="161" spans="1:16" x14ac:dyDescent="0.3">
      <c r="A161">
        <v>2</v>
      </c>
      <c r="B161">
        <v>66</v>
      </c>
      <c r="C161">
        <v>0</v>
      </c>
      <c r="D161">
        <v>6</v>
      </c>
      <c r="E161">
        <v>3</v>
      </c>
      <c r="F161">
        <v>420</v>
      </c>
      <c r="P161" s="6">
        <f>$I$6*A161+$J$6*Student_Performance__2[[#This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112.01104457984724</v>
      </c>
    </row>
    <row r="162" spans="1:16" x14ac:dyDescent="0.3">
      <c r="A162">
        <v>2</v>
      </c>
      <c r="B162">
        <v>45</v>
      </c>
      <c r="C162">
        <v>1</v>
      </c>
      <c r="D162">
        <v>4</v>
      </c>
      <c r="E162">
        <v>3</v>
      </c>
      <c r="F162">
        <v>180</v>
      </c>
      <c r="P162" s="6">
        <f>$I$6*A162+$J$6*Student_Performance__2[[#This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0.14636034002376164</v>
      </c>
    </row>
    <row r="163" spans="1:16" x14ac:dyDescent="0.3">
      <c r="A163">
        <v>6</v>
      </c>
      <c r="B163">
        <v>98</v>
      </c>
      <c r="C163">
        <v>0</v>
      </c>
      <c r="D163">
        <v>4</v>
      </c>
      <c r="E163">
        <v>0</v>
      </c>
      <c r="F163">
        <v>850</v>
      </c>
      <c r="P163" s="6">
        <f>$I$6*A163+$J$6*Student_Performance__2[[#This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161.68245995859735</v>
      </c>
    </row>
    <row r="164" spans="1:16" x14ac:dyDescent="0.3">
      <c r="A164">
        <v>7</v>
      </c>
      <c r="B164">
        <v>45</v>
      </c>
      <c r="C164">
        <v>1</v>
      </c>
      <c r="D164">
        <v>7</v>
      </c>
      <c r="E164">
        <v>5</v>
      </c>
      <c r="F164">
        <v>360</v>
      </c>
      <c r="P164" s="6">
        <f>$I$6*A164+$J$6*Student_Performance__2[[#This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98.538632140177015</v>
      </c>
    </row>
    <row r="165" spans="1:16" x14ac:dyDescent="0.3">
      <c r="A165">
        <v>5</v>
      </c>
      <c r="B165">
        <v>72</v>
      </c>
      <c r="C165">
        <v>1</v>
      </c>
      <c r="D165">
        <v>8</v>
      </c>
      <c r="E165">
        <v>1</v>
      </c>
      <c r="F165">
        <v>580</v>
      </c>
      <c r="P165" s="6">
        <f>$I$6*A165+$J$6*Student_Performance__2[[#This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114.70554627107242</v>
      </c>
    </row>
    <row r="166" spans="1:16" x14ac:dyDescent="0.3">
      <c r="A166">
        <v>1</v>
      </c>
      <c r="B166">
        <v>69</v>
      </c>
      <c r="C166">
        <v>1</v>
      </c>
      <c r="D166">
        <v>9</v>
      </c>
      <c r="E166">
        <v>8</v>
      </c>
      <c r="F166">
        <v>450</v>
      </c>
      <c r="P166" s="6">
        <f>$I$6*A166+$J$6*Student_Performance__2[[#This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303.47128023970782</v>
      </c>
    </row>
    <row r="167" spans="1:16" x14ac:dyDescent="0.3">
      <c r="A167">
        <v>1</v>
      </c>
      <c r="B167">
        <v>85</v>
      </c>
      <c r="C167">
        <v>1</v>
      </c>
      <c r="D167">
        <v>8</v>
      </c>
      <c r="E167">
        <v>0</v>
      </c>
      <c r="F167">
        <v>600</v>
      </c>
      <c r="P167" s="6">
        <f>$I$6*A167+$J$6*Student_Performance__2[[#This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137.81656848255159</v>
      </c>
    </row>
    <row r="168" spans="1:16" x14ac:dyDescent="0.3">
      <c r="A168">
        <v>3</v>
      </c>
      <c r="B168">
        <v>74</v>
      </c>
      <c r="C168">
        <v>1</v>
      </c>
      <c r="D168">
        <v>6</v>
      </c>
      <c r="E168">
        <v>0</v>
      </c>
      <c r="F168">
        <v>560</v>
      </c>
      <c r="P168" s="6">
        <f>$I$6*A168+$J$6*Student_Performance__2[[#This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70.670114978035485</v>
      </c>
    </row>
    <row r="169" spans="1:16" x14ac:dyDescent="0.3">
      <c r="A169">
        <v>2</v>
      </c>
      <c r="B169">
        <v>62</v>
      </c>
      <c r="C169">
        <v>1</v>
      </c>
      <c r="D169">
        <v>7</v>
      </c>
      <c r="E169">
        <v>9</v>
      </c>
      <c r="F169">
        <v>420</v>
      </c>
      <c r="P169" s="6">
        <f>$I$6*A169+$J$6*Student_Performance__2[[#This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281.40393965525885</v>
      </c>
    </row>
    <row r="170" spans="1:16" x14ac:dyDescent="0.3">
      <c r="A170">
        <v>5</v>
      </c>
      <c r="B170">
        <v>49</v>
      </c>
      <c r="C170">
        <v>0</v>
      </c>
      <c r="D170">
        <v>6</v>
      </c>
      <c r="E170">
        <v>5</v>
      </c>
      <c r="F170">
        <v>330</v>
      </c>
      <c r="P170" s="6">
        <f>$I$6*A170+$J$6*Student_Performance__2[[#This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97.015231316782661</v>
      </c>
    </row>
    <row r="171" spans="1:16" x14ac:dyDescent="0.3">
      <c r="A171">
        <v>6</v>
      </c>
      <c r="B171">
        <v>90</v>
      </c>
      <c r="C171">
        <v>0</v>
      </c>
      <c r="D171">
        <v>7</v>
      </c>
      <c r="E171">
        <v>0</v>
      </c>
      <c r="F171">
        <v>770</v>
      </c>
      <c r="P171" s="6">
        <f>$I$6*A171+$J$6*Student_Performance__2[[#This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155.41508078711519</v>
      </c>
    </row>
    <row r="172" spans="1:16" x14ac:dyDescent="0.3">
      <c r="A172">
        <v>7</v>
      </c>
      <c r="B172">
        <v>58</v>
      </c>
      <c r="C172">
        <v>1</v>
      </c>
      <c r="D172">
        <v>6</v>
      </c>
      <c r="E172">
        <v>2</v>
      </c>
      <c r="F172">
        <v>510</v>
      </c>
      <c r="P172" s="6">
        <f>$I$6*A172+$J$6*Student_Performance__2[[#This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62.366421873070578</v>
      </c>
    </row>
    <row r="173" spans="1:16" x14ac:dyDescent="0.3">
      <c r="A173">
        <v>4</v>
      </c>
      <c r="B173">
        <v>90</v>
      </c>
      <c r="C173">
        <v>0</v>
      </c>
      <c r="D173">
        <v>7</v>
      </c>
      <c r="E173">
        <v>9</v>
      </c>
      <c r="F173">
        <v>720</v>
      </c>
      <c r="P173" s="6">
        <f>$I$6*A173+$J$6*Student_Performance__2[[#This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409.29095432678395</v>
      </c>
    </row>
    <row r="174" spans="1:16" x14ac:dyDescent="0.3">
      <c r="A174">
        <v>7</v>
      </c>
      <c r="B174">
        <v>67</v>
      </c>
      <c r="C174">
        <v>1</v>
      </c>
      <c r="D174">
        <v>4</v>
      </c>
      <c r="E174">
        <v>1</v>
      </c>
      <c r="F174">
        <v>570</v>
      </c>
      <c r="P174" s="6">
        <f>$I$6*A174+$J$6*Student_Performance__2[[#This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54.817670878515457</v>
      </c>
    </row>
    <row r="175" spans="1:16" x14ac:dyDescent="0.3">
      <c r="A175">
        <v>8</v>
      </c>
      <c r="B175">
        <v>62</v>
      </c>
      <c r="C175">
        <v>0</v>
      </c>
      <c r="D175">
        <v>6</v>
      </c>
      <c r="E175">
        <v>8</v>
      </c>
      <c r="F175">
        <v>530</v>
      </c>
      <c r="P175" s="6">
        <f>$I$6*A175+$J$6*Student_Performance__2[[#This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249.30285104329874</v>
      </c>
    </row>
    <row r="176" spans="1:16" x14ac:dyDescent="0.3">
      <c r="A176">
        <v>1</v>
      </c>
      <c r="B176">
        <v>43</v>
      </c>
      <c r="C176">
        <v>0</v>
      </c>
      <c r="D176">
        <v>6</v>
      </c>
      <c r="E176">
        <v>4</v>
      </c>
      <c r="F176">
        <v>160</v>
      </c>
      <c r="P176" s="6">
        <f>$I$6*A176+$J$6*Student_Performance__2[[#This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32.336981595587247</v>
      </c>
    </row>
    <row r="177" spans="1:16" x14ac:dyDescent="0.3">
      <c r="A177">
        <v>6</v>
      </c>
      <c r="B177">
        <v>59</v>
      </c>
      <c r="C177">
        <v>0</v>
      </c>
      <c r="D177">
        <v>7</v>
      </c>
      <c r="E177">
        <v>5</v>
      </c>
      <c r="F177">
        <v>450</v>
      </c>
      <c r="P177" s="6">
        <f>$I$6*A177+$J$6*Student_Performance__2[[#This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155.5239183763814</v>
      </c>
    </row>
    <row r="178" spans="1:16" x14ac:dyDescent="0.3">
      <c r="A178">
        <v>8</v>
      </c>
      <c r="B178">
        <v>58</v>
      </c>
      <c r="C178">
        <v>0</v>
      </c>
      <c r="D178">
        <v>5</v>
      </c>
      <c r="E178">
        <v>1</v>
      </c>
      <c r="F178">
        <v>490</v>
      </c>
      <c r="P178" s="6">
        <f>$I$6*A178+$J$6*Student_Performance__2[[#This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19.907172452895225</v>
      </c>
    </row>
    <row r="179" spans="1:16" x14ac:dyDescent="0.3">
      <c r="A179">
        <v>5</v>
      </c>
      <c r="B179">
        <v>81</v>
      </c>
      <c r="C179">
        <v>1</v>
      </c>
      <c r="D179">
        <v>5</v>
      </c>
      <c r="E179">
        <v>7</v>
      </c>
      <c r="F179">
        <v>670</v>
      </c>
      <c r="P179" s="6">
        <f>$I$6*A179+$J$6*Student_Performance__2[[#This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297.6061720143145</v>
      </c>
    </row>
    <row r="180" spans="1:16" x14ac:dyDescent="0.3">
      <c r="A180">
        <v>4</v>
      </c>
      <c r="B180">
        <v>66</v>
      </c>
      <c r="C180">
        <v>0</v>
      </c>
      <c r="D180">
        <v>4</v>
      </c>
      <c r="E180">
        <v>5</v>
      </c>
      <c r="F180">
        <v>490</v>
      </c>
      <c r="P180" s="6">
        <f>$I$6*A180+$J$6*Student_Performance__2[[#This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153.02754522812086</v>
      </c>
    </row>
    <row r="181" spans="1:16" x14ac:dyDescent="0.3">
      <c r="A181">
        <v>2</v>
      </c>
      <c r="B181">
        <v>96</v>
      </c>
      <c r="C181">
        <v>0</v>
      </c>
      <c r="D181">
        <v>8</v>
      </c>
      <c r="E181">
        <v>7</v>
      </c>
      <c r="F181">
        <v>730</v>
      </c>
      <c r="P181" s="6">
        <f>$I$6*A181+$J$6*Student_Performance__2[[#This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385.76520672385954</v>
      </c>
    </row>
    <row r="182" spans="1:16" x14ac:dyDescent="0.3">
      <c r="A182">
        <v>6</v>
      </c>
      <c r="B182">
        <v>73</v>
      </c>
      <c r="C182">
        <v>0</v>
      </c>
      <c r="D182">
        <v>8</v>
      </c>
      <c r="E182">
        <v>7</v>
      </c>
      <c r="F182">
        <v>650</v>
      </c>
      <c r="P182" s="6">
        <f>$I$6*A182+$J$6*Student_Performance__2[[#This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287.78051145193098</v>
      </c>
    </row>
    <row r="183" spans="1:16" x14ac:dyDescent="0.3">
      <c r="A183">
        <v>6</v>
      </c>
      <c r="B183">
        <v>43</v>
      </c>
      <c r="C183">
        <v>1</v>
      </c>
      <c r="D183">
        <v>4</v>
      </c>
      <c r="E183">
        <v>0</v>
      </c>
      <c r="F183">
        <v>270</v>
      </c>
      <c r="P183" s="6">
        <f>$I$6*A183+$J$6*Student_Performance__2[[#This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-86.814466293968792</v>
      </c>
    </row>
    <row r="184" spans="1:16" x14ac:dyDescent="0.3">
      <c r="A184">
        <v>1</v>
      </c>
      <c r="B184">
        <v>95</v>
      </c>
      <c r="C184">
        <v>0</v>
      </c>
      <c r="D184">
        <v>8</v>
      </c>
      <c r="E184">
        <v>6</v>
      </c>
      <c r="F184">
        <v>720</v>
      </c>
      <c r="P184" s="6">
        <f>$I$6*A184+$J$6*Student_Performance__2[[#This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350.404293469876</v>
      </c>
    </row>
    <row r="185" spans="1:16" x14ac:dyDescent="0.3">
      <c r="A185">
        <v>9</v>
      </c>
      <c r="B185">
        <v>77</v>
      </c>
      <c r="C185">
        <v>1</v>
      </c>
      <c r="D185">
        <v>9</v>
      </c>
      <c r="E185">
        <v>1</v>
      </c>
      <c r="F185">
        <v>740</v>
      </c>
      <c r="P185" s="6">
        <f>$I$6*A185+$J$6*Student_Performance__2[[#This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156.32668983331752</v>
      </c>
    </row>
    <row r="186" spans="1:16" x14ac:dyDescent="0.3">
      <c r="A186">
        <v>6</v>
      </c>
      <c r="B186">
        <v>46</v>
      </c>
      <c r="C186">
        <v>1</v>
      </c>
      <c r="D186">
        <v>9</v>
      </c>
      <c r="E186">
        <v>7</v>
      </c>
      <c r="F186">
        <v>380</v>
      </c>
      <c r="P186" s="6">
        <f>$I$6*A186+$J$6*Student_Performance__2[[#This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178.88942403353843</v>
      </c>
    </row>
    <row r="187" spans="1:16" x14ac:dyDescent="0.3">
      <c r="A187">
        <v>3</v>
      </c>
      <c r="B187">
        <v>87</v>
      </c>
      <c r="C187">
        <v>0</v>
      </c>
      <c r="D187">
        <v>9</v>
      </c>
      <c r="E187">
        <v>1</v>
      </c>
      <c r="F187">
        <v>670</v>
      </c>
      <c r="P187" s="6">
        <f>$I$6*A187+$J$6*Student_Performance__2[[#This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184.47186327548042</v>
      </c>
    </row>
    <row r="188" spans="1:16" x14ac:dyDescent="0.3">
      <c r="A188">
        <v>4</v>
      </c>
      <c r="B188">
        <v>46</v>
      </c>
      <c r="C188">
        <v>1</v>
      </c>
      <c r="D188">
        <v>9</v>
      </c>
      <c r="E188">
        <v>3</v>
      </c>
      <c r="F188">
        <v>280</v>
      </c>
      <c r="P188" s="6">
        <f>$I$6*A188+$J$6*Student_Performance__2[[#This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60.070987326716818</v>
      </c>
    </row>
    <row r="189" spans="1:16" x14ac:dyDescent="0.3">
      <c r="A189">
        <v>4</v>
      </c>
      <c r="B189">
        <v>89</v>
      </c>
      <c r="C189">
        <v>0</v>
      </c>
      <c r="D189">
        <v>7</v>
      </c>
      <c r="E189">
        <v>1</v>
      </c>
      <c r="F189">
        <v>730</v>
      </c>
      <c r="P189" s="6">
        <f>$I$6*A189+$J$6*Student_Performance__2[[#This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175.32012156325635</v>
      </c>
    </row>
    <row r="190" spans="1:16" x14ac:dyDescent="0.3">
      <c r="A190">
        <v>3</v>
      </c>
      <c r="B190">
        <v>91</v>
      </c>
      <c r="C190">
        <v>0</v>
      </c>
      <c r="D190">
        <v>5</v>
      </c>
      <c r="E190">
        <v>6</v>
      </c>
      <c r="F190">
        <v>720</v>
      </c>
      <c r="P190" s="6">
        <f>$I$6*A190+$J$6*Student_Performance__2[[#This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305.36908100716579</v>
      </c>
    </row>
    <row r="191" spans="1:16" x14ac:dyDescent="0.3">
      <c r="A191">
        <v>3</v>
      </c>
      <c r="B191">
        <v>65</v>
      </c>
      <c r="C191">
        <v>0</v>
      </c>
      <c r="D191">
        <v>4</v>
      </c>
      <c r="E191">
        <v>4</v>
      </c>
      <c r="F191">
        <v>420</v>
      </c>
      <c r="P191" s="6">
        <f>$I$6*A191+$J$6*Student_Performance__2[[#This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117.66663197413743</v>
      </c>
    </row>
    <row r="192" spans="1:16" x14ac:dyDescent="0.3">
      <c r="A192">
        <v>3</v>
      </c>
      <c r="B192">
        <v>65</v>
      </c>
      <c r="C192">
        <v>0</v>
      </c>
      <c r="D192">
        <v>7</v>
      </c>
      <c r="E192">
        <v>8</v>
      </c>
      <c r="F192">
        <v>470</v>
      </c>
      <c r="P192" s="6">
        <f>$I$6*A192+$J$6*Student_Performance__2[[#This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263.03832915784318</v>
      </c>
    </row>
    <row r="193" spans="1:16" x14ac:dyDescent="0.3">
      <c r="A193">
        <v>4</v>
      </c>
      <c r="B193">
        <v>93</v>
      </c>
      <c r="C193">
        <v>0</v>
      </c>
      <c r="D193">
        <v>9</v>
      </c>
      <c r="E193">
        <v>4</v>
      </c>
      <c r="F193">
        <v>770</v>
      </c>
      <c r="P193" s="6">
        <f>$I$6*A193+$J$6*Student_Performance__2[[#This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300.27280270351429</v>
      </c>
    </row>
    <row r="194" spans="1:16" x14ac:dyDescent="0.3">
      <c r="A194">
        <v>7</v>
      </c>
      <c r="B194">
        <v>58</v>
      </c>
      <c r="C194">
        <v>0</v>
      </c>
      <c r="D194">
        <v>4</v>
      </c>
      <c r="E194">
        <v>7</v>
      </c>
      <c r="F194">
        <v>490</v>
      </c>
      <c r="P194" s="6">
        <f>$I$6*A194+$J$6*Student_Performance__2[[#This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179.6161239331654</v>
      </c>
    </row>
    <row r="195" spans="1:16" x14ac:dyDescent="0.3">
      <c r="A195">
        <v>4</v>
      </c>
      <c r="B195">
        <v>48</v>
      </c>
      <c r="C195">
        <v>0</v>
      </c>
      <c r="D195">
        <v>5</v>
      </c>
      <c r="E195">
        <v>1</v>
      </c>
      <c r="F195">
        <v>300</v>
      </c>
      <c r="P195" s="6">
        <f>$I$6*A195+$J$6*Student_Performance__2[[#This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-34.584236158242561</v>
      </c>
    </row>
    <row r="196" spans="1:16" x14ac:dyDescent="0.3">
      <c r="A196">
        <v>9</v>
      </c>
      <c r="B196">
        <v>59</v>
      </c>
      <c r="C196">
        <v>1</v>
      </c>
      <c r="D196">
        <v>8</v>
      </c>
      <c r="E196">
        <v>2</v>
      </c>
      <c r="F196">
        <v>540</v>
      </c>
      <c r="P196" s="6">
        <f>$I$6*A196+$J$6*Student_Performance__2[[#This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91.594524059593311</v>
      </c>
    </row>
    <row r="197" spans="1:16" x14ac:dyDescent="0.3">
      <c r="A197">
        <v>1</v>
      </c>
      <c r="B197">
        <v>81</v>
      </c>
      <c r="C197">
        <v>1</v>
      </c>
      <c r="D197">
        <v>7</v>
      </c>
      <c r="E197">
        <v>5</v>
      </c>
      <c r="F197">
        <v>560</v>
      </c>
      <c r="P197" s="6">
        <f>$I$6*A197+$J$6*Student_Performance__2[[#This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252.44640704275474</v>
      </c>
    </row>
    <row r="198" spans="1:16" x14ac:dyDescent="0.3">
      <c r="A198">
        <v>8</v>
      </c>
      <c r="B198">
        <v>84</v>
      </c>
      <c r="C198">
        <v>0</v>
      </c>
      <c r="D198">
        <v>5</v>
      </c>
      <c r="E198">
        <v>6</v>
      </c>
      <c r="F198">
        <v>750</v>
      </c>
      <c r="P198" s="6">
        <f>$I$6*A198+$J$6*Student_Performance__2[[#This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283.38382584018512</v>
      </c>
    </row>
    <row r="199" spans="1:16" x14ac:dyDescent="0.3">
      <c r="A199">
        <v>7</v>
      </c>
      <c r="B199">
        <v>89</v>
      </c>
      <c r="C199">
        <v>0</v>
      </c>
      <c r="D199">
        <v>4</v>
      </c>
      <c r="E199">
        <v>9</v>
      </c>
      <c r="F199">
        <v>780</v>
      </c>
      <c r="P199" s="6">
        <f>$I$6*A199+$J$6*Student_Performance__2[[#This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380.18883801508633</v>
      </c>
    </row>
    <row r="200" spans="1:16" x14ac:dyDescent="0.3">
      <c r="A200">
        <v>2</v>
      </c>
      <c r="B200">
        <v>55</v>
      </c>
      <c r="C200">
        <v>1</v>
      </c>
      <c r="D200">
        <v>6</v>
      </c>
      <c r="E200">
        <v>7</v>
      </c>
      <c r="F200">
        <v>320</v>
      </c>
      <c r="P200" s="6">
        <f>$I$6*A200+$J$6*Student_Performance__2[[#This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181.49076255490507</v>
      </c>
    </row>
    <row r="201" spans="1:16" x14ac:dyDescent="0.3">
      <c r="A201">
        <v>8</v>
      </c>
      <c r="B201">
        <v>93</v>
      </c>
      <c r="C201">
        <v>0</v>
      </c>
      <c r="D201">
        <v>7</v>
      </c>
      <c r="E201">
        <v>2</v>
      </c>
      <c r="F201">
        <v>890</v>
      </c>
      <c r="P201" s="6">
        <f>$I$6*A201+$J$6*Student_Performance__2[[#This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230.75739529153867</v>
      </c>
    </row>
    <row r="202" spans="1:16" x14ac:dyDescent="0.3">
      <c r="A202">
        <v>1</v>
      </c>
      <c r="B202">
        <v>56</v>
      </c>
      <c r="C202">
        <v>1</v>
      </c>
      <c r="D202">
        <v>4</v>
      </c>
      <c r="E202">
        <v>6</v>
      </c>
      <c r="F202">
        <v>290</v>
      </c>
      <c r="P202" s="6">
        <f>$I$6*A202+$J$6*Student_Performance__2[[#This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134.90647542705454</v>
      </c>
    </row>
    <row r="203" spans="1:16" x14ac:dyDescent="0.3">
      <c r="A203">
        <v>9</v>
      </c>
      <c r="B203">
        <v>61</v>
      </c>
      <c r="C203">
        <v>1</v>
      </c>
      <c r="D203">
        <v>4</v>
      </c>
      <c r="E203">
        <v>7</v>
      </c>
      <c r="F203">
        <v>570</v>
      </c>
      <c r="P203" s="6">
        <f>$I$6*A203+$J$6*Student_Performance__2[[#This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203.25076579836553</v>
      </c>
    </row>
    <row r="204" spans="1:16" x14ac:dyDescent="0.3">
      <c r="A204">
        <v>9</v>
      </c>
      <c r="B204">
        <v>52</v>
      </c>
      <c r="C204">
        <v>0</v>
      </c>
      <c r="D204">
        <v>5</v>
      </c>
      <c r="E204">
        <v>9</v>
      </c>
      <c r="F204">
        <v>480</v>
      </c>
      <c r="P204" s="6">
        <f>$I$6*A204+$J$6*Student_Performance__2[[#This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223.60622140286995</v>
      </c>
    </row>
    <row r="205" spans="1:16" x14ac:dyDescent="0.3">
      <c r="A205">
        <v>2</v>
      </c>
      <c r="B205">
        <v>51</v>
      </c>
      <c r="C205">
        <v>0</v>
      </c>
      <c r="D205">
        <v>4</v>
      </c>
      <c r="E205">
        <v>5</v>
      </c>
      <c r="F205">
        <v>270</v>
      </c>
      <c r="P205" s="6">
        <f>$I$6*A205+$J$6*Student_Performance__2[[#This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79.576960957986444</v>
      </c>
    </row>
    <row r="206" spans="1:16" x14ac:dyDescent="0.3">
      <c r="A206">
        <v>7</v>
      </c>
      <c r="B206">
        <v>49</v>
      </c>
      <c r="C206">
        <v>1</v>
      </c>
      <c r="D206">
        <v>7</v>
      </c>
      <c r="E206">
        <v>3</v>
      </c>
      <c r="F206">
        <v>380</v>
      </c>
      <c r="P206" s="6">
        <f>$I$6*A206+$J$6*Student_Performance__2[[#This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59.682997934235459</v>
      </c>
    </row>
    <row r="207" spans="1:16" x14ac:dyDescent="0.3">
      <c r="A207">
        <v>3</v>
      </c>
      <c r="B207">
        <v>40</v>
      </c>
      <c r="C207">
        <v>1</v>
      </c>
      <c r="D207">
        <v>9</v>
      </c>
      <c r="E207">
        <v>5</v>
      </c>
      <c r="F207">
        <v>180</v>
      </c>
      <c r="P207" s="6">
        <f>$I$6*A207+$J$6*Student_Performance__2[[#This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87.614013378102186</v>
      </c>
    </row>
    <row r="208" spans="1:16" x14ac:dyDescent="0.3">
      <c r="A208">
        <v>7</v>
      </c>
      <c r="B208">
        <v>71</v>
      </c>
      <c r="C208">
        <v>0</v>
      </c>
      <c r="D208">
        <v>7</v>
      </c>
      <c r="E208">
        <v>8</v>
      </c>
      <c r="F208">
        <v>660</v>
      </c>
      <c r="P208" s="6">
        <f>$I$6*A208+$J$6*Student_Performance__2[[#This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299.04778578315478</v>
      </c>
    </row>
    <row r="209" spans="1:16" x14ac:dyDescent="0.3">
      <c r="A209">
        <v>9</v>
      </c>
      <c r="B209">
        <v>69</v>
      </c>
      <c r="C209">
        <v>0</v>
      </c>
      <c r="D209">
        <v>4</v>
      </c>
      <c r="E209">
        <v>2</v>
      </c>
      <c r="F209">
        <v>650</v>
      </c>
      <c r="P209" s="6">
        <f>$I$6*A209+$J$6*Student_Performance__2[[#This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91.240790738054159</v>
      </c>
    </row>
    <row r="210" spans="1:16" x14ac:dyDescent="0.3">
      <c r="A210">
        <v>4</v>
      </c>
      <c r="B210">
        <v>47</v>
      </c>
      <c r="C210">
        <v>1</v>
      </c>
      <c r="D210">
        <v>5</v>
      </c>
      <c r="E210">
        <v>1</v>
      </c>
      <c r="F210">
        <v>270</v>
      </c>
      <c r="P210" s="6">
        <f>$I$6*A210+$J$6*Student_Performance__2[[#This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-33.574810602154741</v>
      </c>
    </row>
    <row r="211" spans="1:16" x14ac:dyDescent="0.3">
      <c r="A211">
        <v>1</v>
      </c>
      <c r="B211">
        <v>60</v>
      </c>
      <c r="C211">
        <v>1</v>
      </c>
      <c r="D211">
        <v>7</v>
      </c>
      <c r="E211">
        <v>4</v>
      </c>
      <c r="F211">
        <v>330</v>
      </c>
      <c r="P211" s="6">
        <f>$I$6*A211+$J$6*Student_Performance__2[[#This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126.74736602128314</v>
      </c>
    </row>
    <row r="212" spans="1:16" x14ac:dyDescent="0.3">
      <c r="A212">
        <v>2</v>
      </c>
      <c r="B212">
        <v>61</v>
      </c>
      <c r="C212">
        <v>1</v>
      </c>
      <c r="D212">
        <v>6</v>
      </c>
      <c r="E212">
        <v>6</v>
      </c>
      <c r="F212">
        <v>370</v>
      </c>
      <c r="P212" s="6">
        <f>$I$6*A212+$J$6*Student_Performance__2[[#This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180.54489743776054</v>
      </c>
    </row>
    <row r="213" spans="1:16" x14ac:dyDescent="0.3">
      <c r="A213">
        <v>1</v>
      </c>
      <c r="B213">
        <v>57</v>
      </c>
      <c r="C213">
        <v>0</v>
      </c>
      <c r="D213">
        <v>9</v>
      </c>
      <c r="E213">
        <v>2</v>
      </c>
      <c r="F213">
        <v>290</v>
      </c>
      <c r="P213" s="6">
        <f>$I$6*A213+$J$6*Student_Performance__2[[#This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70.382752154381421</v>
      </c>
    </row>
    <row r="214" spans="1:16" x14ac:dyDescent="0.3">
      <c r="A214">
        <v>5</v>
      </c>
      <c r="B214">
        <v>41</v>
      </c>
      <c r="C214">
        <v>0</v>
      </c>
      <c r="D214">
        <v>8</v>
      </c>
      <c r="E214">
        <v>4</v>
      </c>
      <c r="F214">
        <v>260</v>
      </c>
      <c r="P214" s="6">
        <f>$I$6*A214+$J$6*Student_Performance__2[[#This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51.846884116026558</v>
      </c>
    </row>
    <row r="215" spans="1:16" x14ac:dyDescent="0.3">
      <c r="A215">
        <v>5</v>
      </c>
      <c r="B215">
        <v>87</v>
      </c>
      <c r="C215">
        <v>0</v>
      </c>
      <c r="D215">
        <v>5</v>
      </c>
      <c r="E215">
        <v>3</v>
      </c>
      <c r="F215">
        <v>720</v>
      </c>
      <c r="P215" s="6">
        <f>$I$6*A215+$J$6*Student_Performance__2[[#This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205.02401405697395</v>
      </c>
    </row>
    <row r="216" spans="1:16" x14ac:dyDescent="0.3">
      <c r="A216">
        <v>7</v>
      </c>
      <c r="B216">
        <v>83</v>
      </c>
      <c r="C216">
        <v>1</v>
      </c>
      <c r="D216">
        <v>5</v>
      </c>
      <c r="E216">
        <v>6</v>
      </c>
      <c r="F216">
        <v>770</v>
      </c>
      <c r="P216" s="6">
        <f>$I$6*A216+$J$6*Student_Performance__2[[#This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282.32161923462985</v>
      </c>
    </row>
    <row r="217" spans="1:16" x14ac:dyDescent="0.3">
      <c r="A217">
        <v>9</v>
      </c>
      <c r="B217">
        <v>48</v>
      </c>
      <c r="C217">
        <v>1</v>
      </c>
      <c r="D217">
        <v>8</v>
      </c>
      <c r="E217">
        <v>1</v>
      </c>
      <c r="F217">
        <v>450</v>
      </c>
      <c r="P217" s="6">
        <f>$I$6*A217+$J$6*Student_Performance__2[[#This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12.100363002687288</v>
      </c>
    </row>
    <row r="218" spans="1:16" x14ac:dyDescent="0.3">
      <c r="A218">
        <v>9</v>
      </c>
      <c r="B218">
        <v>42</v>
      </c>
      <c r="C218">
        <v>0</v>
      </c>
      <c r="D218">
        <v>8</v>
      </c>
      <c r="E218">
        <v>6</v>
      </c>
      <c r="F218">
        <v>410</v>
      </c>
      <c r="P218" s="6">
        <f>$I$6*A218+$J$6*Student_Performance__2[[#This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122.09148695082303</v>
      </c>
    </row>
    <row r="219" spans="1:16" x14ac:dyDescent="0.3">
      <c r="A219">
        <v>3</v>
      </c>
      <c r="B219">
        <v>93</v>
      </c>
      <c r="C219">
        <v>1</v>
      </c>
      <c r="D219">
        <v>7</v>
      </c>
      <c r="E219">
        <v>1</v>
      </c>
      <c r="F219">
        <v>730</v>
      </c>
      <c r="P219" s="6">
        <f>$I$6*A219+$J$6*Student_Performance__2[[#This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197.36035493998389</v>
      </c>
    </row>
    <row r="220" spans="1:16" x14ac:dyDescent="0.3">
      <c r="A220">
        <v>3</v>
      </c>
      <c r="B220">
        <v>65</v>
      </c>
      <c r="C220">
        <v>1</v>
      </c>
      <c r="D220">
        <v>4</v>
      </c>
      <c r="E220">
        <v>2</v>
      </c>
      <c r="F220">
        <v>430</v>
      </c>
      <c r="P220" s="6">
        <f>$I$6*A220+$J$6*Student_Performance__2[[#This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65.958959334914027</v>
      </c>
    </row>
    <row r="221" spans="1:16" x14ac:dyDescent="0.3">
      <c r="A221">
        <v>3</v>
      </c>
      <c r="B221">
        <v>60</v>
      </c>
      <c r="C221">
        <v>1</v>
      </c>
      <c r="D221">
        <v>4</v>
      </c>
      <c r="E221">
        <v>4</v>
      </c>
      <c r="F221">
        <v>390</v>
      </c>
      <c r="P221" s="6">
        <f>$I$6*A221+$J$6*Student_Performance__2[[#This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100.19410554439901</v>
      </c>
    </row>
    <row r="222" spans="1:16" x14ac:dyDescent="0.3">
      <c r="A222">
        <v>4</v>
      </c>
      <c r="B222">
        <v>69</v>
      </c>
      <c r="C222">
        <v>1</v>
      </c>
      <c r="D222">
        <v>6</v>
      </c>
      <c r="E222">
        <v>6</v>
      </c>
      <c r="F222">
        <v>540</v>
      </c>
      <c r="P222" s="6">
        <f>$I$6*A222+$J$6*Student_Performance__2[[#This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221.65206573269899</v>
      </c>
    </row>
    <row r="223" spans="1:16" x14ac:dyDescent="0.3">
      <c r="A223">
        <v>8</v>
      </c>
      <c r="B223">
        <v>67</v>
      </c>
      <c r="C223">
        <v>1</v>
      </c>
      <c r="D223">
        <v>9</v>
      </c>
      <c r="E223">
        <v>5</v>
      </c>
      <c r="F223">
        <v>620</v>
      </c>
      <c r="P223" s="6">
        <f>$I$6*A223+$J$6*Student_Performance__2[[#This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222.72535009064444</v>
      </c>
    </row>
    <row r="224" spans="1:16" x14ac:dyDescent="0.3">
      <c r="A224">
        <v>6</v>
      </c>
      <c r="B224">
        <v>75</v>
      </c>
      <c r="C224">
        <v>0</v>
      </c>
      <c r="D224">
        <v>4</v>
      </c>
      <c r="E224">
        <v>6</v>
      </c>
      <c r="F224">
        <v>630</v>
      </c>
      <c r="P224" s="6">
        <f>$I$6*A224+$J$6*Student_Performance__2[[#This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227.42399461539998</v>
      </c>
    </row>
    <row r="225" spans="1:16" x14ac:dyDescent="0.3">
      <c r="A225">
        <v>8</v>
      </c>
      <c r="B225">
        <v>65</v>
      </c>
      <c r="C225">
        <v>0</v>
      </c>
      <c r="D225">
        <v>6</v>
      </c>
      <c r="E225">
        <v>5</v>
      </c>
      <c r="F225">
        <v>590</v>
      </c>
      <c r="P225" s="6">
        <f>$I$6*A225+$J$6*Student_Performance__2[[#This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177.1579357450168</v>
      </c>
    </row>
    <row r="226" spans="1:16" x14ac:dyDescent="0.3">
      <c r="A226">
        <v>1</v>
      </c>
      <c r="B226">
        <v>73</v>
      </c>
      <c r="C226">
        <v>0</v>
      </c>
      <c r="D226">
        <v>6</v>
      </c>
      <c r="E226">
        <v>0</v>
      </c>
      <c r="F226">
        <v>460</v>
      </c>
      <c r="P226" s="6">
        <f>$I$6*A226+$J$6*Student_Performance__2[[#This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56.276449105748384</v>
      </c>
    </row>
    <row r="227" spans="1:16" x14ac:dyDescent="0.3">
      <c r="A227">
        <v>8</v>
      </c>
      <c r="B227">
        <v>47</v>
      </c>
      <c r="C227">
        <v>0</v>
      </c>
      <c r="D227">
        <v>5</v>
      </c>
      <c r="E227">
        <v>4</v>
      </c>
      <c r="F227">
        <v>420</v>
      </c>
      <c r="P227" s="6">
        <f>$I$6*A227+$J$6*Student_Performance__2[[#This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55.088183779524798</v>
      </c>
    </row>
    <row r="228" spans="1:16" x14ac:dyDescent="0.3">
      <c r="A228">
        <v>4</v>
      </c>
      <c r="B228">
        <v>49</v>
      </c>
      <c r="C228">
        <v>0</v>
      </c>
      <c r="D228">
        <v>5</v>
      </c>
      <c r="E228">
        <v>0</v>
      </c>
      <c r="F228">
        <v>300</v>
      </c>
      <c r="P228" s="6">
        <f>$I$6*A228+$J$6*Student_Performance__2[[#This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-58.632541257669857</v>
      </c>
    </row>
    <row r="229" spans="1:16" x14ac:dyDescent="0.3">
      <c r="A229">
        <v>1</v>
      </c>
      <c r="B229">
        <v>87</v>
      </c>
      <c r="C229">
        <v>1</v>
      </c>
      <c r="D229">
        <v>9</v>
      </c>
      <c r="E229">
        <v>6</v>
      </c>
      <c r="F229">
        <v>630</v>
      </c>
      <c r="P229" s="6">
        <f>$I$6*A229+$J$6*Student_Performance__2[[#This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329.30247798415809</v>
      </c>
    </row>
    <row r="230" spans="1:16" x14ac:dyDescent="0.3">
      <c r="A230">
        <v>8</v>
      </c>
      <c r="B230">
        <v>94</v>
      </c>
      <c r="C230">
        <v>1</v>
      </c>
      <c r="D230">
        <v>7</v>
      </c>
      <c r="E230">
        <v>3</v>
      </c>
      <c r="F230">
        <v>890</v>
      </c>
      <c r="P230" s="6">
        <f>$I$6*A230+$J$6*Student_Performance__2[[#This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269.67658993642345</v>
      </c>
    </row>
    <row r="231" spans="1:16" x14ac:dyDescent="0.3">
      <c r="A231">
        <v>4</v>
      </c>
      <c r="B231">
        <v>82</v>
      </c>
      <c r="C231">
        <v>1</v>
      </c>
      <c r="D231">
        <v>8</v>
      </c>
      <c r="E231">
        <v>4</v>
      </c>
      <c r="F231">
        <v>620</v>
      </c>
      <c r="P231" s="6">
        <f>$I$6*A231+$J$6*Student_Performance__2[[#This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244.84517336164657</v>
      </c>
    </row>
    <row r="232" spans="1:16" x14ac:dyDescent="0.3">
      <c r="A232">
        <v>6</v>
      </c>
      <c r="B232">
        <v>89</v>
      </c>
      <c r="C232">
        <v>0</v>
      </c>
      <c r="D232">
        <v>8</v>
      </c>
      <c r="E232">
        <v>0</v>
      </c>
      <c r="F232">
        <v>770</v>
      </c>
      <c r="P232" s="6">
        <f>$I$6*A232+$J$6*Student_Performance__2[[#This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161.02676772404868</v>
      </c>
    </row>
    <row r="233" spans="1:16" x14ac:dyDescent="0.3">
      <c r="A233">
        <v>8</v>
      </c>
      <c r="B233">
        <v>93</v>
      </c>
      <c r="C233">
        <v>1</v>
      </c>
      <c r="D233">
        <v>9</v>
      </c>
      <c r="E233">
        <v>7</v>
      </c>
      <c r="F233">
        <v>880</v>
      </c>
      <c r="P233" s="6">
        <f>$I$6*A233+$J$6*Student_Performance__2[[#This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400.19562419028267</v>
      </c>
    </row>
    <row r="234" spans="1:16" x14ac:dyDescent="0.3">
      <c r="A234">
        <v>4</v>
      </c>
      <c r="B234">
        <v>53</v>
      </c>
      <c r="C234">
        <v>1</v>
      </c>
      <c r="D234">
        <v>6</v>
      </c>
      <c r="E234">
        <v>3</v>
      </c>
      <c r="F234">
        <v>350</v>
      </c>
      <c r="P234" s="6">
        <f>$I$6*A234+$J$6*Student_Performance__2[[#This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61.717878501742518</v>
      </c>
    </row>
    <row r="235" spans="1:16" x14ac:dyDescent="0.3">
      <c r="A235">
        <v>3</v>
      </c>
      <c r="B235">
        <v>79</v>
      </c>
      <c r="C235">
        <v>1</v>
      </c>
      <c r="D235">
        <v>9</v>
      </c>
      <c r="E235">
        <v>2</v>
      </c>
      <c r="F235">
        <v>600</v>
      </c>
      <c r="P235" s="6">
        <f>$I$6*A235+$J$6*Student_Performance__2[[#This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181.8066659522562</v>
      </c>
    </row>
    <row r="236" spans="1:16" x14ac:dyDescent="0.3">
      <c r="A236">
        <v>9</v>
      </c>
      <c r="B236">
        <v>94</v>
      </c>
      <c r="C236">
        <v>0</v>
      </c>
      <c r="D236">
        <v>8</v>
      </c>
      <c r="E236">
        <v>0</v>
      </c>
      <c r="F236">
        <v>920</v>
      </c>
      <c r="P236" s="6">
        <f>$I$6*A236+$J$6*Student_Performance__2[[#This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190.34410419126056</v>
      </c>
    </row>
    <row r="237" spans="1:16" x14ac:dyDescent="0.3">
      <c r="A237">
        <v>3</v>
      </c>
      <c r="B237">
        <v>54</v>
      </c>
      <c r="C237">
        <v>1</v>
      </c>
      <c r="D237">
        <v>6</v>
      </c>
      <c r="E237">
        <v>3</v>
      </c>
      <c r="F237">
        <v>380</v>
      </c>
      <c r="P237" s="6">
        <f>$I$6*A237+$J$6*Student_Performance__2[[#This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64.266734336555999</v>
      </c>
    </row>
    <row r="238" spans="1:16" x14ac:dyDescent="0.3">
      <c r="A238">
        <v>9</v>
      </c>
      <c r="B238">
        <v>56</v>
      </c>
      <c r="C238">
        <v>1</v>
      </c>
      <c r="D238">
        <v>8</v>
      </c>
      <c r="E238">
        <v>2</v>
      </c>
      <c r="F238">
        <v>560</v>
      </c>
      <c r="P238" s="6">
        <f>$I$6*A238+$J$6*Student_Performance__2[[#This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77.733060070223644</v>
      </c>
    </row>
    <row r="239" spans="1:16" x14ac:dyDescent="0.3">
      <c r="A239">
        <v>2</v>
      </c>
      <c r="B239">
        <v>92</v>
      </c>
      <c r="C239">
        <v>0</v>
      </c>
      <c r="D239">
        <v>7</v>
      </c>
      <c r="E239">
        <v>7</v>
      </c>
      <c r="F239">
        <v>700</v>
      </c>
      <c r="P239" s="6">
        <f>$I$6*A239+$J$6*Student_Performance__2[[#This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357.05107980464328</v>
      </c>
    </row>
    <row r="240" spans="1:16" x14ac:dyDescent="0.3">
      <c r="A240">
        <v>2</v>
      </c>
      <c r="B240">
        <v>57</v>
      </c>
      <c r="C240">
        <v>0</v>
      </c>
      <c r="D240">
        <v>5</v>
      </c>
      <c r="E240">
        <v>8</v>
      </c>
      <c r="F240">
        <v>350</v>
      </c>
      <c r="P240" s="6">
        <f>$I$6*A240+$J$6*Student_Performance__2[[#This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203.53844315776763</v>
      </c>
    </row>
    <row r="241" spans="1:16" x14ac:dyDescent="0.3">
      <c r="A241">
        <v>2</v>
      </c>
      <c r="B241">
        <v>71</v>
      </c>
      <c r="C241">
        <v>1</v>
      </c>
      <c r="D241">
        <v>5</v>
      </c>
      <c r="E241">
        <v>4</v>
      </c>
      <c r="F241">
        <v>470</v>
      </c>
      <c r="P241" s="6">
        <f>$I$6*A241+$J$6*Student_Performance__2[[#This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159.18001627716825</v>
      </c>
    </row>
    <row r="242" spans="1:16" x14ac:dyDescent="0.3">
      <c r="A242">
        <v>6</v>
      </c>
      <c r="B242">
        <v>77</v>
      </c>
      <c r="C242">
        <v>0</v>
      </c>
      <c r="D242">
        <v>6</v>
      </c>
      <c r="E242">
        <v>8</v>
      </c>
      <c r="F242">
        <v>660</v>
      </c>
      <c r="P242" s="6">
        <f>$I$6*A242+$J$6*Student_Performance__2[[#This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314.46690666686101</v>
      </c>
    </row>
    <row r="243" spans="1:16" x14ac:dyDescent="0.3">
      <c r="A243">
        <v>3</v>
      </c>
      <c r="B243">
        <v>62</v>
      </c>
      <c r="C243">
        <v>1</v>
      </c>
      <c r="D243">
        <v>9</v>
      </c>
      <c r="E243">
        <v>0</v>
      </c>
      <c r="F243">
        <v>430</v>
      </c>
      <c r="P243" s="6">
        <f>$I$6*A243+$J$6*Student_Performance__2[[#This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45.920783820727024</v>
      </c>
    </row>
    <row r="244" spans="1:16" x14ac:dyDescent="0.3">
      <c r="A244">
        <v>9</v>
      </c>
      <c r="B244">
        <v>85</v>
      </c>
      <c r="C244">
        <v>0</v>
      </c>
      <c r="D244">
        <v>8</v>
      </c>
      <c r="E244">
        <v>6</v>
      </c>
      <c r="F244">
        <v>810</v>
      </c>
      <c r="P244" s="6">
        <f>$I$6*A244+$J$6*Student_Performance__2[[#This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320.77247079845489</v>
      </c>
    </row>
    <row r="245" spans="1:16" x14ac:dyDescent="0.3">
      <c r="A245">
        <v>4</v>
      </c>
      <c r="B245">
        <v>62</v>
      </c>
      <c r="C245">
        <v>1</v>
      </c>
      <c r="D245">
        <v>4</v>
      </c>
      <c r="E245">
        <v>6</v>
      </c>
      <c r="F245">
        <v>430</v>
      </c>
      <c r="P245" s="6">
        <f>$I$6*A245+$J$6*Student_Performance__2[[#This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168.84429989072299</v>
      </c>
    </row>
    <row r="246" spans="1:16" x14ac:dyDescent="0.3">
      <c r="A246">
        <v>1</v>
      </c>
      <c r="B246">
        <v>74</v>
      </c>
      <c r="C246">
        <v>1</v>
      </c>
      <c r="D246">
        <v>7</v>
      </c>
      <c r="E246">
        <v>5</v>
      </c>
      <c r="F246">
        <v>460</v>
      </c>
      <c r="P246" s="6">
        <f>$I$6*A246+$J$6*Student_Performance__2[[#This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220.10299106755878</v>
      </c>
    </row>
    <row r="247" spans="1:16" x14ac:dyDescent="0.3">
      <c r="A247">
        <v>4</v>
      </c>
      <c r="B247">
        <v>78</v>
      </c>
      <c r="C247">
        <v>0</v>
      </c>
      <c r="D247">
        <v>8</v>
      </c>
      <c r="E247">
        <v>3</v>
      </c>
      <c r="F247">
        <v>610</v>
      </c>
      <c r="P247" s="6">
        <f>$I$6*A247+$J$6*Student_Performance__2[[#This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192.06451472739212</v>
      </c>
    </row>
    <row r="248" spans="1:16" x14ac:dyDescent="0.3">
      <c r="A248">
        <v>1</v>
      </c>
      <c r="B248">
        <v>54</v>
      </c>
      <c r="C248">
        <v>0</v>
      </c>
      <c r="D248">
        <v>4</v>
      </c>
      <c r="E248">
        <v>8</v>
      </c>
      <c r="F248">
        <v>270</v>
      </c>
      <c r="P248" s="6">
        <f>$I$6*A248+$J$6*Student_Performance__2[[#This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177.37317207336474</v>
      </c>
    </row>
    <row r="249" spans="1:16" x14ac:dyDescent="0.3">
      <c r="A249">
        <v>5</v>
      </c>
      <c r="B249">
        <v>92</v>
      </c>
      <c r="C249">
        <v>0</v>
      </c>
      <c r="D249">
        <v>7</v>
      </c>
      <c r="E249">
        <v>2</v>
      </c>
      <c r="F249">
        <v>770</v>
      </c>
      <c r="P249" s="6">
        <f>$I$6*A249+$J$6*Student_Performance__2[[#This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219.92201081015293</v>
      </c>
    </row>
    <row r="250" spans="1:16" x14ac:dyDescent="0.3">
      <c r="A250">
        <v>4</v>
      </c>
      <c r="B250">
        <v>63</v>
      </c>
      <c r="C250">
        <v>0</v>
      </c>
      <c r="D250">
        <v>7</v>
      </c>
      <c r="E250">
        <v>0</v>
      </c>
      <c r="F250">
        <v>430</v>
      </c>
      <c r="P250" s="6">
        <f>$I$6*A250+$J$6*Student_Performance__2[[#This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26.518640559502046</v>
      </c>
    </row>
    <row r="251" spans="1:16" x14ac:dyDescent="0.3">
      <c r="A251">
        <v>8</v>
      </c>
      <c r="B251">
        <v>67</v>
      </c>
      <c r="C251">
        <v>1</v>
      </c>
      <c r="D251">
        <v>5</v>
      </c>
      <c r="E251">
        <v>1</v>
      </c>
      <c r="F251">
        <v>600</v>
      </c>
      <c r="P251" s="6">
        <f>$I$6*A251+$J$6*Student_Performance__2[[#This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67.121477973548622</v>
      </c>
    </row>
    <row r="252" spans="1:16" x14ac:dyDescent="0.3">
      <c r="A252">
        <v>8</v>
      </c>
      <c r="B252">
        <v>55</v>
      </c>
      <c r="C252">
        <v>0</v>
      </c>
      <c r="D252">
        <v>6</v>
      </c>
      <c r="E252">
        <v>2</v>
      </c>
      <c r="F252">
        <v>480</v>
      </c>
      <c r="P252" s="6">
        <f>$I$6*A252+$J$6*Student_Performance__2[[#This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44.946676492799554</v>
      </c>
    </row>
    <row r="253" spans="1:16" x14ac:dyDescent="0.3">
      <c r="A253">
        <v>7</v>
      </c>
      <c r="B253">
        <v>55</v>
      </c>
      <c r="C253">
        <v>1</v>
      </c>
      <c r="D253">
        <v>8</v>
      </c>
      <c r="E253">
        <v>1</v>
      </c>
      <c r="F253">
        <v>470</v>
      </c>
      <c r="P253" s="6">
        <f>$I$6*A253+$J$6*Student_Performance__2[[#This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40.300514654597123</v>
      </c>
    </row>
    <row r="254" spans="1:16" x14ac:dyDescent="0.3">
      <c r="A254">
        <v>3</v>
      </c>
      <c r="B254">
        <v>79</v>
      </c>
      <c r="C254">
        <v>1</v>
      </c>
      <c r="D254">
        <v>7</v>
      </c>
      <c r="E254">
        <v>5</v>
      </c>
      <c r="F254">
        <v>600</v>
      </c>
      <c r="P254" s="6">
        <f>$I$6*A254+$J$6*Student_Performance__2[[#This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247.34869537312778</v>
      </c>
    </row>
    <row r="255" spans="1:16" x14ac:dyDescent="0.3">
      <c r="A255">
        <v>1</v>
      </c>
      <c r="B255">
        <v>78</v>
      </c>
      <c r="C255">
        <v>1</v>
      </c>
      <c r="D255">
        <v>8</v>
      </c>
      <c r="E255">
        <v>6</v>
      </c>
      <c r="F255">
        <v>530</v>
      </c>
      <c r="P255" s="6">
        <f>$I$6*A255+$J$6*Student_Performance__2[[#This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277.48591108265902</v>
      </c>
    </row>
    <row r="256" spans="1:16" x14ac:dyDescent="0.3">
      <c r="A256">
        <v>1</v>
      </c>
      <c r="B256">
        <v>45</v>
      </c>
      <c r="C256">
        <v>0</v>
      </c>
      <c r="D256">
        <v>7</v>
      </c>
      <c r="E256">
        <v>4</v>
      </c>
      <c r="F256">
        <v>190</v>
      </c>
      <c r="P256" s="6">
        <f>$I$6*A256+$J$6*Student_Performance__2[[#This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51.810132521890466</v>
      </c>
    </row>
    <row r="257" spans="1:16" x14ac:dyDescent="0.3">
      <c r="A257">
        <v>3</v>
      </c>
      <c r="B257">
        <v>41</v>
      </c>
      <c r="C257">
        <v>1</v>
      </c>
      <c r="D257">
        <v>9</v>
      </c>
      <c r="E257">
        <v>4</v>
      </c>
      <c r="F257">
        <v>230</v>
      </c>
      <c r="P257" s="6">
        <f>$I$6*A257+$J$6*Student_Performance__2[[#This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63.565708278674833</v>
      </c>
    </row>
    <row r="258" spans="1:16" x14ac:dyDescent="0.3">
      <c r="A258">
        <v>6</v>
      </c>
      <c r="B258">
        <v>93</v>
      </c>
      <c r="C258">
        <v>1</v>
      </c>
      <c r="D258">
        <v>5</v>
      </c>
      <c r="E258">
        <v>6</v>
      </c>
      <c r="F258">
        <v>810</v>
      </c>
      <c r="P258" s="6">
        <f>$I$6*A258+$J$6*Student_Performance__2[[#This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326.45486703755245</v>
      </c>
    </row>
    <row r="259" spans="1:16" x14ac:dyDescent="0.3">
      <c r="A259">
        <v>7</v>
      </c>
      <c r="B259">
        <v>52</v>
      </c>
      <c r="C259">
        <v>0</v>
      </c>
      <c r="D259">
        <v>6</v>
      </c>
      <c r="E259">
        <v>5</v>
      </c>
      <c r="F259">
        <v>410</v>
      </c>
      <c r="P259" s="6">
        <f>$I$6*A259+$J$6*Student_Performance__2[[#This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115.01995962943846</v>
      </c>
    </row>
    <row r="260" spans="1:16" x14ac:dyDescent="0.3">
      <c r="A260">
        <v>6</v>
      </c>
      <c r="B260">
        <v>83</v>
      </c>
      <c r="C260">
        <v>1</v>
      </c>
      <c r="D260">
        <v>4</v>
      </c>
      <c r="E260">
        <v>7</v>
      </c>
      <c r="F260">
        <v>710</v>
      </c>
      <c r="P260" s="6">
        <f>$I$6*A260+$J$6*Student_Performance__2[[#This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298.68660523548061</v>
      </c>
    </row>
    <row r="261" spans="1:16" x14ac:dyDescent="0.3">
      <c r="A261">
        <v>6</v>
      </c>
      <c r="B261">
        <v>86</v>
      </c>
      <c r="C261">
        <v>1</v>
      </c>
      <c r="D261">
        <v>4</v>
      </c>
      <c r="E261">
        <v>8</v>
      </c>
      <c r="F261">
        <v>750</v>
      </c>
      <c r="P261" s="6">
        <f>$I$6*A261+$J$6*Student_Performance__2[[#This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341.21686232073415</v>
      </c>
    </row>
    <row r="262" spans="1:16" x14ac:dyDescent="0.3">
      <c r="A262">
        <v>6</v>
      </c>
      <c r="B262">
        <v>98</v>
      </c>
      <c r="C262">
        <v>1</v>
      </c>
      <c r="D262">
        <v>9</v>
      </c>
      <c r="E262">
        <v>1</v>
      </c>
      <c r="F262">
        <v>890</v>
      </c>
      <c r="P262" s="6">
        <f>$I$6*A262+$J$6*Student_Performance__2[[#This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247.14204127397608</v>
      </c>
    </row>
    <row r="263" spans="1:16" x14ac:dyDescent="0.3">
      <c r="A263">
        <v>3</v>
      </c>
      <c r="B263">
        <v>48</v>
      </c>
      <c r="C263">
        <v>0</v>
      </c>
      <c r="D263">
        <v>5</v>
      </c>
      <c r="E263">
        <v>1</v>
      </c>
      <c r="F263">
        <v>280</v>
      </c>
      <c r="P263" s="6">
        <f>$I$6*A263+$J$6*Student_Performance__2[[#This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-36.655868319885599</v>
      </c>
    </row>
    <row r="264" spans="1:16" x14ac:dyDescent="0.3">
      <c r="A264">
        <v>6</v>
      </c>
      <c r="B264">
        <v>73</v>
      </c>
      <c r="C264">
        <v>1</v>
      </c>
      <c r="D264">
        <v>7</v>
      </c>
      <c r="E264">
        <v>0</v>
      </c>
      <c r="F264">
        <v>600</v>
      </c>
      <c r="P264" s="6">
        <f>$I$6*A264+$J$6*Student_Performance__2[[#This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82.49669839989815</v>
      </c>
    </row>
    <row r="265" spans="1:16" x14ac:dyDescent="0.3">
      <c r="A265">
        <v>8</v>
      </c>
      <c r="B265">
        <v>56</v>
      </c>
      <c r="C265">
        <v>1</v>
      </c>
      <c r="D265">
        <v>5</v>
      </c>
      <c r="E265">
        <v>6</v>
      </c>
      <c r="F265">
        <v>540</v>
      </c>
      <c r="P265" s="6">
        <f>$I$6*A265+$J$6*Student_Performance__2[[#This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159.64007549194599</v>
      </c>
    </row>
    <row r="266" spans="1:16" x14ac:dyDescent="0.3">
      <c r="A266">
        <v>2</v>
      </c>
      <c r="B266">
        <v>66</v>
      </c>
      <c r="C266">
        <v>1</v>
      </c>
      <c r="D266">
        <v>6</v>
      </c>
      <c r="E266">
        <v>3</v>
      </c>
      <c r="F266">
        <v>410</v>
      </c>
      <c r="P266" s="6">
        <f>$I$6*A266+$J$6*Student_Performance__2[[#This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117.64095813239163</v>
      </c>
    </row>
    <row r="267" spans="1:16" x14ac:dyDescent="0.3">
      <c r="A267">
        <v>5</v>
      </c>
      <c r="B267">
        <v>68</v>
      </c>
      <c r="C267">
        <v>0</v>
      </c>
      <c r="D267">
        <v>4</v>
      </c>
      <c r="E267">
        <v>8</v>
      </c>
      <c r="F267">
        <v>520</v>
      </c>
      <c r="P267" s="6">
        <f>$I$6*A267+$J$6*Student_Performance__2[[#This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250.34653267032871</v>
      </c>
    </row>
    <row r="268" spans="1:16" x14ac:dyDescent="0.3">
      <c r="A268">
        <v>1</v>
      </c>
      <c r="B268">
        <v>76</v>
      </c>
      <c r="C268">
        <v>0</v>
      </c>
      <c r="D268">
        <v>8</v>
      </c>
      <c r="E268">
        <v>5</v>
      </c>
      <c r="F268">
        <v>530</v>
      </c>
      <c r="P268" s="6">
        <f>$I$6*A268+$J$6*Student_Performance__2[[#This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233.9462284413176</v>
      </c>
    </row>
    <row r="269" spans="1:16" x14ac:dyDescent="0.3">
      <c r="A269">
        <v>1</v>
      </c>
      <c r="B269">
        <v>82</v>
      </c>
      <c r="C269">
        <v>0</v>
      </c>
      <c r="D269">
        <v>4</v>
      </c>
      <c r="E269">
        <v>6</v>
      </c>
      <c r="F269">
        <v>520</v>
      </c>
      <c r="P269" s="6">
        <f>$I$6*A269+$J$6*Student_Performance__2[[#This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249.40924978238053</v>
      </c>
    </row>
    <row r="270" spans="1:16" x14ac:dyDescent="0.3">
      <c r="A270">
        <v>5</v>
      </c>
      <c r="B270">
        <v>61</v>
      </c>
      <c r="C270">
        <v>1</v>
      </c>
      <c r="D270">
        <v>6</v>
      </c>
      <c r="E270">
        <v>6</v>
      </c>
      <c r="F270">
        <v>470</v>
      </c>
      <c r="P270" s="6">
        <f>$I$6*A270+$J$6*Student_Performance__2[[#This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186.75979392268965</v>
      </c>
    </row>
    <row r="271" spans="1:16" x14ac:dyDescent="0.3">
      <c r="A271">
        <v>3</v>
      </c>
      <c r="B271">
        <v>90</v>
      </c>
      <c r="C271">
        <v>1</v>
      </c>
      <c r="D271">
        <v>7</v>
      </c>
      <c r="E271">
        <v>7</v>
      </c>
      <c r="F271">
        <v>710</v>
      </c>
      <c r="P271" s="6">
        <f>$I$6*A271+$J$6*Student_Performance__2[[#This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355.51164952591756</v>
      </c>
    </row>
    <row r="272" spans="1:16" x14ac:dyDescent="0.3">
      <c r="A272">
        <v>4</v>
      </c>
      <c r="B272">
        <v>63</v>
      </c>
      <c r="C272">
        <v>1</v>
      </c>
      <c r="D272">
        <v>5</v>
      </c>
      <c r="E272">
        <v>3</v>
      </c>
      <c r="F272">
        <v>420</v>
      </c>
      <c r="P272" s="6">
        <f>$I$6*A272+$J$6*Student_Performance__2[[#This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97.690583532917969</v>
      </c>
    </row>
    <row r="273" spans="1:16" x14ac:dyDescent="0.3">
      <c r="A273">
        <v>3</v>
      </c>
      <c r="B273">
        <v>46</v>
      </c>
      <c r="C273">
        <v>1</v>
      </c>
      <c r="D273">
        <v>4</v>
      </c>
      <c r="E273">
        <v>2</v>
      </c>
      <c r="F273">
        <v>210</v>
      </c>
      <c r="P273" s="6">
        <f>$I$6*A273+$J$6*Student_Performance__2[[#This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-21.830312597760496</v>
      </c>
    </row>
    <row r="274" spans="1:16" x14ac:dyDescent="0.3">
      <c r="A274">
        <v>1</v>
      </c>
      <c r="B274">
        <v>73</v>
      </c>
      <c r="C274">
        <v>1</v>
      </c>
      <c r="D274">
        <v>4</v>
      </c>
      <c r="E274">
        <v>2</v>
      </c>
      <c r="F274">
        <v>480</v>
      </c>
      <c r="P274" s="6">
        <f>$I$6*A274+$J$6*Student_Performance__2[[#This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98.779598983280323</v>
      </c>
    </row>
    <row r="275" spans="1:16" x14ac:dyDescent="0.3">
      <c r="A275">
        <v>1</v>
      </c>
      <c r="B275">
        <v>87</v>
      </c>
      <c r="C275">
        <v>0</v>
      </c>
      <c r="D275">
        <v>8</v>
      </c>
      <c r="E275">
        <v>9</v>
      </c>
      <c r="F275">
        <v>640</v>
      </c>
      <c r="P275" s="6">
        <f>$I$6*A275+$J$6*Student_Performance__2[[#This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399.44676878587524</v>
      </c>
    </row>
    <row r="276" spans="1:16" x14ac:dyDescent="0.3">
      <c r="A276">
        <v>5</v>
      </c>
      <c r="B276">
        <v>51</v>
      </c>
      <c r="C276">
        <v>1</v>
      </c>
      <c r="D276">
        <v>5</v>
      </c>
      <c r="E276">
        <v>7</v>
      </c>
      <c r="F276">
        <v>380</v>
      </c>
      <c r="P276" s="6">
        <f>$I$6*A276+$J$6*Student_Performance__2[[#This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158.99153212061788</v>
      </c>
    </row>
    <row r="277" spans="1:16" x14ac:dyDescent="0.3">
      <c r="A277">
        <v>6</v>
      </c>
      <c r="B277">
        <v>62</v>
      </c>
      <c r="C277">
        <v>1</v>
      </c>
      <c r="D277">
        <v>8</v>
      </c>
      <c r="E277">
        <v>2</v>
      </c>
      <c r="F277">
        <v>490</v>
      </c>
      <c r="P277" s="6">
        <f>$I$6*A277+$J$6*Student_Performance__2[[#This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99.241091564033866</v>
      </c>
    </row>
    <row r="278" spans="1:16" x14ac:dyDescent="0.3">
      <c r="A278">
        <v>3</v>
      </c>
      <c r="B278">
        <v>54</v>
      </c>
      <c r="C278">
        <v>0</v>
      </c>
      <c r="D278">
        <v>8</v>
      </c>
      <c r="E278">
        <v>7</v>
      </c>
      <c r="F278">
        <v>350</v>
      </c>
      <c r="P278" s="6">
        <f>$I$6*A278+$J$6*Student_Performance__2[[#This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193.77634303432734</v>
      </c>
    </row>
    <row r="279" spans="1:16" x14ac:dyDescent="0.3">
      <c r="A279">
        <v>9</v>
      </c>
      <c r="B279">
        <v>72</v>
      </c>
      <c r="C279">
        <v>0</v>
      </c>
      <c r="D279">
        <v>7</v>
      </c>
      <c r="E279">
        <v>1</v>
      </c>
      <c r="F279">
        <v>730</v>
      </c>
      <c r="P279" s="6">
        <f>$I$6*A279+$J$6*Student_Performance__2[[#This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107.12998643171017</v>
      </c>
    </row>
    <row r="280" spans="1:16" x14ac:dyDescent="0.3">
      <c r="A280">
        <v>5</v>
      </c>
      <c r="B280">
        <v>96</v>
      </c>
      <c r="C280">
        <v>1</v>
      </c>
      <c r="D280">
        <v>4</v>
      </c>
      <c r="E280">
        <v>4</v>
      </c>
      <c r="F280">
        <v>810</v>
      </c>
      <c r="P280" s="6">
        <f>$I$6*A280+$J$6*Student_Performance__2[[#This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270.67493774012104</v>
      </c>
    </row>
    <row r="281" spans="1:16" x14ac:dyDescent="0.3">
      <c r="A281">
        <v>8</v>
      </c>
      <c r="B281">
        <v>52</v>
      </c>
      <c r="C281">
        <v>0</v>
      </c>
      <c r="D281">
        <v>9</v>
      </c>
      <c r="E281">
        <v>4</v>
      </c>
      <c r="F281">
        <v>470</v>
      </c>
      <c r="P281" s="6">
        <f>$I$6*A281+$J$6*Student_Performance__2[[#This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119.11932349536784</v>
      </c>
    </row>
    <row r="282" spans="1:16" x14ac:dyDescent="0.3">
      <c r="A282">
        <v>1</v>
      </c>
      <c r="B282">
        <v>62</v>
      </c>
      <c r="C282">
        <v>0</v>
      </c>
      <c r="D282">
        <v>5</v>
      </c>
      <c r="E282">
        <v>6</v>
      </c>
      <c r="F282">
        <v>360</v>
      </c>
      <c r="P282" s="6">
        <f>$I$6*A282+$J$6*Student_Performance__2[[#This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167.23166478663956</v>
      </c>
    </row>
    <row r="283" spans="1:16" x14ac:dyDescent="0.3">
      <c r="A283">
        <v>5</v>
      </c>
      <c r="B283">
        <v>77</v>
      </c>
      <c r="C283">
        <v>0</v>
      </c>
      <c r="D283">
        <v>7</v>
      </c>
      <c r="E283">
        <v>4</v>
      </c>
      <c r="F283">
        <v>630</v>
      </c>
      <c r="P283" s="6">
        <f>$I$6*A283+$J$6*Student_Performance__2[[#This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207.95227705507244</v>
      </c>
    </row>
    <row r="284" spans="1:16" x14ac:dyDescent="0.3">
      <c r="A284">
        <v>3</v>
      </c>
      <c r="B284">
        <v>71</v>
      </c>
      <c r="C284">
        <v>1</v>
      </c>
      <c r="D284">
        <v>9</v>
      </c>
      <c r="E284">
        <v>8</v>
      </c>
      <c r="F284">
        <v>520</v>
      </c>
      <c r="P284" s="6">
        <f>$I$6*A284+$J$6*Student_Performance__2[[#This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316.85552055590705</v>
      </c>
    </row>
    <row r="285" spans="1:16" x14ac:dyDescent="0.3">
      <c r="A285">
        <v>1</v>
      </c>
      <c r="B285">
        <v>84</v>
      </c>
      <c r="C285">
        <v>0</v>
      </c>
      <c r="D285">
        <v>7</v>
      </c>
      <c r="E285">
        <v>2</v>
      </c>
      <c r="F285">
        <v>580</v>
      </c>
      <c r="P285" s="6">
        <f>$I$6*A285+$J$6*Student_Performance__2[[#This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174.67157819192829</v>
      </c>
    </row>
    <row r="286" spans="1:16" x14ac:dyDescent="0.3">
      <c r="A286">
        <v>4</v>
      </c>
      <c r="B286">
        <v>89</v>
      </c>
      <c r="C286">
        <v>1</v>
      </c>
      <c r="D286">
        <v>7</v>
      </c>
      <c r="E286">
        <v>8</v>
      </c>
      <c r="F286">
        <v>770</v>
      </c>
      <c r="P286" s="6">
        <f>$I$6*A286+$J$6*Student_Performance__2[[#This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381.63158678698795</v>
      </c>
    </row>
    <row r="287" spans="1:16" x14ac:dyDescent="0.3">
      <c r="A287">
        <v>5</v>
      </c>
      <c r="B287">
        <v>74</v>
      </c>
      <c r="C287">
        <v>0</v>
      </c>
      <c r="D287">
        <v>6</v>
      </c>
      <c r="E287">
        <v>0</v>
      </c>
      <c r="F287">
        <v>580</v>
      </c>
      <c r="P287" s="6">
        <f>$I$6*A287+$J$6*Student_Performance__2[[#This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69.183465748777166</v>
      </c>
    </row>
    <row r="288" spans="1:16" x14ac:dyDescent="0.3">
      <c r="A288">
        <v>7</v>
      </c>
      <c r="B288">
        <v>40</v>
      </c>
      <c r="C288">
        <v>1</v>
      </c>
      <c r="D288">
        <v>6</v>
      </c>
      <c r="E288">
        <v>2</v>
      </c>
      <c r="F288">
        <v>330</v>
      </c>
      <c r="P288" s="6">
        <f>$I$6*A288+$J$6*Student_Performance__2[[#This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-20.802362063147541</v>
      </c>
    </row>
    <row r="289" spans="1:16" x14ac:dyDescent="0.3">
      <c r="A289">
        <v>1</v>
      </c>
      <c r="B289">
        <v>86</v>
      </c>
      <c r="C289">
        <v>1</v>
      </c>
      <c r="D289">
        <v>7</v>
      </c>
      <c r="E289">
        <v>3</v>
      </c>
      <c r="F289">
        <v>670</v>
      </c>
      <c r="P289" s="6">
        <f>$I$6*A289+$J$6*Student_Performance__2[[#This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218.21126083326971</v>
      </c>
    </row>
    <row r="290" spans="1:16" x14ac:dyDescent="0.3">
      <c r="A290">
        <v>3</v>
      </c>
      <c r="B290">
        <v>97</v>
      </c>
      <c r="C290">
        <v>1</v>
      </c>
      <c r="D290">
        <v>6</v>
      </c>
      <c r="E290">
        <v>5</v>
      </c>
      <c r="F290">
        <v>760</v>
      </c>
      <c r="P290" s="6">
        <f>$I$6*A290+$J$6*Student_Performance__2[[#This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320.28530437595572</v>
      </c>
    </row>
    <row r="291" spans="1:16" x14ac:dyDescent="0.3">
      <c r="A291">
        <v>2</v>
      </c>
      <c r="B291">
        <v>84</v>
      </c>
      <c r="C291">
        <v>0</v>
      </c>
      <c r="D291">
        <v>5</v>
      </c>
      <c r="E291">
        <v>9</v>
      </c>
      <c r="F291">
        <v>620</v>
      </c>
      <c r="P291" s="6">
        <f>$I$6*A291+$J$6*Student_Performance__2[[#This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356.9604121579784</v>
      </c>
    </row>
    <row r="292" spans="1:16" x14ac:dyDescent="0.3">
      <c r="A292">
        <v>9</v>
      </c>
      <c r="B292">
        <v>44</v>
      </c>
      <c r="C292">
        <v>0</v>
      </c>
      <c r="D292">
        <v>4</v>
      </c>
      <c r="E292">
        <v>7</v>
      </c>
      <c r="F292">
        <v>370</v>
      </c>
      <c r="P292" s="6">
        <f>$I$6*A292+$J$6*Student_Performance__2[[#This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119.07255630605977</v>
      </c>
    </row>
    <row r="293" spans="1:16" x14ac:dyDescent="0.3">
      <c r="A293">
        <v>6</v>
      </c>
      <c r="B293">
        <v>96</v>
      </c>
      <c r="C293">
        <v>0</v>
      </c>
      <c r="D293">
        <v>9</v>
      </c>
      <c r="E293">
        <v>6</v>
      </c>
      <c r="F293">
        <v>860</v>
      </c>
      <c r="P293" s="6">
        <f>$I$6*A293+$J$6*Student_Performance__2[[#This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375.615117207938</v>
      </c>
    </row>
    <row r="294" spans="1:16" x14ac:dyDescent="0.3">
      <c r="A294">
        <v>3</v>
      </c>
      <c r="B294">
        <v>52</v>
      </c>
      <c r="C294">
        <v>1</v>
      </c>
      <c r="D294">
        <v>5</v>
      </c>
      <c r="E294">
        <v>7</v>
      </c>
      <c r="F294">
        <v>370</v>
      </c>
      <c r="P294" s="6">
        <f>$I$6*A294+$J$6*Student_Performance__2[[#This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159.46875579378832</v>
      </c>
    </row>
    <row r="295" spans="1:16" x14ac:dyDescent="0.3">
      <c r="A295">
        <v>8</v>
      </c>
      <c r="B295">
        <v>93</v>
      </c>
      <c r="C295">
        <v>0</v>
      </c>
      <c r="D295">
        <v>4</v>
      </c>
      <c r="E295">
        <v>5</v>
      </c>
      <c r="F295">
        <v>880</v>
      </c>
      <c r="P295" s="6">
        <f>$I$6*A295+$J$6*Student_Performance__2[[#This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286.06724977902007</v>
      </c>
    </row>
    <row r="296" spans="1:16" x14ac:dyDescent="0.3">
      <c r="A296">
        <v>8</v>
      </c>
      <c r="B296">
        <v>44</v>
      </c>
      <c r="C296">
        <v>0</v>
      </c>
      <c r="D296">
        <v>6</v>
      </c>
      <c r="E296">
        <v>5</v>
      </c>
      <c r="F296">
        <v>380</v>
      </c>
      <c r="P296" s="6">
        <f>$I$6*A296+$J$6*Student_Performance__2[[#This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80.12768781942907</v>
      </c>
    </row>
    <row r="297" spans="1:16" x14ac:dyDescent="0.3">
      <c r="A297">
        <v>2</v>
      </c>
      <c r="B297">
        <v>99</v>
      </c>
      <c r="C297">
        <v>1</v>
      </c>
      <c r="D297">
        <v>9</v>
      </c>
      <c r="E297">
        <v>5</v>
      </c>
      <c r="F297">
        <v>760</v>
      </c>
      <c r="P297" s="6">
        <f>$I$6*A297+$J$6*Student_Performance__2[[#This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358.15117300739593</v>
      </c>
    </row>
    <row r="298" spans="1:16" x14ac:dyDescent="0.3">
      <c r="A298">
        <v>6</v>
      </c>
      <c r="B298">
        <v>71</v>
      </c>
      <c r="C298">
        <v>0</v>
      </c>
      <c r="D298">
        <v>5</v>
      </c>
      <c r="E298">
        <v>2</v>
      </c>
      <c r="F298">
        <v>570</v>
      </c>
      <c r="P298" s="6">
        <f>$I$6*A298+$J$6*Student_Performance__2[[#This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104.49904517942826</v>
      </c>
    </row>
    <row r="299" spans="1:16" x14ac:dyDescent="0.3">
      <c r="A299">
        <v>7</v>
      </c>
      <c r="B299">
        <v>90</v>
      </c>
      <c r="C299">
        <v>1</v>
      </c>
      <c r="D299">
        <v>8</v>
      </c>
      <c r="E299">
        <v>9</v>
      </c>
      <c r="F299">
        <v>820</v>
      </c>
      <c r="P299" s="6">
        <f>$I$6*A299+$J$6*Student_Performance__2[[#This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431.36793929764764</v>
      </c>
    </row>
    <row r="300" spans="1:16" x14ac:dyDescent="0.3">
      <c r="A300">
        <v>2</v>
      </c>
      <c r="B300">
        <v>60</v>
      </c>
      <c r="C300">
        <v>0</v>
      </c>
      <c r="D300">
        <v>7</v>
      </c>
      <c r="E300">
        <v>3</v>
      </c>
      <c r="F300">
        <v>350</v>
      </c>
      <c r="P300" s="6">
        <f>$I$6*A300+$J$6*Student_Performance__2[[#This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94.520291534497971</v>
      </c>
    </row>
    <row r="301" spans="1:16" x14ac:dyDescent="0.3">
      <c r="A301">
        <v>2</v>
      </c>
      <c r="B301">
        <v>63</v>
      </c>
      <c r="C301">
        <v>1</v>
      </c>
      <c r="D301">
        <v>4</v>
      </c>
      <c r="E301">
        <v>5</v>
      </c>
      <c r="F301">
        <v>410</v>
      </c>
      <c r="P301" s="6">
        <f>$I$6*A301+$J$6*Student_Performance__2[[#This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140.65273046800951</v>
      </c>
    </row>
    <row r="302" spans="1:16" x14ac:dyDescent="0.3">
      <c r="A302">
        <v>1</v>
      </c>
      <c r="B302">
        <v>99</v>
      </c>
      <c r="C302">
        <v>1</v>
      </c>
      <c r="D302">
        <v>4</v>
      </c>
      <c r="E302">
        <v>6</v>
      </c>
      <c r="F302">
        <v>750</v>
      </c>
      <c r="P302" s="6">
        <f>$I$6*A302+$J$6*Student_Performance__2[[#This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333.58745927468641</v>
      </c>
    </row>
    <row r="303" spans="1:16" x14ac:dyDescent="0.3">
      <c r="A303">
        <v>8</v>
      </c>
      <c r="B303">
        <v>57</v>
      </c>
      <c r="C303">
        <v>0</v>
      </c>
      <c r="D303">
        <v>8</v>
      </c>
      <c r="E303">
        <v>2</v>
      </c>
      <c r="F303">
        <v>510</v>
      </c>
      <c r="P303" s="6">
        <f>$I$6*A303+$J$6*Student_Performance__2[[#This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74.65200235249273</v>
      </c>
    </row>
    <row r="304" spans="1:16" x14ac:dyDescent="0.3">
      <c r="A304">
        <v>1</v>
      </c>
      <c r="B304">
        <v>60</v>
      </c>
      <c r="C304">
        <v>1</v>
      </c>
      <c r="D304">
        <v>8</v>
      </c>
      <c r="E304">
        <v>3</v>
      </c>
      <c r="F304">
        <v>340</v>
      </c>
      <c r="P304" s="6">
        <f>$I$6*A304+$J$6*Student_Performance__2[[#This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108.31074785878934</v>
      </c>
    </row>
    <row r="305" spans="1:16" x14ac:dyDescent="0.3">
      <c r="A305">
        <v>9</v>
      </c>
      <c r="B305">
        <v>93</v>
      </c>
      <c r="C305">
        <v>0</v>
      </c>
      <c r="D305">
        <v>7</v>
      </c>
      <c r="E305">
        <v>5</v>
      </c>
      <c r="F305">
        <v>920</v>
      </c>
      <c r="P305" s="6">
        <f>$I$6*A305+$J$6*Student_Performance__2[[#This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318.83540674083332</v>
      </c>
    </row>
    <row r="306" spans="1:16" x14ac:dyDescent="0.3">
      <c r="A306">
        <v>6</v>
      </c>
      <c r="B306">
        <v>49</v>
      </c>
      <c r="C306">
        <v>0</v>
      </c>
      <c r="D306">
        <v>6</v>
      </c>
      <c r="E306">
        <v>0</v>
      </c>
      <c r="F306">
        <v>390</v>
      </c>
      <c r="P306" s="6">
        <f>$I$6*A306+$J$6*Student_Performance__2[[#This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-44.257102000993711</v>
      </c>
    </row>
    <row r="307" spans="1:16" x14ac:dyDescent="0.3">
      <c r="A307">
        <v>7</v>
      </c>
      <c r="B307">
        <v>63</v>
      </c>
      <c r="C307">
        <v>0</v>
      </c>
      <c r="D307">
        <v>5</v>
      </c>
      <c r="E307">
        <v>6</v>
      </c>
      <c r="F307">
        <v>560</v>
      </c>
      <c r="P307" s="6">
        <f>$I$6*A307+$J$6*Student_Performance__2[[#This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184.28194575295441</v>
      </c>
    </row>
    <row r="308" spans="1:16" x14ac:dyDescent="0.3">
      <c r="A308">
        <v>7</v>
      </c>
      <c r="B308">
        <v>79</v>
      </c>
      <c r="C308">
        <v>0</v>
      </c>
      <c r="D308">
        <v>5</v>
      </c>
      <c r="E308">
        <v>0</v>
      </c>
      <c r="F308">
        <v>690</v>
      </c>
      <c r="P308" s="6">
        <f>$I$6*A308+$J$6*Student_Performance__2[[#This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86.196995120955989</v>
      </c>
    </row>
    <row r="309" spans="1:16" x14ac:dyDescent="0.3">
      <c r="A309">
        <v>3</v>
      </c>
      <c r="B309">
        <v>86</v>
      </c>
      <c r="C309">
        <v>1</v>
      </c>
      <c r="D309">
        <v>5</v>
      </c>
      <c r="E309">
        <v>9</v>
      </c>
      <c r="F309">
        <v>690</v>
      </c>
      <c r="P309" s="6">
        <f>$I$6*A309+$J$6*Student_Performance__2[[#This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373.90293386507898</v>
      </c>
    </row>
    <row r="310" spans="1:16" x14ac:dyDescent="0.3">
      <c r="A310">
        <v>2</v>
      </c>
      <c r="B310">
        <v>60</v>
      </c>
      <c r="C310">
        <v>1</v>
      </c>
      <c r="D310">
        <v>6</v>
      </c>
      <c r="E310">
        <v>8</v>
      </c>
      <c r="F310">
        <v>400</v>
      </c>
      <c r="P310" s="6">
        <f>$I$6*A310+$J$6*Student_Performance__2[[#This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233.26199563307176</v>
      </c>
    </row>
    <row r="311" spans="1:16" x14ac:dyDescent="0.3">
      <c r="A311">
        <v>9</v>
      </c>
      <c r="B311">
        <v>64</v>
      </c>
      <c r="C311">
        <v>1</v>
      </c>
      <c r="D311">
        <v>7</v>
      </c>
      <c r="E311">
        <v>9</v>
      </c>
      <c r="F311">
        <v>630</v>
      </c>
      <c r="P311" s="6">
        <f>$I$6*A311+$J$6*Student_Performance__2[[#This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305.14634077967315</v>
      </c>
    </row>
    <row r="312" spans="1:16" x14ac:dyDescent="0.3">
      <c r="A312">
        <v>8</v>
      </c>
      <c r="B312">
        <v>91</v>
      </c>
      <c r="C312">
        <v>0</v>
      </c>
      <c r="D312">
        <v>5</v>
      </c>
      <c r="E312">
        <v>8</v>
      </c>
      <c r="F312">
        <v>860</v>
      </c>
      <c r="P312" s="6">
        <f>$I$6*A312+$J$6*Student_Performance__2[[#This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373.06482800714883</v>
      </c>
    </row>
    <row r="313" spans="1:16" x14ac:dyDescent="0.3">
      <c r="A313">
        <v>7</v>
      </c>
      <c r="B313">
        <v>99</v>
      </c>
      <c r="C313">
        <v>0</v>
      </c>
      <c r="D313">
        <v>4</v>
      </c>
      <c r="E313">
        <v>8</v>
      </c>
      <c r="F313">
        <v>890</v>
      </c>
      <c r="P313" s="6">
        <f>$I$6*A313+$J$6*Student_Performance__2[[#This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397.7249248837681</v>
      </c>
    </row>
    <row r="314" spans="1:16" x14ac:dyDescent="0.3">
      <c r="A314">
        <v>9</v>
      </c>
      <c r="B314">
        <v>96</v>
      </c>
      <c r="C314">
        <v>1</v>
      </c>
      <c r="D314">
        <v>4</v>
      </c>
      <c r="E314">
        <v>3</v>
      </c>
      <c r="F314">
        <v>940</v>
      </c>
      <c r="P314" s="6">
        <f>$I$6*A314+$J$6*Student_Performance__2[[#This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250.29267329080943</v>
      </c>
    </row>
    <row r="315" spans="1:16" x14ac:dyDescent="0.3">
      <c r="A315">
        <v>4</v>
      </c>
      <c r="B315">
        <v>98</v>
      </c>
      <c r="C315">
        <v>1</v>
      </c>
      <c r="D315">
        <v>4</v>
      </c>
      <c r="E315">
        <v>1</v>
      </c>
      <c r="F315">
        <v>790</v>
      </c>
      <c r="P315" s="6">
        <f>$I$6*A315+$J$6*Student_Performance__2[[#This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191.83790228373954</v>
      </c>
    </row>
    <row r="316" spans="1:16" x14ac:dyDescent="0.3">
      <c r="A316">
        <v>4</v>
      </c>
      <c r="B316">
        <v>62</v>
      </c>
      <c r="C316">
        <v>0</v>
      </c>
      <c r="D316">
        <v>8</v>
      </c>
      <c r="E316">
        <v>6</v>
      </c>
      <c r="F316">
        <v>440</v>
      </c>
      <c r="P316" s="6">
        <f>$I$6*A316+$J$6*Student_Performance__2[[#This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204.14308607173888</v>
      </c>
    </row>
    <row r="317" spans="1:16" x14ac:dyDescent="0.3">
      <c r="A317">
        <v>1</v>
      </c>
      <c r="B317">
        <v>61</v>
      </c>
      <c r="C317">
        <v>0</v>
      </c>
      <c r="D317">
        <v>8</v>
      </c>
      <c r="E317">
        <v>3</v>
      </c>
      <c r="F317">
        <v>330</v>
      </c>
      <c r="P317" s="6">
        <f>$I$6*A317+$J$6*Student_Performance__2[[#This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107.30132230270152</v>
      </c>
    </row>
    <row r="318" spans="1:16" x14ac:dyDescent="0.3">
      <c r="A318">
        <v>8</v>
      </c>
      <c r="B318">
        <v>43</v>
      </c>
      <c r="C318">
        <v>0</v>
      </c>
      <c r="D318">
        <v>6</v>
      </c>
      <c r="E318">
        <v>4</v>
      </c>
      <c r="F318">
        <v>360</v>
      </c>
      <c r="P318" s="6">
        <f>$I$6*A318+$J$6*Student_Performance__2[[#This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46.838406727088625</v>
      </c>
    </row>
    <row r="319" spans="1:16" x14ac:dyDescent="0.3">
      <c r="A319">
        <v>3</v>
      </c>
      <c r="B319">
        <v>73</v>
      </c>
      <c r="C319">
        <v>1</v>
      </c>
      <c r="D319">
        <v>5</v>
      </c>
      <c r="E319">
        <v>0</v>
      </c>
      <c r="F319">
        <v>500</v>
      </c>
      <c r="P319" s="6">
        <f>$I$6*A319+$J$6*Student_Performance__2[[#This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55.817452048188841</v>
      </c>
    </row>
    <row r="320" spans="1:16" x14ac:dyDescent="0.3">
      <c r="A320">
        <v>7</v>
      </c>
      <c r="B320">
        <v>95</v>
      </c>
      <c r="C320">
        <v>0</v>
      </c>
      <c r="D320">
        <v>8</v>
      </c>
      <c r="E320">
        <v>9</v>
      </c>
      <c r="F320">
        <v>940</v>
      </c>
      <c r="P320" s="6">
        <f>$I$6*A320+$J$6*Student_Performance__2[[#This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448.84046572738606</v>
      </c>
    </row>
    <row r="321" spans="1:16" x14ac:dyDescent="0.3">
      <c r="A321">
        <v>2</v>
      </c>
      <c r="B321">
        <v>45</v>
      </c>
      <c r="C321">
        <v>1</v>
      </c>
      <c r="D321">
        <v>4</v>
      </c>
      <c r="E321">
        <v>5</v>
      </c>
      <c r="F321">
        <v>220</v>
      </c>
      <c r="P321" s="6">
        <f>$I$6*A321+$J$6*Student_Performance__2[[#This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57.483946531791503</v>
      </c>
    </row>
    <row r="322" spans="1:16" x14ac:dyDescent="0.3">
      <c r="A322">
        <v>2</v>
      </c>
      <c r="B322">
        <v>67</v>
      </c>
      <c r="C322">
        <v>0</v>
      </c>
      <c r="D322">
        <v>8</v>
      </c>
      <c r="E322">
        <v>6</v>
      </c>
      <c r="F322">
        <v>440</v>
      </c>
      <c r="P322" s="6">
        <f>$I$6*A322+$J$6*Student_Performance__2[[#This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223.10226173073562</v>
      </c>
    </row>
    <row r="323" spans="1:16" x14ac:dyDescent="0.3">
      <c r="A323">
        <v>7</v>
      </c>
      <c r="B323">
        <v>70</v>
      </c>
      <c r="C323">
        <v>1</v>
      </c>
      <c r="D323">
        <v>4</v>
      </c>
      <c r="E323">
        <v>2</v>
      </c>
      <c r="F323">
        <v>600</v>
      </c>
      <c r="P323" s="6">
        <f>$I$6*A323+$J$6*Student_Performance__2[[#This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97.347927963768996</v>
      </c>
    </row>
    <row r="324" spans="1:16" x14ac:dyDescent="0.3">
      <c r="A324">
        <v>6</v>
      </c>
      <c r="B324">
        <v>74</v>
      </c>
      <c r="C324">
        <v>0</v>
      </c>
      <c r="D324">
        <v>5</v>
      </c>
      <c r="E324">
        <v>9</v>
      </c>
      <c r="F324">
        <v>640</v>
      </c>
      <c r="P324" s="6">
        <f>$I$6*A324+$J$6*Student_Performance__2[[#This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319.04206083998514</v>
      </c>
    </row>
    <row r="325" spans="1:16" x14ac:dyDescent="0.3">
      <c r="A325">
        <v>3</v>
      </c>
      <c r="B325">
        <v>78</v>
      </c>
      <c r="C325">
        <v>1</v>
      </c>
      <c r="D325">
        <v>6</v>
      </c>
      <c r="E325">
        <v>1</v>
      </c>
      <c r="F325">
        <v>580</v>
      </c>
      <c r="P325" s="6">
        <f>$I$6*A325+$J$6*Student_Performance__2[[#This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117.82086005974554</v>
      </c>
    </row>
    <row r="326" spans="1:16" x14ac:dyDescent="0.3">
      <c r="A326">
        <v>9</v>
      </c>
      <c r="B326">
        <v>81</v>
      </c>
      <c r="C326">
        <v>1</v>
      </c>
      <c r="D326">
        <v>7</v>
      </c>
      <c r="E326">
        <v>9</v>
      </c>
      <c r="F326">
        <v>780</v>
      </c>
      <c r="P326" s="6">
        <f>$I$6*A326+$J$6*Student_Performance__2[[#This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383.69463671943464</v>
      </c>
    </row>
    <row r="327" spans="1:16" x14ac:dyDescent="0.3">
      <c r="A327">
        <v>6</v>
      </c>
      <c r="B327">
        <v>62</v>
      </c>
      <c r="C327">
        <v>1</v>
      </c>
      <c r="D327">
        <v>7</v>
      </c>
      <c r="E327">
        <v>6</v>
      </c>
      <c r="F327">
        <v>510</v>
      </c>
      <c r="P327" s="6">
        <f>$I$6*A327+$J$6*Student_Performance__2[[#This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203.68408901417939</v>
      </c>
    </row>
    <row r="328" spans="1:16" x14ac:dyDescent="0.3">
      <c r="A328">
        <v>6</v>
      </c>
      <c r="B328">
        <v>45</v>
      </c>
      <c r="C328">
        <v>0</v>
      </c>
      <c r="D328">
        <v>4</v>
      </c>
      <c r="E328">
        <v>0</v>
      </c>
      <c r="F328">
        <v>300</v>
      </c>
      <c r="P328" s="6">
        <f>$I$6*A328+$J$6*Student_Performance__2[[#This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-83.203403853600037</v>
      </c>
    </row>
    <row r="329" spans="1:16" x14ac:dyDescent="0.3">
      <c r="A329">
        <v>1</v>
      </c>
      <c r="B329">
        <v>55</v>
      </c>
      <c r="C329">
        <v>1</v>
      </c>
      <c r="D329">
        <v>8</v>
      </c>
      <c r="E329">
        <v>1</v>
      </c>
      <c r="F329">
        <v>290</v>
      </c>
      <c r="P329" s="6">
        <f>$I$6*A329+$J$6*Student_Performance__2[[#This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27.870721684738783</v>
      </c>
    </row>
    <row r="330" spans="1:16" x14ac:dyDescent="0.3">
      <c r="A330">
        <v>4</v>
      </c>
      <c r="B330">
        <v>41</v>
      </c>
      <c r="C330">
        <v>1</v>
      </c>
      <c r="D330">
        <v>8</v>
      </c>
      <c r="E330">
        <v>2</v>
      </c>
      <c r="F330">
        <v>220</v>
      </c>
      <c r="P330" s="6">
        <f>$I$6*A330+$J$6*Student_Performance__2[[#This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-1.9324206848399967</v>
      </c>
    </row>
    <row r="331" spans="1:16" x14ac:dyDescent="0.3">
      <c r="A331">
        <v>6</v>
      </c>
      <c r="B331">
        <v>63</v>
      </c>
      <c r="C331">
        <v>0</v>
      </c>
      <c r="D331">
        <v>4</v>
      </c>
      <c r="E331">
        <v>3</v>
      </c>
      <c r="F331">
        <v>510</v>
      </c>
      <c r="P331" s="6">
        <f>$I$6*A331+$J$6*Student_Performance__2[[#This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85.971759370269638</v>
      </c>
    </row>
    <row r="332" spans="1:16" x14ac:dyDescent="0.3">
      <c r="A332">
        <v>6</v>
      </c>
      <c r="B332">
        <v>56</v>
      </c>
      <c r="C332">
        <v>1</v>
      </c>
      <c r="D332">
        <v>5</v>
      </c>
      <c r="E332">
        <v>4</v>
      </c>
      <c r="F332">
        <v>450</v>
      </c>
      <c r="P332" s="6">
        <f>$I$6*A332+$J$6*Student_Performance__2[[#This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98.159224976892119</v>
      </c>
    </row>
    <row r="333" spans="1:16" x14ac:dyDescent="0.3">
      <c r="A333">
        <v>5</v>
      </c>
      <c r="B333">
        <v>84</v>
      </c>
      <c r="C333">
        <v>1</v>
      </c>
      <c r="D333">
        <v>4</v>
      </c>
      <c r="E333">
        <v>3</v>
      </c>
      <c r="F333">
        <v>700</v>
      </c>
      <c r="P333" s="6">
        <f>$I$6*A333+$J$6*Student_Performance__2[[#This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186.5602886867585</v>
      </c>
    </row>
    <row r="334" spans="1:16" x14ac:dyDescent="0.3">
      <c r="A334">
        <v>1</v>
      </c>
      <c r="B334">
        <v>40</v>
      </c>
      <c r="C334">
        <v>0</v>
      </c>
      <c r="D334">
        <v>5</v>
      </c>
      <c r="E334">
        <v>9</v>
      </c>
      <c r="F334">
        <v>100</v>
      </c>
      <c r="P334" s="6">
        <f>$I$6*A334+$J$6*Student_Performance__2[[#This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151.58730815224692</v>
      </c>
    </row>
    <row r="335" spans="1:16" x14ac:dyDescent="0.3">
      <c r="A335">
        <v>8</v>
      </c>
      <c r="B335">
        <v>45</v>
      </c>
      <c r="C335">
        <v>1</v>
      </c>
      <c r="D335">
        <v>6</v>
      </c>
      <c r="E335">
        <v>2</v>
      </c>
      <c r="F335">
        <v>380</v>
      </c>
      <c r="P335" s="6">
        <f>$I$6*A335+$J$6*Student_Performance__2[[#This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4.371710080778314</v>
      </c>
    </row>
    <row r="336" spans="1:16" x14ac:dyDescent="0.3">
      <c r="A336">
        <v>5</v>
      </c>
      <c r="B336">
        <v>44</v>
      </c>
      <c r="C336">
        <v>0</v>
      </c>
      <c r="D336">
        <v>6</v>
      </c>
      <c r="E336">
        <v>0</v>
      </c>
      <c r="F336">
        <v>300</v>
      </c>
      <c r="P336" s="6">
        <f>$I$6*A336+$J$6*Student_Performance__2[[#This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-69.43117414491951</v>
      </c>
    </row>
    <row r="337" spans="1:16" x14ac:dyDescent="0.3">
      <c r="A337">
        <v>5</v>
      </c>
      <c r="B337">
        <v>96</v>
      </c>
      <c r="C337">
        <v>1</v>
      </c>
      <c r="D337">
        <v>4</v>
      </c>
      <c r="E337">
        <v>6</v>
      </c>
      <c r="F337">
        <v>820</v>
      </c>
      <c r="P337" s="6">
        <f>$I$6*A337+$J$6*Student_Performance__2[[#This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328.01252393188889</v>
      </c>
    </row>
    <row r="338" spans="1:16" x14ac:dyDescent="0.3">
      <c r="A338">
        <v>7</v>
      </c>
      <c r="B338">
        <v>84</v>
      </c>
      <c r="C338">
        <v>0</v>
      </c>
      <c r="D338">
        <v>6</v>
      </c>
      <c r="E338">
        <v>9</v>
      </c>
      <c r="F338">
        <v>740</v>
      </c>
      <c r="P338" s="6">
        <f>$I$6*A338+$J$6*Student_Performance__2[[#This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377.55074789958377</v>
      </c>
    </row>
    <row r="339" spans="1:16" x14ac:dyDescent="0.3">
      <c r="A339">
        <v>4</v>
      </c>
      <c r="B339">
        <v>99</v>
      </c>
      <c r="C339">
        <v>1</v>
      </c>
      <c r="D339">
        <v>8</v>
      </c>
      <c r="E339">
        <v>5</v>
      </c>
      <c r="F339">
        <v>870</v>
      </c>
      <c r="P339" s="6">
        <f>$I$6*A339+$J$6*Student_Performance__2[[#This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352.06226239729193</v>
      </c>
    </row>
    <row r="340" spans="1:16" x14ac:dyDescent="0.3">
      <c r="A340">
        <v>6</v>
      </c>
      <c r="B340">
        <v>94</v>
      </c>
      <c r="C340">
        <v>1</v>
      </c>
      <c r="D340">
        <v>5</v>
      </c>
      <c r="E340">
        <v>1</v>
      </c>
      <c r="F340">
        <v>770</v>
      </c>
      <c r="P340" s="6">
        <f>$I$6*A340+$J$6*Student_Performance__2[[#This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187.73138955458961</v>
      </c>
    </row>
    <row r="341" spans="1:16" x14ac:dyDescent="0.3">
      <c r="A341">
        <v>4</v>
      </c>
      <c r="B341">
        <v>89</v>
      </c>
      <c r="C341">
        <v>1</v>
      </c>
      <c r="D341">
        <v>7</v>
      </c>
      <c r="E341">
        <v>1</v>
      </c>
      <c r="F341">
        <v>720</v>
      </c>
      <c r="P341" s="6">
        <f>$I$6*A341+$J$6*Student_Performance__2[[#This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180.95003511580074</v>
      </c>
    </row>
    <row r="342" spans="1:16" x14ac:dyDescent="0.3">
      <c r="A342">
        <v>3</v>
      </c>
      <c r="B342">
        <v>68</v>
      </c>
      <c r="C342">
        <v>0</v>
      </c>
      <c r="D342">
        <v>7</v>
      </c>
      <c r="E342">
        <v>2</v>
      </c>
      <c r="F342">
        <v>510</v>
      </c>
      <c r="P342" s="6">
        <f>$I$6*A342+$J$6*Student_Performance__2[[#This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104.88703457190962</v>
      </c>
    </row>
    <row r="343" spans="1:16" x14ac:dyDescent="0.3">
      <c r="A343">
        <v>7</v>
      </c>
      <c r="B343">
        <v>51</v>
      </c>
      <c r="C343">
        <v>1</v>
      </c>
      <c r="D343">
        <v>6</v>
      </c>
      <c r="E343">
        <v>7</v>
      </c>
      <c r="F343">
        <v>400</v>
      </c>
      <c r="P343" s="6">
        <f>$I$6*A343+$J$6*Student_Performance__2[[#This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173.36697137729408</v>
      </c>
    </row>
    <row r="344" spans="1:16" x14ac:dyDescent="0.3">
      <c r="A344">
        <v>8</v>
      </c>
      <c r="B344">
        <v>78</v>
      </c>
      <c r="C344">
        <v>1</v>
      </c>
      <c r="D344">
        <v>5</v>
      </c>
      <c r="E344">
        <v>7</v>
      </c>
      <c r="F344">
        <v>720</v>
      </c>
      <c r="P344" s="6">
        <f>$I$6*A344+$J$6*Student_Performance__2[[#This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289.95960450987405</v>
      </c>
    </row>
    <row r="345" spans="1:16" x14ac:dyDescent="0.3">
      <c r="A345">
        <v>4</v>
      </c>
      <c r="B345">
        <v>86</v>
      </c>
      <c r="C345">
        <v>0</v>
      </c>
      <c r="D345">
        <v>8</v>
      </c>
      <c r="E345">
        <v>9</v>
      </c>
      <c r="F345">
        <v>680</v>
      </c>
      <c r="P345" s="6">
        <f>$I$6*A345+$J$6*Student_Performance__2[[#This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401.04117727434783</v>
      </c>
    </row>
    <row r="346" spans="1:16" x14ac:dyDescent="0.3">
      <c r="A346">
        <v>2</v>
      </c>
      <c r="B346">
        <v>42</v>
      </c>
      <c r="C346">
        <v>0</v>
      </c>
      <c r="D346">
        <v>7</v>
      </c>
      <c r="E346">
        <v>9</v>
      </c>
      <c r="F346">
        <v>220</v>
      </c>
      <c r="P346" s="6">
        <f>$I$6*A346+$J$6*Student_Performance__2[[#This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183.36426617358319</v>
      </c>
    </row>
    <row r="347" spans="1:16" x14ac:dyDescent="0.3">
      <c r="A347">
        <v>3</v>
      </c>
      <c r="B347">
        <v>87</v>
      </c>
      <c r="C347">
        <v>0</v>
      </c>
      <c r="D347">
        <v>8</v>
      </c>
      <c r="E347">
        <v>9</v>
      </c>
      <c r="F347">
        <v>670</v>
      </c>
      <c r="P347" s="6">
        <f>$I$6*A347+$J$6*Student_Performance__2[[#This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403.59003310916131</v>
      </c>
    </row>
    <row r="348" spans="1:16" x14ac:dyDescent="0.3">
      <c r="A348">
        <v>1</v>
      </c>
      <c r="B348">
        <v>40</v>
      </c>
      <c r="C348">
        <v>1</v>
      </c>
      <c r="D348">
        <v>8</v>
      </c>
      <c r="E348">
        <v>9</v>
      </c>
      <c r="F348">
        <v>180</v>
      </c>
      <c r="P348" s="6">
        <f>$I$6*A348+$J$6*Student_Performance__2[[#This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187.91374650496158</v>
      </c>
    </row>
    <row r="349" spans="1:16" x14ac:dyDescent="0.3">
      <c r="A349">
        <v>8</v>
      </c>
      <c r="B349">
        <v>66</v>
      </c>
      <c r="C349">
        <v>1</v>
      </c>
      <c r="D349">
        <v>7</v>
      </c>
      <c r="E349">
        <v>7</v>
      </c>
      <c r="F349">
        <v>640</v>
      </c>
      <c r="P349" s="6">
        <f>$I$6*A349+$J$6*Student_Performance__2[[#This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254.97809841917552</v>
      </c>
    </row>
    <row r="350" spans="1:16" x14ac:dyDescent="0.3">
      <c r="A350">
        <v>3</v>
      </c>
      <c r="B350">
        <v>87</v>
      </c>
      <c r="C350">
        <v>1</v>
      </c>
      <c r="D350">
        <v>7</v>
      </c>
      <c r="E350">
        <v>6</v>
      </c>
      <c r="F350">
        <v>660</v>
      </c>
      <c r="P350" s="6">
        <f>$I$6*A350+$J$6*Student_Performance__2[[#This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312.98139244066402</v>
      </c>
    </row>
    <row r="351" spans="1:16" x14ac:dyDescent="0.3">
      <c r="A351">
        <v>7</v>
      </c>
      <c r="B351">
        <v>63</v>
      </c>
      <c r="C351">
        <v>0</v>
      </c>
      <c r="D351">
        <v>6</v>
      </c>
      <c r="E351">
        <v>1</v>
      </c>
      <c r="F351">
        <v>500</v>
      </c>
      <c r="P351" s="6">
        <f>$I$6*A351+$J$6*Student_Performance__2[[#This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51.170155206925017</v>
      </c>
    </row>
    <row r="352" spans="1:16" x14ac:dyDescent="0.3">
      <c r="A352">
        <v>5</v>
      </c>
      <c r="B352">
        <v>83</v>
      </c>
      <c r="C352">
        <v>0</v>
      </c>
      <c r="D352">
        <v>5</v>
      </c>
      <c r="E352">
        <v>0</v>
      </c>
      <c r="F352">
        <v>680</v>
      </c>
      <c r="P352" s="6">
        <f>$I$6*A352+$J$6*Student_Performance__2[[#This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100.53568278349604</v>
      </c>
    </row>
    <row r="353" spans="1:16" x14ac:dyDescent="0.3">
      <c r="A353">
        <v>5</v>
      </c>
      <c r="B353">
        <v>58</v>
      </c>
      <c r="C353">
        <v>1</v>
      </c>
      <c r="D353">
        <v>4</v>
      </c>
      <c r="E353">
        <v>5</v>
      </c>
      <c r="F353">
        <v>440</v>
      </c>
      <c r="P353" s="6">
        <f>$I$6*A353+$J$6*Student_Performance__2[[#This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123.76518697065592</v>
      </c>
    </row>
    <row r="354" spans="1:16" x14ac:dyDescent="0.3">
      <c r="A354">
        <v>7</v>
      </c>
      <c r="B354">
        <v>98</v>
      </c>
      <c r="C354">
        <v>1</v>
      </c>
      <c r="D354">
        <v>5</v>
      </c>
      <c r="E354">
        <v>7</v>
      </c>
      <c r="F354">
        <v>900</v>
      </c>
      <c r="P354" s="6">
        <f>$I$6*A354+$J$6*Student_Performance__2[[#This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380.29773227736206</v>
      </c>
    </row>
    <row r="355" spans="1:16" x14ac:dyDescent="0.3">
      <c r="A355">
        <v>9</v>
      </c>
      <c r="B355">
        <v>47</v>
      </c>
      <c r="C355">
        <v>0</v>
      </c>
      <c r="D355">
        <v>4</v>
      </c>
      <c r="E355">
        <v>0</v>
      </c>
      <c r="F355">
        <v>410</v>
      </c>
      <c r="P355" s="6">
        <f>$I$6*A355+$J$6*Student_Performance__2[[#This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-67.747531375757774</v>
      </c>
    </row>
    <row r="356" spans="1:16" x14ac:dyDescent="0.3">
      <c r="A356">
        <v>5</v>
      </c>
      <c r="B356">
        <v>94</v>
      </c>
      <c r="C356">
        <v>0</v>
      </c>
      <c r="D356">
        <v>7</v>
      </c>
      <c r="E356">
        <v>2</v>
      </c>
      <c r="F356">
        <v>830</v>
      </c>
      <c r="P356" s="6">
        <f>$I$6*A356+$J$6*Student_Performance__2[[#This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229.16298680306608</v>
      </c>
    </row>
    <row r="357" spans="1:16" x14ac:dyDescent="0.3">
      <c r="A357">
        <v>1</v>
      </c>
      <c r="B357">
        <v>83</v>
      </c>
      <c r="C357">
        <v>0</v>
      </c>
      <c r="D357">
        <v>8</v>
      </c>
      <c r="E357">
        <v>0</v>
      </c>
      <c r="F357">
        <v>570</v>
      </c>
      <c r="P357" s="6">
        <f>$I$6*A357+$J$6*Student_Performance__2[[#This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122.94567893709404</v>
      </c>
    </row>
    <row r="358" spans="1:16" x14ac:dyDescent="0.3">
      <c r="A358">
        <v>1</v>
      </c>
      <c r="B358">
        <v>86</v>
      </c>
      <c r="C358">
        <v>1</v>
      </c>
      <c r="D358">
        <v>5</v>
      </c>
      <c r="E358">
        <v>9</v>
      </c>
      <c r="F358">
        <v>640</v>
      </c>
      <c r="P358" s="6">
        <f>$I$6*A358+$J$6*Student_Performance__2[[#This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369.75966954179279</v>
      </c>
    </row>
    <row r="359" spans="1:16" x14ac:dyDescent="0.3">
      <c r="A359">
        <v>2</v>
      </c>
      <c r="B359">
        <v>41</v>
      </c>
      <c r="C359">
        <v>0</v>
      </c>
      <c r="D359">
        <v>8</v>
      </c>
      <c r="E359">
        <v>8</v>
      </c>
      <c r="F359">
        <v>180</v>
      </c>
      <c r="P359" s="6">
        <f>$I$6*A359+$J$6*Student_Performance__2[[#This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160.30716001463287</v>
      </c>
    </row>
    <row r="360" spans="1:16" x14ac:dyDescent="0.3">
      <c r="A360">
        <v>6</v>
      </c>
      <c r="B360">
        <v>69</v>
      </c>
      <c r="C360">
        <v>0</v>
      </c>
      <c r="D360">
        <v>5</v>
      </c>
      <c r="E360">
        <v>6</v>
      </c>
      <c r="F360">
        <v>620</v>
      </c>
      <c r="P360" s="6">
        <f>$I$6*A360+$J$6*Student_Performance__2[[#This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209.93324157005071</v>
      </c>
    </row>
    <row r="361" spans="1:16" x14ac:dyDescent="0.3">
      <c r="A361">
        <v>9</v>
      </c>
      <c r="B361">
        <v>69</v>
      </c>
      <c r="C361">
        <v>0</v>
      </c>
      <c r="D361">
        <v>9</v>
      </c>
      <c r="E361">
        <v>7</v>
      </c>
      <c r="F361">
        <v>660</v>
      </c>
      <c r="P361" s="6">
        <f>$I$6*A361+$J$6*Student_Performance__2[[#This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285.74563088442397</v>
      </c>
    </row>
    <row r="362" spans="1:16" x14ac:dyDescent="0.3">
      <c r="A362">
        <v>8</v>
      </c>
      <c r="B362">
        <v>88</v>
      </c>
      <c r="C362">
        <v>0</v>
      </c>
      <c r="D362">
        <v>5</v>
      </c>
      <c r="E362">
        <v>8</v>
      </c>
      <c r="F362">
        <v>850</v>
      </c>
      <c r="P362" s="6">
        <f>$I$6*A362+$J$6*Student_Performance__2[[#This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359.20336401777917</v>
      </c>
    </row>
    <row r="363" spans="1:16" x14ac:dyDescent="0.3">
      <c r="A363">
        <v>5</v>
      </c>
      <c r="B363">
        <v>78</v>
      </c>
      <c r="C363">
        <v>1</v>
      </c>
      <c r="D363">
        <v>8</v>
      </c>
      <c r="E363">
        <v>2</v>
      </c>
      <c r="F363">
        <v>620</v>
      </c>
      <c r="P363" s="6">
        <f>$I$6*A363+$J$6*Student_Performance__2[[#This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171.09726734569568</v>
      </c>
    </row>
    <row r="364" spans="1:16" x14ac:dyDescent="0.3">
      <c r="A364">
        <v>1</v>
      </c>
      <c r="B364">
        <v>84</v>
      </c>
      <c r="C364">
        <v>0</v>
      </c>
      <c r="D364">
        <v>9</v>
      </c>
      <c r="E364">
        <v>9</v>
      </c>
      <c r="F364">
        <v>620</v>
      </c>
      <c r="P364" s="6">
        <f>$I$6*A364+$J$6*Student_Performance__2[[#This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395.81747972989564</v>
      </c>
    </row>
    <row r="365" spans="1:16" x14ac:dyDescent="0.3">
      <c r="A365">
        <v>7</v>
      </c>
      <c r="B365">
        <v>71</v>
      </c>
      <c r="C365">
        <v>1</v>
      </c>
      <c r="D365">
        <v>6</v>
      </c>
      <c r="E365">
        <v>1</v>
      </c>
      <c r="F365">
        <v>620</v>
      </c>
      <c r="P365" s="6">
        <f>$I$6*A365+$J$6*Student_Performance__2[[#This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93.763972731121896</v>
      </c>
    </row>
    <row r="366" spans="1:16" x14ac:dyDescent="0.3">
      <c r="A366">
        <v>5</v>
      </c>
      <c r="B366">
        <v>40</v>
      </c>
      <c r="C366">
        <v>1</v>
      </c>
      <c r="D366">
        <v>7</v>
      </c>
      <c r="E366">
        <v>5</v>
      </c>
      <c r="F366">
        <v>260</v>
      </c>
      <c r="P366" s="6">
        <f>$I$6*A366+$J$6*Student_Performance__2[[#This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71.292927834608122</v>
      </c>
    </row>
    <row r="367" spans="1:16" x14ac:dyDescent="0.3">
      <c r="A367">
        <v>6</v>
      </c>
      <c r="B367">
        <v>77</v>
      </c>
      <c r="C367">
        <v>0</v>
      </c>
      <c r="D367">
        <v>6</v>
      </c>
      <c r="E367">
        <v>4</v>
      </c>
      <c r="F367">
        <v>660</v>
      </c>
      <c r="P367" s="6">
        <f>$I$6*A367+$J$6*Student_Performance__2[[#This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199.79173428332541</v>
      </c>
    </row>
    <row r="368" spans="1:16" x14ac:dyDescent="0.3">
      <c r="A368">
        <v>7</v>
      </c>
      <c r="B368">
        <v>52</v>
      </c>
      <c r="C368">
        <v>0</v>
      </c>
      <c r="D368">
        <v>6</v>
      </c>
      <c r="E368">
        <v>3</v>
      </c>
      <c r="F368">
        <v>430</v>
      </c>
      <c r="P368" s="6">
        <f>$I$6*A368+$J$6*Student_Performance__2[[#This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57.682373437670719</v>
      </c>
    </row>
    <row r="369" spans="1:16" x14ac:dyDescent="0.3">
      <c r="A369">
        <v>3</v>
      </c>
      <c r="B369">
        <v>50</v>
      </c>
      <c r="C369">
        <v>1</v>
      </c>
      <c r="D369">
        <v>5</v>
      </c>
      <c r="E369">
        <v>5</v>
      </c>
      <c r="F369">
        <v>300</v>
      </c>
      <c r="P369" s="6">
        <f>$I$6*A369+$J$6*Student_Performance__2[[#This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92.890193609107428</v>
      </c>
    </row>
    <row r="370" spans="1:16" x14ac:dyDescent="0.3">
      <c r="A370">
        <v>3</v>
      </c>
      <c r="B370">
        <v>49</v>
      </c>
      <c r="C370">
        <v>0</v>
      </c>
      <c r="D370">
        <v>7</v>
      </c>
      <c r="E370">
        <v>5</v>
      </c>
      <c r="F370">
        <v>250</v>
      </c>
      <c r="P370" s="6">
        <f>$I$6*A370+$J$6*Student_Performance__2[[#This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103.10414192688665</v>
      </c>
    </row>
    <row r="371" spans="1:16" x14ac:dyDescent="0.3">
      <c r="A371">
        <v>5</v>
      </c>
      <c r="B371">
        <v>87</v>
      </c>
      <c r="C371">
        <v>1</v>
      </c>
      <c r="D371">
        <v>9</v>
      </c>
      <c r="E371">
        <v>2</v>
      </c>
      <c r="F371">
        <v>770</v>
      </c>
      <c r="P371" s="6">
        <f>$I$6*A371+$J$6*Student_Performance__2[[#This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222.91383424719476</v>
      </c>
    </row>
    <row r="372" spans="1:16" x14ac:dyDescent="0.3">
      <c r="A372">
        <v>6</v>
      </c>
      <c r="B372">
        <v>98</v>
      </c>
      <c r="C372">
        <v>0</v>
      </c>
      <c r="D372">
        <v>5</v>
      </c>
      <c r="E372">
        <v>1</v>
      </c>
      <c r="F372">
        <v>880</v>
      </c>
      <c r="P372" s="6">
        <f>$I$6*A372+$J$6*Student_Performance__2[[#This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200.58342798787129</v>
      </c>
    </row>
    <row r="373" spans="1:16" x14ac:dyDescent="0.3">
      <c r="A373">
        <v>9</v>
      </c>
      <c r="B373">
        <v>65</v>
      </c>
      <c r="C373">
        <v>1</v>
      </c>
      <c r="D373">
        <v>4</v>
      </c>
      <c r="E373">
        <v>8</v>
      </c>
      <c r="F373">
        <v>620</v>
      </c>
      <c r="P373" s="6">
        <f>$I$6*A373+$J$6*Student_Performance__2[[#This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250.4015108800757</v>
      </c>
    </row>
    <row r="374" spans="1:16" x14ac:dyDescent="0.3">
      <c r="A374">
        <v>5</v>
      </c>
      <c r="B374">
        <v>95</v>
      </c>
      <c r="C374">
        <v>1</v>
      </c>
      <c r="D374">
        <v>5</v>
      </c>
      <c r="E374">
        <v>7</v>
      </c>
      <c r="F374">
        <v>820</v>
      </c>
      <c r="P374" s="6">
        <f>$I$6*A374+$J$6*Student_Performance__2[[#This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362.29300396470632</v>
      </c>
    </row>
    <row r="375" spans="1:16" x14ac:dyDescent="0.3">
      <c r="A375">
        <v>1</v>
      </c>
      <c r="B375">
        <v>94</v>
      </c>
      <c r="C375">
        <v>1</v>
      </c>
      <c r="D375">
        <v>9</v>
      </c>
      <c r="E375">
        <v>3</v>
      </c>
      <c r="F375">
        <v>730</v>
      </c>
      <c r="P375" s="6">
        <f>$I$6*A375+$J$6*Student_Performance__2[[#This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275.63951467170233</v>
      </c>
    </row>
    <row r="376" spans="1:16" x14ac:dyDescent="0.3">
      <c r="A376">
        <v>4</v>
      </c>
      <c r="B376">
        <v>59</v>
      </c>
      <c r="C376">
        <v>0</v>
      </c>
      <c r="D376">
        <v>8</v>
      </c>
      <c r="E376">
        <v>5</v>
      </c>
      <c r="F376">
        <v>440</v>
      </c>
      <c r="P376" s="6">
        <f>$I$6*A376+$J$6*Student_Performance__2[[#This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161.61282898648534</v>
      </c>
    </row>
    <row r="377" spans="1:16" x14ac:dyDescent="0.3">
      <c r="A377">
        <v>5</v>
      </c>
      <c r="B377">
        <v>56</v>
      </c>
      <c r="C377">
        <v>1</v>
      </c>
      <c r="D377">
        <v>5</v>
      </c>
      <c r="E377">
        <v>2</v>
      </c>
      <c r="F377">
        <v>400</v>
      </c>
      <c r="P377" s="6">
        <f>$I$6*A377+$J$6*Student_Performance__2[[#This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38.750006623481283</v>
      </c>
    </row>
    <row r="378" spans="1:16" x14ac:dyDescent="0.3">
      <c r="A378">
        <v>5</v>
      </c>
      <c r="B378">
        <v>56</v>
      </c>
      <c r="C378">
        <v>1</v>
      </c>
      <c r="D378">
        <v>4</v>
      </c>
      <c r="E378">
        <v>7</v>
      </c>
      <c r="F378">
        <v>390</v>
      </c>
      <c r="P378" s="6">
        <f>$I$6*A378+$J$6*Student_Performance__2[[#This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171.86179716951057</v>
      </c>
    </row>
    <row r="379" spans="1:16" x14ac:dyDescent="0.3">
      <c r="A379">
        <v>7</v>
      </c>
      <c r="B379">
        <v>43</v>
      </c>
      <c r="C379">
        <v>0</v>
      </c>
      <c r="D379">
        <v>5</v>
      </c>
      <c r="E379">
        <v>2</v>
      </c>
      <c r="F379">
        <v>340</v>
      </c>
      <c r="P379" s="6">
        <f>$I$6*A379+$J$6*Student_Performance__2[[#This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-22.802986559712224</v>
      </c>
    </row>
    <row r="380" spans="1:16" x14ac:dyDescent="0.3">
      <c r="A380">
        <v>4</v>
      </c>
      <c r="B380">
        <v>44</v>
      </c>
      <c r="C380">
        <v>0</v>
      </c>
      <c r="D380">
        <v>9</v>
      </c>
      <c r="E380">
        <v>1</v>
      </c>
      <c r="F380">
        <v>270</v>
      </c>
      <c r="P380" s="6">
        <f>$I$6*A380+$J$6*Student_Performance__2[[#This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-12.137488410508467</v>
      </c>
    </row>
    <row r="381" spans="1:16" x14ac:dyDescent="0.3">
      <c r="A381">
        <v>1</v>
      </c>
      <c r="B381">
        <v>99</v>
      </c>
      <c r="C381">
        <v>1</v>
      </c>
      <c r="D381">
        <v>4</v>
      </c>
      <c r="E381">
        <v>6</v>
      </c>
      <c r="F381">
        <v>730</v>
      </c>
      <c r="P381" s="6">
        <f>$I$6*A381+$J$6*Student_Performance__2[[#This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333.58745927468641</v>
      </c>
    </row>
    <row r="382" spans="1:16" x14ac:dyDescent="0.3">
      <c r="A382">
        <v>5</v>
      </c>
      <c r="B382">
        <v>62</v>
      </c>
      <c r="C382">
        <v>1</v>
      </c>
      <c r="D382">
        <v>7</v>
      </c>
      <c r="E382">
        <v>2</v>
      </c>
      <c r="F382">
        <v>460</v>
      </c>
      <c r="P382" s="6">
        <f>$I$6*A382+$J$6*Student_Performance__2[[#This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86.937284469000758</v>
      </c>
    </row>
    <row r="383" spans="1:16" x14ac:dyDescent="0.3">
      <c r="A383">
        <v>7</v>
      </c>
      <c r="B383">
        <v>85</v>
      </c>
      <c r="C383">
        <v>0</v>
      </c>
      <c r="D383">
        <v>9</v>
      </c>
      <c r="E383">
        <v>8</v>
      </c>
      <c r="F383">
        <v>780</v>
      </c>
      <c r="P383" s="6">
        <f>$I$6*A383+$J$6*Student_Performance__2[[#This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384.19896760032674</v>
      </c>
    </row>
    <row r="384" spans="1:16" x14ac:dyDescent="0.3">
      <c r="A384">
        <v>6</v>
      </c>
      <c r="B384">
        <v>91</v>
      </c>
      <c r="C384">
        <v>1</v>
      </c>
      <c r="D384">
        <v>5</v>
      </c>
      <c r="E384">
        <v>2</v>
      </c>
      <c r="F384">
        <v>800</v>
      </c>
      <c r="P384" s="6">
        <f>$I$6*A384+$J$6*Student_Performance__2[[#This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202.53871866110381</v>
      </c>
    </row>
    <row r="385" spans="1:16" x14ac:dyDescent="0.3">
      <c r="A385">
        <v>5</v>
      </c>
      <c r="B385">
        <v>49</v>
      </c>
      <c r="C385">
        <v>0</v>
      </c>
      <c r="D385">
        <v>4</v>
      </c>
      <c r="E385">
        <v>7</v>
      </c>
      <c r="F385">
        <v>330</v>
      </c>
      <c r="P385" s="6">
        <f>$I$6*A385+$J$6*Student_Performance__2[[#This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133.88846764177032</v>
      </c>
    </row>
    <row r="386" spans="1:16" x14ac:dyDescent="0.3">
      <c r="A386">
        <v>4</v>
      </c>
      <c r="B386">
        <v>85</v>
      </c>
      <c r="C386">
        <v>0</v>
      </c>
      <c r="D386">
        <v>9</v>
      </c>
      <c r="E386">
        <v>1</v>
      </c>
      <c r="F386">
        <v>680</v>
      </c>
      <c r="P386" s="6">
        <f>$I$6*A386+$J$6*Student_Performance__2[[#This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177.3025194442103</v>
      </c>
    </row>
    <row r="387" spans="1:16" x14ac:dyDescent="0.3">
      <c r="A387">
        <v>2</v>
      </c>
      <c r="B387">
        <v>67</v>
      </c>
      <c r="C387">
        <v>0</v>
      </c>
      <c r="D387">
        <v>7</v>
      </c>
      <c r="E387">
        <v>8</v>
      </c>
      <c r="F387">
        <v>450</v>
      </c>
      <c r="P387" s="6">
        <f>$I$6*A387+$J$6*Student_Performance__2[[#This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270.20767298911329</v>
      </c>
    </row>
    <row r="388" spans="1:16" x14ac:dyDescent="0.3">
      <c r="A388">
        <v>4</v>
      </c>
      <c r="B388">
        <v>72</v>
      </c>
      <c r="C388">
        <v>1</v>
      </c>
      <c r="D388">
        <v>8</v>
      </c>
      <c r="E388">
        <v>0</v>
      </c>
      <c r="F388">
        <v>560</v>
      </c>
      <c r="P388" s="6">
        <f>$I$6*A388+$J$6*Student_Performance__2[[#This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83.965121013545513</v>
      </c>
    </row>
    <row r="389" spans="1:16" x14ac:dyDescent="0.3">
      <c r="A389">
        <v>3</v>
      </c>
      <c r="B389">
        <v>82</v>
      </c>
      <c r="C389">
        <v>0</v>
      </c>
      <c r="D389">
        <v>6</v>
      </c>
      <c r="E389">
        <v>2</v>
      </c>
      <c r="F389">
        <v>580</v>
      </c>
      <c r="P389" s="6">
        <f>$I$6*A389+$J$6*Student_Performance__2[[#This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159.34169158891126</v>
      </c>
    </row>
    <row r="390" spans="1:16" x14ac:dyDescent="0.3">
      <c r="A390">
        <v>1</v>
      </c>
      <c r="B390">
        <v>65</v>
      </c>
      <c r="C390">
        <v>1</v>
      </c>
      <c r="D390">
        <v>4</v>
      </c>
      <c r="E390">
        <v>1</v>
      </c>
      <c r="F390">
        <v>370</v>
      </c>
      <c r="P390" s="6">
        <f>$I$6*A390+$J$6*Student_Performance__2[[#This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33.146901915744081</v>
      </c>
    </row>
    <row r="391" spans="1:16" x14ac:dyDescent="0.3">
      <c r="A391">
        <v>8</v>
      </c>
      <c r="B391">
        <v>94</v>
      </c>
      <c r="C391">
        <v>1</v>
      </c>
      <c r="D391">
        <v>8</v>
      </c>
      <c r="E391">
        <v>6</v>
      </c>
      <c r="F391">
        <v>880</v>
      </c>
      <c r="P391" s="6">
        <f>$I$6*A391+$J$6*Student_Performance__2[[#This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365.91514415746525</v>
      </c>
    </row>
    <row r="392" spans="1:16" x14ac:dyDescent="0.3">
      <c r="A392">
        <v>5</v>
      </c>
      <c r="B392">
        <v>89</v>
      </c>
      <c r="C392">
        <v>0</v>
      </c>
      <c r="D392">
        <v>7</v>
      </c>
      <c r="E392">
        <v>4</v>
      </c>
      <c r="F392">
        <v>750</v>
      </c>
      <c r="P392" s="6">
        <f>$I$6*A392+$J$6*Student_Performance__2[[#This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263.39813301255111</v>
      </c>
    </row>
    <row r="393" spans="1:16" x14ac:dyDescent="0.3">
      <c r="A393">
        <v>4</v>
      </c>
      <c r="B393">
        <v>87</v>
      </c>
      <c r="C393">
        <v>0</v>
      </c>
      <c r="D393">
        <v>8</v>
      </c>
      <c r="E393">
        <v>7</v>
      </c>
      <c r="F393">
        <v>700</v>
      </c>
      <c r="P393" s="6">
        <f>$I$6*A393+$J$6*Student_Performance__2[[#This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348.32407907903661</v>
      </c>
    </row>
    <row r="394" spans="1:16" x14ac:dyDescent="0.3">
      <c r="A394">
        <v>8</v>
      </c>
      <c r="B394">
        <v>68</v>
      </c>
      <c r="C394">
        <v>0</v>
      </c>
      <c r="D394">
        <v>5</v>
      </c>
      <c r="E394">
        <v>1</v>
      </c>
      <c r="F394">
        <v>620</v>
      </c>
      <c r="P394" s="6">
        <f>$I$6*A394+$J$6*Student_Performance__2[[#This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66.112052417460802</v>
      </c>
    </row>
    <row r="395" spans="1:16" x14ac:dyDescent="0.3">
      <c r="A395">
        <v>7</v>
      </c>
      <c r="B395">
        <v>66</v>
      </c>
      <c r="C395">
        <v>0</v>
      </c>
      <c r="D395">
        <v>6</v>
      </c>
      <c r="E395">
        <v>7</v>
      </c>
      <c r="F395">
        <v>570</v>
      </c>
      <c r="P395" s="6">
        <f>$I$6*A395+$J$6*Student_Performance__2[[#This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237.04437777159802</v>
      </c>
    </row>
    <row r="396" spans="1:16" x14ac:dyDescent="0.3">
      <c r="A396">
        <v>2</v>
      </c>
      <c r="B396">
        <v>57</v>
      </c>
      <c r="C396">
        <v>1</v>
      </c>
      <c r="D396">
        <v>4</v>
      </c>
      <c r="E396">
        <v>6</v>
      </c>
      <c r="F396">
        <v>320</v>
      </c>
      <c r="P396" s="6">
        <f>$I$6*A396+$J$6*Student_Performance__2[[#This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141.5985955851541</v>
      </c>
    </row>
    <row r="397" spans="1:16" x14ac:dyDescent="0.3">
      <c r="A397">
        <v>1</v>
      </c>
      <c r="B397">
        <v>79</v>
      </c>
      <c r="C397">
        <v>1</v>
      </c>
      <c r="D397">
        <v>9</v>
      </c>
      <c r="E397">
        <v>4</v>
      </c>
      <c r="F397">
        <v>530</v>
      </c>
      <c r="P397" s="6">
        <f>$I$6*A397+$J$6*Student_Performance__2[[#This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235.00098782073786</v>
      </c>
    </row>
    <row r="398" spans="1:16" x14ac:dyDescent="0.3">
      <c r="A398">
        <v>4</v>
      </c>
      <c r="B398">
        <v>99</v>
      </c>
      <c r="C398">
        <v>0</v>
      </c>
      <c r="D398">
        <v>7</v>
      </c>
      <c r="E398">
        <v>1</v>
      </c>
      <c r="F398">
        <v>820</v>
      </c>
      <c r="P398" s="6">
        <f>$I$6*A398+$J$6*Student_Performance__2[[#This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221.52500152782187</v>
      </c>
    </row>
    <row r="399" spans="1:16" x14ac:dyDescent="0.3">
      <c r="A399">
        <v>8</v>
      </c>
      <c r="B399">
        <v>49</v>
      </c>
      <c r="C399">
        <v>1</v>
      </c>
      <c r="D399">
        <v>6</v>
      </c>
      <c r="E399">
        <v>9</v>
      </c>
      <c r="F399">
        <v>410</v>
      </c>
      <c r="P399" s="6">
        <f>$I$6*A399+$J$6*Student_Performance__2[[#This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223.53521373779171</v>
      </c>
    </row>
    <row r="400" spans="1:16" x14ac:dyDescent="0.3">
      <c r="A400">
        <v>2</v>
      </c>
      <c r="B400">
        <v>97</v>
      </c>
      <c r="C400">
        <v>0</v>
      </c>
      <c r="D400">
        <v>7</v>
      </c>
      <c r="E400">
        <v>6</v>
      </c>
      <c r="F400">
        <v>750</v>
      </c>
      <c r="P400" s="6">
        <f>$I$6*A400+$J$6*Student_Performance__2[[#This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351.48472669104223</v>
      </c>
    </row>
    <row r="401" spans="1:16" x14ac:dyDescent="0.3">
      <c r="A401">
        <v>3</v>
      </c>
      <c r="B401">
        <v>81</v>
      </c>
      <c r="C401">
        <v>1</v>
      </c>
      <c r="D401">
        <v>8</v>
      </c>
      <c r="E401">
        <v>9</v>
      </c>
      <c r="F401">
        <v>630</v>
      </c>
      <c r="P401" s="6">
        <f>$I$6*A401+$J$6*Student_Performance__2[[#This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381.49701868296637</v>
      </c>
    </row>
    <row r="402" spans="1:16" x14ac:dyDescent="0.3">
      <c r="A402">
        <v>1</v>
      </c>
      <c r="B402">
        <v>44</v>
      </c>
      <c r="C402">
        <v>1</v>
      </c>
      <c r="D402">
        <v>7</v>
      </c>
      <c r="E402">
        <v>3</v>
      </c>
      <c r="F402">
        <v>170</v>
      </c>
      <c r="P402" s="6">
        <f>$I$6*A402+$J$6*Student_Performance__2[[#This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24.150764982094415</v>
      </c>
    </row>
    <row r="403" spans="1:16" x14ac:dyDescent="0.3">
      <c r="A403">
        <v>1</v>
      </c>
      <c r="B403">
        <v>49</v>
      </c>
      <c r="C403">
        <v>1</v>
      </c>
      <c r="D403">
        <v>7</v>
      </c>
      <c r="E403">
        <v>3</v>
      </c>
      <c r="F403">
        <v>240</v>
      </c>
      <c r="P403" s="6">
        <f>$I$6*A403+$J$6*Student_Performance__2[[#This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47.253204964377176</v>
      </c>
    </row>
    <row r="404" spans="1:16" x14ac:dyDescent="0.3">
      <c r="A404">
        <v>3</v>
      </c>
      <c r="B404">
        <v>89</v>
      </c>
      <c r="C404">
        <v>0</v>
      </c>
      <c r="D404">
        <v>8</v>
      </c>
      <c r="E404">
        <v>7</v>
      </c>
      <c r="F404">
        <v>690</v>
      </c>
      <c r="P404" s="6">
        <f>$I$6*A404+$J$6*Student_Performance__2[[#This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355.49342291030672</v>
      </c>
    </row>
    <row r="405" spans="1:16" x14ac:dyDescent="0.3">
      <c r="A405">
        <v>5</v>
      </c>
      <c r="B405">
        <v>60</v>
      </c>
      <c r="C405">
        <v>1</v>
      </c>
      <c r="D405">
        <v>8</v>
      </c>
      <c r="E405">
        <v>5</v>
      </c>
      <c r="F405">
        <v>470</v>
      </c>
      <c r="P405" s="6">
        <f>$I$6*A405+$J$6*Student_Performance__2[[#This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173.93486269712929</v>
      </c>
    </row>
    <row r="406" spans="1:16" x14ac:dyDescent="0.3">
      <c r="A406">
        <v>3</v>
      </c>
      <c r="B406">
        <v>63</v>
      </c>
      <c r="C406">
        <v>1</v>
      </c>
      <c r="D406">
        <v>6</v>
      </c>
      <c r="E406">
        <v>8</v>
      </c>
      <c r="F406">
        <v>430</v>
      </c>
      <c r="P406" s="6">
        <f>$I$6*A406+$J$6*Student_Performance__2[[#This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249.19509178408447</v>
      </c>
    </row>
    <row r="407" spans="1:16" x14ac:dyDescent="0.3">
      <c r="A407">
        <v>1</v>
      </c>
      <c r="B407">
        <v>77</v>
      </c>
      <c r="C407">
        <v>1</v>
      </c>
      <c r="D407">
        <v>4</v>
      </c>
      <c r="E407">
        <v>1</v>
      </c>
      <c r="F407">
        <v>480</v>
      </c>
      <c r="P407" s="6">
        <f>$I$6*A407+$J$6*Student_Performance__2[[#This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88.592757873222752</v>
      </c>
    </row>
    <row r="408" spans="1:16" x14ac:dyDescent="0.3">
      <c r="A408">
        <v>1</v>
      </c>
      <c r="B408">
        <v>42</v>
      </c>
      <c r="C408">
        <v>1</v>
      </c>
      <c r="D408">
        <v>8</v>
      </c>
      <c r="E408">
        <v>4</v>
      </c>
      <c r="F408">
        <v>170</v>
      </c>
      <c r="P408" s="6">
        <f>$I$6*A408+$J$6*Student_Performance__2[[#This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53.810757018455206</v>
      </c>
    </row>
    <row r="409" spans="1:16" x14ac:dyDescent="0.3">
      <c r="A409">
        <v>8</v>
      </c>
      <c r="B409">
        <v>79</v>
      </c>
      <c r="C409">
        <v>0</v>
      </c>
      <c r="D409">
        <v>6</v>
      </c>
      <c r="E409">
        <v>5</v>
      </c>
      <c r="F409">
        <v>750</v>
      </c>
      <c r="P409" s="6">
        <f>$I$6*A409+$J$6*Student_Performance__2[[#This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241.84476769540851</v>
      </c>
    </row>
    <row r="410" spans="1:16" x14ac:dyDescent="0.3">
      <c r="A410">
        <v>2</v>
      </c>
      <c r="B410">
        <v>70</v>
      </c>
      <c r="C410">
        <v>1</v>
      </c>
      <c r="D410">
        <v>7</v>
      </c>
      <c r="E410">
        <v>7</v>
      </c>
      <c r="F410">
        <v>540</v>
      </c>
      <c r="P410" s="6">
        <f>$I$6*A410+$J$6*Student_Performance__2[[#This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261.03025743514348</v>
      </c>
    </row>
    <row r="411" spans="1:16" x14ac:dyDescent="0.3">
      <c r="A411">
        <v>3</v>
      </c>
      <c r="B411">
        <v>80</v>
      </c>
      <c r="C411">
        <v>0</v>
      </c>
      <c r="D411">
        <v>7</v>
      </c>
      <c r="E411">
        <v>3</v>
      </c>
      <c r="F411">
        <v>590</v>
      </c>
      <c r="P411" s="6">
        <f>$I$6*A411+$J$6*Student_Performance__2[[#This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189.00168362527205</v>
      </c>
    </row>
    <row r="412" spans="1:16" x14ac:dyDescent="0.3">
      <c r="A412">
        <v>2</v>
      </c>
      <c r="B412">
        <v>76</v>
      </c>
      <c r="C412">
        <v>0</v>
      </c>
      <c r="D412">
        <v>9</v>
      </c>
      <c r="E412">
        <v>6</v>
      </c>
      <c r="F412">
        <v>560</v>
      </c>
      <c r="P412" s="6">
        <f>$I$6*A412+$J$6*Student_Performance__2[[#This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274.91882863223469</v>
      </c>
    </row>
    <row r="413" spans="1:16" x14ac:dyDescent="0.3">
      <c r="A413">
        <v>3</v>
      </c>
      <c r="B413">
        <v>41</v>
      </c>
      <c r="C413">
        <v>1</v>
      </c>
      <c r="D413">
        <v>5</v>
      </c>
      <c r="E413">
        <v>6</v>
      </c>
      <c r="F413">
        <v>200</v>
      </c>
      <c r="P413" s="6">
        <f>$I$6*A413+$J$6*Student_Performance__2[[#This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79.974594736882352</v>
      </c>
    </row>
    <row r="414" spans="1:16" x14ac:dyDescent="0.3">
      <c r="A414">
        <v>7</v>
      </c>
      <c r="B414">
        <v>41</v>
      </c>
      <c r="C414">
        <v>1</v>
      </c>
      <c r="D414">
        <v>8</v>
      </c>
      <c r="E414">
        <v>3</v>
      </c>
      <c r="F414">
        <v>340</v>
      </c>
      <c r="P414" s="6">
        <f>$I$6*A414+$J$6*Student_Performance__2[[#This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32.951268895973158</v>
      </c>
    </row>
    <row r="415" spans="1:16" x14ac:dyDescent="0.3">
      <c r="A415">
        <v>1</v>
      </c>
      <c r="B415">
        <v>78</v>
      </c>
      <c r="C415">
        <v>0</v>
      </c>
      <c r="D415">
        <v>6</v>
      </c>
      <c r="E415">
        <v>0</v>
      </c>
      <c r="F415">
        <v>540</v>
      </c>
      <c r="P415" s="6">
        <f>$I$6*A415+$J$6*Student_Performance__2[[#This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79.378889088031144</v>
      </c>
    </row>
    <row r="416" spans="1:16" x14ac:dyDescent="0.3">
      <c r="A416">
        <v>8</v>
      </c>
      <c r="B416">
        <v>88</v>
      </c>
      <c r="C416">
        <v>0</v>
      </c>
      <c r="D416">
        <v>9</v>
      </c>
      <c r="E416">
        <v>2</v>
      </c>
      <c r="F416">
        <v>830</v>
      </c>
      <c r="P416" s="6">
        <f>$I$6*A416+$J$6*Student_Performance__2[[#This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228.11930517603599</v>
      </c>
    </row>
    <row r="417" spans="1:16" x14ac:dyDescent="0.3">
      <c r="A417">
        <v>2</v>
      </c>
      <c r="B417">
        <v>81</v>
      </c>
      <c r="C417">
        <v>0</v>
      </c>
      <c r="D417">
        <v>6</v>
      </c>
      <c r="E417">
        <v>1</v>
      </c>
      <c r="F417">
        <v>590</v>
      </c>
      <c r="P417" s="6">
        <f>$I$6*A417+$J$6*Student_Performance__2[[#This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123.98077833492778</v>
      </c>
    </row>
    <row r="418" spans="1:16" x14ac:dyDescent="0.3">
      <c r="A418">
        <v>3</v>
      </c>
      <c r="B418">
        <v>83</v>
      </c>
      <c r="C418">
        <v>1</v>
      </c>
      <c r="D418">
        <v>4</v>
      </c>
      <c r="E418">
        <v>2</v>
      </c>
      <c r="F418">
        <v>630</v>
      </c>
      <c r="P418" s="6">
        <f>$I$6*A418+$J$6*Student_Performance__2[[#This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149.12774327113203</v>
      </c>
    </row>
    <row r="419" spans="1:16" x14ac:dyDescent="0.3">
      <c r="A419">
        <v>9</v>
      </c>
      <c r="B419">
        <v>73</v>
      </c>
      <c r="C419">
        <v>1</v>
      </c>
      <c r="D419">
        <v>9</v>
      </c>
      <c r="E419">
        <v>4</v>
      </c>
      <c r="F419">
        <v>720</v>
      </c>
      <c r="P419" s="6">
        <f>$I$6*A419+$J$6*Student_Performance__2[[#This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223.85111713514294</v>
      </c>
    </row>
    <row r="420" spans="1:16" x14ac:dyDescent="0.3">
      <c r="A420">
        <v>7</v>
      </c>
      <c r="B420">
        <v>81</v>
      </c>
      <c r="C420">
        <v>0</v>
      </c>
      <c r="D420">
        <v>6</v>
      </c>
      <c r="E420">
        <v>0</v>
      </c>
      <c r="F420">
        <v>700</v>
      </c>
      <c r="P420" s="6">
        <f>$I$6*A420+$J$6*Student_Performance__2[[#This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105.67014604725915</v>
      </c>
    </row>
    <row r="421" spans="1:16" x14ac:dyDescent="0.3">
      <c r="A421">
        <v>4</v>
      </c>
      <c r="B421">
        <v>59</v>
      </c>
      <c r="C421">
        <v>0</v>
      </c>
      <c r="D421">
        <v>8</v>
      </c>
      <c r="E421">
        <v>4</v>
      </c>
      <c r="F421">
        <v>410</v>
      </c>
      <c r="P421" s="6">
        <f>$I$6*A421+$J$6*Student_Performance__2[[#This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132.94403589060147</v>
      </c>
    </row>
    <row r="422" spans="1:16" x14ac:dyDescent="0.3">
      <c r="A422">
        <v>5</v>
      </c>
      <c r="B422">
        <v>72</v>
      </c>
      <c r="C422">
        <v>0</v>
      </c>
      <c r="D422">
        <v>6</v>
      </c>
      <c r="E422">
        <v>1</v>
      </c>
      <c r="F422">
        <v>540</v>
      </c>
      <c r="P422" s="6">
        <f>$I$6*A422+$J$6*Student_Performance__2[[#This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88.611282851747887</v>
      </c>
    </row>
    <row r="423" spans="1:16" x14ac:dyDescent="0.3">
      <c r="A423">
        <v>2</v>
      </c>
      <c r="B423">
        <v>43</v>
      </c>
      <c r="C423">
        <v>1</v>
      </c>
      <c r="D423">
        <v>5</v>
      </c>
      <c r="E423">
        <v>3</v>
      </c>
      <c r="F423">
        <v>210</v>
      </c>
      <c r="P423" s="6">
        <f>$I$6*A423+$J$6*Student_Performance__2[[#This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1.1375592805007386</v>
      </c>
    </row>
    <row r="424" spans="1:16" x14ac:dyDescent="0.3">
      <c r="A424">
        <v>8</v>
      </c>
      <c r="B424">
        <v>84</v>
      </c>
      <c r="C424">
        <v>1</v>
      </c>
      <c r="D424">
        <v>7</v>
      </c>
      <c r="E424">
        <v>5</v>
      </c>
      <c r="F424">
        <v>830</v>
      </c>
      <c r="P424" s="6">
        <f>$I$6*A424+$J$6*Student_Performance__2[[#This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280.80929616362567</v>
      </c>
    </row>
    <row r="425" spans="1:16" x14ac:dyDescent="0.3">
      <c r="A425">
        <v>4</v>
      </c>
      <c r="B425">
        <v>83</v>
      </c>
      <c r="C425">
        <v>0</v>
      </c>
      <c r="D425">
        <v>7</v>
      </c>
      <c r="E425">
        <v>8</v>
      </c>
      <c r="F425">
        <v>640</v>
      </c>
      <c r="P425" s="6">
        <f>$I$6*A425+$J$6*Student_Performance__2[[#This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348.27874525570422</v>
      </c>
    </row>
    <row r="426" spans="1:16" x14ac:dyDescent="0.3">
      <c r="A426">
        <v>9</v>
      </c>
      <c r="B426">
        <v>50</v>
      </c>
      <c r="C426">
        <v>1</v>
      </c>
      <c r="D426">
        <v>9</v>
      </c>
      <c r="E426">
        <v>9</v>
      </c>
      <c r="F426">
        <v>510</v>
      </c>
      <c r="P426" s="6">
        <f>$I$6*A426+$J$6*Student_Performance__2[[#This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260.92385869606159</v>
      </c>
    </row>
    <row r="427" spans="1:16" x14ac:dyDescent="0.3">
      <c r="A427">
        <v>5</v>
      </c>
      <c r="B427">
        <v>81</v>
      </c>
      <c r="C427">
        <v>0</v>
      </c>
      <c r="D427">
        <v>6</v>
      </c>
      <c r="E427">
        <v>5</v>
      </c>
      <c r="F427">
        <v>660</v>
      </c>
      <c r="P427" s="6">
        <f>$I$6*A427+$J$6*Student_Performance__2[[#This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244.87084720339243</v>
      </c>
    </row>
    <row r="428" spans="1:16" x14ac:dyDescent="0.3">
      <c r="A428">
        <v>9</v>
      </c>
      <c r="B428">
        <v>86</v>
      </c>
      <c r="C428">
        <v>1</v>
      </c>
      <c r="D428">
        <v>6</v>
      </c>
      <c r="E428">
        <v>9</v>
      </c>
      <c r="F428">
        <v>830</v>
      </c>
      <c r="P428" s="6">
        <f>$I$6*A428+$J$6*Student_Performance__2[[#This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396.56490176832739</v>
      </c>
    </row>
    <row r="429" spans="1:16" x14ac:dyDescent="0.3">
      <c r="A429">
        <v>4</v>
      </c>
      <c r="B429">
        <v>44</v>
      </c>
      <c r="C429">
        <v>0</v>
      </c>
      <c r="D429">
        <v>6</v>
      </c>
      <c r="E429">
        <v>1</v>
      </c>
      <c r="F429">
        <v>260</v>
      </c>
      <c r="P429" s="6">
        <f>$I$6*A429+$J$6*Student_Performance__2[[#This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-42.834013210678677</v>
      </c>
    </row>
    <row r="430" spans="1:16" x14ac:dyDescent="0.3">
      <c r="A430">
        <v>5</v>
      </c>
      <c r="B430">
        <v>64</v>
      </c>
      <c r="C430">
        <v>1</v>
      </c>
      <c r="D430">
        <v>6</v>
      </c>
      <c r="E430">
        <v>7</v>
      </c>
      <c r="F430">
        <v>490</v>
      </c>
      <c r="P430" s="6">
        <f>$I$6*A430+$J$6*Student_Performance__2[[#This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229.29005100794319</v>
      </c>
    </row>
    <row r="431" spans="1:16" x14ac:dyDescent="0.3">
      <c r="A431">
        <v>9</v>
      </c>
      <c r="B431">
        <v>88</v>
      </c>
      <c r="C431">
        <v>1</v>
      </c>
      <c r="D431">
        <v>5</v>
      </c>
      <c r="E431">
        <v>4</v>
      </c>
      <c r="F431">
        <v>850</v>
      </c>
      <c r="P431" s="6">
        <f>$I$6*A431+$J$6*Student_Performance__2[[#This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252.229737348431</v>
      </c>
    </row>
    <row r="432" spans="1:16" x14ac:dyDescent="0.3">
      <c r="A432">
        <v>8</v>
      </c>
      <c r="B432">
        <v>99</v>
      </c>
      <c r="C432">
        <v>1</v>
      </c>
      <c r="D432">
        <v>8</v>
      </c>
      <c r="E432">
        <v>8</v>
      </c>
      <c r="F432">
        <v>950</v>
      </c>
      <c r="P432" s="6">
        <f>$I$6*A432+$J$6*Student_Performance__2[[#This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446.35517033151581</v>
      </c>
    </row>
    <row r="433" spans="1:16" x14ac:dyDescent="0.3">
      <c r="A433">
        <v>3</v>
      </c>
      <c r="B433">
        <v>76</v>
      </c>
      <c r="C433">
        <v>1</v>
      </c>
      <c r="D433">
        <v>5</v>
      </c>
      <c r="E433">
        <v>9</v>
      </c>
      <c r="F433">
        <v>560</v>
      </c>
      <c r="P433" s="6">
        <f>$I$6*A433+$J$6*Student_Performance__2[[#This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327.69805390051346</v>
      </c>
    </row>
    <row r="434" spans="1:16" x14ac:dyDescent="0.3">
      <c r="A434">
        <v>1</v>
      </c>
      <c r="B434">
        <v>73</v>
      </c>
      <c r="C434">
        <v>1</v>
      </c>
      <c r="D434">
        <v>5</v>
      </c>
      <c r="E434">
        <v>8</v>
      </c>
      <c r="F434">
        <v>500</v>
      </c>
      <c r="P434" s="6">
        <f>$I$6*A434+$J$6*Student_Performance__2[[#This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281.02453249197373</v>
      </c>
    </row>
    <row r="435" spans="1:16" x14ac:dyDescent="0.3">
      <c r="A435">
        <v>3</v>
      </c>
      <c r="B435">
        <v>48</v>
      </c>
      <c r="C435">
        <v>1</v>
      </c>
      <c r="D435">
        <v>5</v>
      </c>
      <c r="E435">
        <v>3</v>
      </c>
      <c r="F435">
        <v>230</v>
      </c>
      <c r="P435" s="6">
        <f>$I$6*A435+$J$6*Student_Performance__2[[#This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26.311631424426594</v>
      </c>
    </row>
    <row r="436" spans="1:16" x14ac:dyDescent="0.3">
      <c r="A436">
        <v>4</v>
      </c>
      <c r="B436">
        <v>45</v>
      </c>
      <c r="C436">
        <v>1</v>
      </c>
      <c r="D436">
        <v>7</v>
      </c>
      <c r="E436">
        <v>0</v>
      </c>
      <c r="F436">
        <v>260</v>
      </c>
      <c r="P436" s="6">
        <f>$I$6*A436+$J$6*Student_Performance__2[[#This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-51.020229824171565</v>
      </c>
    </row>
    <row r="437" spans="1:16" x14ac:dyDescent="0.3">
      <c r="A437">
        <v>2</v>
      </c>
      <c r="B437">
        <v>57</v>
      </c>
      <c r="C437">
        <v>0</v>
      </c>
      <c r="D437">
        <v>5</v>
      </c>
      <c r="E437">
        <v>8</v>
      </c>
      <c r="F437">
        <v>300</v>
      </c>
      <c r="P437" s="6">
        <f>$I$6*A437+$J$6*Student_Performance__2[[#This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203.53844315776763</v>
      </c>
    </row>
    <row r="438" spans="1:16" x14ac:dyDescent="0.3">
      <c r="A438">
        <v>1</v>
      </c>
      <c r="B438">
        <v>53</v>
      </c>
      <c r="C438">
        <v>0</v>
      </c>
      <c r="D438">
        <v>6</v>
      </c>
      <c r="E438">
        <v>8</v>
      </c>
      <c r="F438">
        <v>280</v>
      </c>
      <c r="P438" s="6">
        <f>$I$6*A438+$J$6*Student_Performance__2[[#This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193.21703394368836</v>
      </c>
    </row>
    <row r="439" spans="1:16" x14ac:dyDescent="0.3">
      <c r="A439">
        <v>7</v>
      </c>
      <c r="B439">
        <v>58</v>
      </c>
      <c r="C439">
        <v>0</v>
      </c>
      <c r="D439">
        <v>5</v>
      </c>
      <c r="E439">
        <v>7</v>
      </c>
      <c r="F439">
        <v>480</v>
      </c>
      <c r="P439" s="6">
        <f>$I$6*A439+$J$6*Student_Performance__2[[#This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189.84829886655547</v>
      </c>
    </row>
    <row r="440" spans="1:16" x14ac:dyDescent="0.3">
      <c r="A440">
        <v>8</v>
      </c>
      <c r="B440">
        <v>53</v>
      </c>
      <c r="C440">
        <v>1</v>
      </c>
      <c r="D440">
        <v>6</v>
      </c>
      <c r="E440">
        <v>4</v>
      </c>
      <c r="F440">
        <v>460</v>
      </c>
      <c r="P440" s="6">
        <f>$I$6*A440+$J$6*Student_Performance__2[[#This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98.673200244198597</v>
      </c>
    </row>
    <row r="441" spans="1:16" x14ac:dyDescent="0.3">
      <c r="A441">
        <v>7</v>
      </c>
      <c r="B441">
        <v>79</v>
      </c>
      <c r="C441">
        <v>1</v>
      </c>
      <c r="D441">
        <v>9</v>
      </c>
      <c r="E441">
        <v>4</v>
      </c>
      <c r="F441">
        <v>730</v>
      </c>
      <c r="P441" s="6">
        <f>$I$6*A441+$J$6*Student_Performance__2[[#This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247.4307807905962</v>
      </c>
    </row>
    <row r="442" spans="1:16" x14ac:dyDescent="0.3">
      <c r="A442">
        <v>5</v>
      </c>
      <c r="B442">
        <v>56</v>
      </c>
      <c r="C442">
        <v>1</v>
      </c>
      <c r="D442">
        <v>8</v>
      </c>
      <c r="E442">
        <v>9</v>
      </c>
      <c r="F442">
        <v>450</v>
      </c>
      <c r="P442" s="6">
        <f>$I$6*A442+$J$6*Student_Performance__2[[#This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270.1280830948387</v>
      </c>
    </row>
    <row r="443" spans="1:16" x14ac:dyDescent="0.3">
      <c r="A443">
        <v>1</v>
      </c>
      <c r="B443">
        <v>99</v>
      </c>
      <c r="C443">
        <v>0</v>
      </c>
      <c r="D443">
        <v>7</v>
      </c>
      <c r="E443">
        <v>5</v>
      </c>
      <c r="F443">
        <v>760</v>
      </c>
      <c r="P443" s="6">
        <f>$I$6*A443+$J$6*Student_Performance__2[[#This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329.98527742642835</v>
      </c>
    </row>
    <row r="444" spans="1:16" x14ac:dyDescent="0.3">
      <c r="A444">
        <v>7</v>
      </c>
      <c r="B444">
        <v>74</v>
      </c>
      <c r="C444">
        <v>0</v>
      </c>
      <c r="D444">
        <v>8</v>
      </c>
      <c r="E444">
        <v>0</v>
      </c>
      <c r="F444">
        <v>710</v>
      </c>
      <c r="P444" s="6">
        <f>$I$6*A444+$J$6*Student_Performance__2[[#This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93.791079938843438</v>
      </c>
    </row>
    <row r="445" spans="1:16" x14ac:dyDescent="0.3">
      <c r="A445">
        <v>7</v>
      </c>
      <c r="B445">
        <v>68</v>
      </c>
      <c r="C445">
        <v>0</v>
      </c>
      <c r="D445">
        <v>9</v>
      </c>
      <c r="E445">
        <v>8</v>
      </c>
      <c r="F445">
        <v>600</v>
      </c>
      <c r="P445" s="6">
        <f>$I$6*A445+$J$6*Student_Performance__2[[#This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305.65067166056525</v>
      </c>
    </row>
    <row r="446" spans="1:16" x14ac:dyDescent="0.3">
      <c r="A446">
        <v>9</v>
      </c>
      <c r="B446">
        <v>81</v>
      </c>
      <c r="C446">
        <v>0</v>
      </c>
      <c r="D446">
        <v>8</v>
      </c>
      <c r="E446">
        <v>4</v>
      </c>
      <c r="F446">
        <v>770</v>
      </c>
      <c r="P446" s="6">
        <f>$I$6*A446+$J$6*Student_Performance__2[[#This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244.95293262086096</v>
      </c>
    </row>
    <row r="447" spans="1:16" x14ac:dyDescent="0.3">
      <c r="A447">
        <v>3</v>
      </c>
      <c r="B447">
        <v>56</v>
      </c>
      <c r="C447">
        <v>0</v>
      </c>
      <c r="D447">
        <v>7</v>
      </c>
      <c r="E447">
        <v>6</v>
      </c>
      <c r="F447">
        <v>360</v>
      </c>
      <c r="P447" s="6">
        <f>$I$6*A447+$J$6*Student_Performance__2[[#This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164.11635099796644</v>
      </c>
    </row>
    <row r="448" spans="1:16" x14ac:dyDescent="0.3">
      <c r="A448">
        <v>9</v>
      </c>
      <c r="B448">
        <v>98</v>
      </c>
      <c r="C448">
        <v>0</v>
      </c>
      <c r="D448">
        <v>6</v>
      </c>
      <c r="E448">
        <v>7</v>
      </c>
      <c r="F448">
        <v>960</v>
      </c>
      <c r="P448" s="6">
        <f>$I$6*A448+$J$6*Student_Performance__2[[#This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389.04325798149381</v>
      </c>
    </row>
    <row r="449" spans="1:16" x14ac:dyDescent="0.3">
      <c r="A449">
        <v>1</v>
      </c>
      <c r="B449">
        <v>82</v>
      </c>
      <c r="C449">
        <v>1</v>
      </c>
      <c r="D449">
        <v>9</v>
      </c>
      <c r="E449">
        <v>4</v>
      </c>
      <c r="F449">
        <v>620</v>
      </c>
      <c r="P449" s="6">
        <f>$I$6*A449+$J$6*Student_Performance__2[[#This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248.86245181010753</v>
      </c>
    </row>
    <row r="450" spans="1:16" x14ac:dyDescent="0.3">
      <c r="A450">
        <v>1</v>
      </c>
      <c r="B450">
        <v>47</v>
      </c>
      <c r="C450">
        <v>0</v>
      </c>
      <c r="D450">
        <v>9</v>
      </c>
      <c r="E450">
        <v>2</v>
      </c>
      <c r="F450">
        <v>220</v>
      </c>
      <c r="P450" s="6">
        <f>$I$6*A450+$J$6*Student_Performance__2[[#This Row],[Previous Scores]]+$K$6*Student_Performance__2[[#This Row],[Extracurricular Activities]]+$L$6*Student_Performance__2[[#This Row],[Sleep Hours]]+$M$6*Student_Performance__2[[#This Row],[Sample Question Papers Practiced]]+$N$6</f>
        <v>24.177872189815901</v>
      </c>
    </row>
  </sheetData>
  <mergeCells count="3">
    <mergeCell ref="N4:N5"/>
    <mergeCell ref="I20:N20"/>
    <mergeCell ref="I4:M4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21007-0ACA-4EE6-BEF0-AB4D30AE2FE8}">
  <sheetPr codeName="Sheet6"/>
  <dimension ref="A1:M367"/>
  <sheetViews>
    <sheetView zoomScaleNormal="100" workbookViewId="0">
      <selection activeCell="M5" sqref="M5"/>
    </sheetView>
  </sheetViews>
  <sheetFormatPr defaultRowHeight="14.4" x14ac:dyDescent="0.3"/>
  <cols>
    <col min="1" max="1" width="20.109375" customWidth="1"/>
    <col min="2" max="2" width="26.6640625" customWidth="1"/>
    <col min="4" max="4" width="11.44140625" customWidth="1"/>
    <col min="5" max="5" width="14.6640625" customWidth="1"/>
    <col min="6" max="6" width="24.5546875" customWidth="1"/>
    <col min="7" max="7" width="10.6640625" customWidth="1"/>
    <col min="8" max="8" width="32" customWidth="1"/>
    <col min="10" max="10" width="13.109375" customWidth="1"/>
    <col min="11" max="11" width="21" customWidth="1"/>
    <col min="13" max="13" width="12.21875" customWidth="1"/>
  </cols>
  <sheetData>
    <row r="1" spans="1:13" x14ac:dyDescent="0.3">
      <c r="A1" t="s">
        <v>8</v>
      </c>
      <c r="B1" t="s">
        <v>9</v>
      </c>
      <c r="D1" s="7" t="s">
        <v>49</v>
      </c>
      <c r="E1" s="7" t="s">
        <v>50</v>
      </c>
      <c r="F1" s="7" t="s">
        <v>54</v>
      </c>
      <c r="G1" s="7" t="s">
        <v>48</v>
      </c>
      <c r="H1" s="7" t="s">
        <v>51</v>
      </c>
    </row>
    <row r="2" spans="1:13" x14ac:dyDescent="0.3">
      <c r="A2">
        <v>39</v>
      </c>
      <c r="B2">
        <v>1317</v>
      </c>
      <c r="D2" s="6">
        <v>1317</v>
      </c>
      <c r="E2" s="6">
        <v>0</v>
      </c>
      <c r="F2" s="6" t="s">
        <v>23</v>
      </c>
      <c r="G2" s="6" t="s">
        <v>23</v>
      </c>
      <c r="H2" s="6">
        <f>D2+E2</f>
        <v>1317</v>
      </c>
      <c r="J2" s="7" t="s">
        <v>52</v>
      </c>
      <c r="K2" s="6">
        <v>0.7400000000000001</v>
      </c>
      <c r="M2" s="50" t="s">
        <v>55</v>
      </c>
    </row>
    <row r="3" spans="1:13" x14ac:dyDescent="0.3">
      <c r="A3">
        <v>40</v>
      </c>
      <c r="B3">
        <v>1188</v>
      </c>
      <c r="D3" s="6">
        <f>$K$2*Linear_Regression56[[#This Row],[Ice Cream Profits (USD)]]+(1-$K$2)*F3</f>
        <v>1221.54</v>
      </c>
      <c r="E3" s="6">
        <f>$K$3*(D3-D2)+(1-$K$3)*E2</f>
        <v>-68.698026917561307</v>
      </c>
      <c r="F3" s="6">
        <f>D2+E2</f>
        <v>1317</v>
      </c>
      <c r="G3" s="6">
        <f>Linear_Regression56[[#This Row],[Ice Cream Profits (USD)]]-H2</f>
        <v>-129</v>
      </c>
      <c r="H3" s="6">
        <f>D3+E3</f>
        <v>1152.8419730824387</v>
      </c>
      <c r="J3" s="7" t="s">
        <v>56</v>
      </c>
      <c r="K3" s="6">
        <v>0.71965249232727091</v>
      </c>
      <c r="M3" s="51"/>
    </row>
    <row r="4" spans="1:13" ht="14.4" customHeight="1" x14ac:dyDescent="0.3">
      <c r="A4">
        <v>41</v>
      </c>
      <c r="B4">
        <v>1882</v>
      </c>
      <c r="D4" s="6">
        <f>$K$2*Linear_Regression56[[#This Row],[Ice Cream Profits (USD)]]+(1-$K$2)*F4</f>
        <v>1692.4189130014342</v>
      </c>
      <c r="E4" s="6">
        <f>$K$3*(D4-D3)+(1-$K$3)*E3</f>
        <v>319.60986269746599</v>
      </c>
      <c r="F4" s="6">
        <f t="shared" ref="F4:F67" si="0">D3+E3</f>
        <v>1152.8419730824387</v>
      </c>
      <c r="G4" s="6">
        <f>Linear_Regression56[[#This Row],[Ice Cream Profits (USD)]]-H3</f>
        <v>729.1580269175613</v>
      </c>
      <c r="H4" s="6">
        <f t="shared" ref="H4:H67" si="1">D4+E4</f>
        <v>2012.0287756989003</v>
      </c>
      <c r="J4" s="7" t="s">
        <v>53</v>
      </c>
      <c r="K4" s="6">
        <f>SQRT(SUMSQ(G3:G366)/COUNT(G3:G366))</f>
        <v>404.68712215081717</v>
      </c>
    </row>
    <row r="5" spans="1:13" x14ac:dyDescent="0.3">
      <c r="A5">
        <v>42</v>
      </c>
      <c r="B5">
        <v>1865</v>
      </c>
      <c r="D5" s="6">
        <f>$K$2*Linear_Regression56[[#This Row],[Ice Cream Profits (USD)]]+(1-$K$2)*F5</f>
        <v>1903.2274816817139</v>
      </c>
      <c r="E5" s="6">
        <f>$K$3*(D5-D4)+(1-$K$3)*E4</f>
        <v>241.31074028956567</v>
      </c>
      <c r="F5" s="6">
        <f t="shared" si="0"/>
        <v>2012.0287756989003</v>
      </c>
      <c r="G5" s="6">
        <f>Linear_Regression56[[#This Row],[Ice Cream Profits (USD)]]-H4</f>
        <v>-147.02877569890029</v>
      </c>
      <c r="H5" s="6">
        <f t="shared" si="1"/>
        <v>2144.5382219712797</v>
      </c>
    </row>
    <row r="6" spans="1:13" x14ac:dyDescent="0.3">
      <c r="A6">
        <v>43</v>
      </c>
      <c r="B6">
        <v>1702</v>
      </c>
      <c r="D6" s="6">
        <f>$K$2*Linear_Regression56[[#This Row],[Ice Cream Profits (USD)]]+(1-$K$2)*F6</f>
        <v>1817.0599377125327</v>
      </c>
      <c r="E6" s="6">
        <f>$K$3*(D6-D5)+(1-$K$3)*E5</f>
        <v>5.6401768396999827</v>
      </c>
      <c r="F6" s="6">
        <f t="shared" si="0"/>
        <v>2144.5382219712797</v>
      </c>
      <c r="G6" s="6">
        <f>Linear_Regression56[[#This Row],[Ice Cream Profits (USD)]]-H5</f>
        <v>-442.53822197127965</v>
      </c>
      <c r="H6" s="6">
        <f t="shared" si="1"/>
        <v>1822.7001145522327</v>
      </c>
    </row>
    <row r="7" spans="1:13" x14ac:dyDescent="0.3">
      <c r="A7">
        <v>43</v>
      </c>
      <c r="B7">
        <v>1588</v>
      </c>
      <c r="D7" s="6">
        <f>$K$2*Linear_Regression56[[#This Row],[Ice Cream Profits (USD)]]+(1-$K$2)*F7</f>
        <v>1649.0220297835804</v>
      </c>
      <c r="E7" s="6">
        <f t="shared" ref="E7:E67" si="2">$K$3*(D7-D6)+(1-$K$3)*E6</f>
        <v>-119.34768972668769</v>
      </c>
      <c r="F7" s="6">
        <f t="shared" si="0"/>
        <v>1822.7001145522327</v>
      </c>
      <c r="G7" s="6">
        <f>Linear_Regression56[[#This Row],[Ice Cream Profits (USD)]]-H6</f>
        <v>-234.70011455223266</v>
      </c>
      <c r="H7" s="6">
        <f t="shared" si="1"/>
        <v>1529.6743400568926</v>
      </c>
    </row>
    <row r="8" spans="1:13" x14ac:dyDescent="0.3">
      <c r="A8">
        <v>44</v>
      </c>
      <c r="B8">
        <v>1907</v>
      </c>
      <c r="D8" s="6">
        <f>$K$2*Linear_Regression56[[#This Row],[Ice Cream Profits (USD)]]+(1-$K$2)*F8</f>
        <v>1808.8953284147922</v>
      </c>
      <c r="E8" s="6">
        <f t="shared" si="2"/>
        <v>81.594390455158575</v>
      </c>
      <c r="F8" s="6">
        <f t="shared" si="0"/>
        <v>1529.6743400568926</v>
      </c>
      <c r="G8" s="6">
        <f>Linear_Regression56[[#This Row],[Ice Cream Profits (USD)]]-H7</f>
        <v>377.32565994310744</v>
      </c>
      <c r="H8" s="6">
        <f t="shared" si="1"/>
        <v>1890.4897188699508</v>
      </c>
    </row>
    <row r="9" spans="1:13" x14ac:dyDescent="0.3">
      <c r="A9">
        <v>44</v>
      </c>
      <c r="B9">
        <v>1957</v>
      </c>
      <c r="D9" s="6">
        <f>$K$2*Linear_Regression56[[#This Row],[Ice Cream Profits (USD)]]+(1-$K$2)*F9</f>
        <v>1939.7073269061873</v>
      </c>
      <c r="E9" s="6">
        <f t="shared" si="2"/>
        <v>117.01396474482291</v>
      </c>
      <c r="F9" s="6">
        <f t="shared" si="0"/>
        <v>1890.4897188699508</v>
      </c>
      <c r="G9" s="6">
        <f>Linear_Regression56[[#This Row],[Ice Cream Profits (USD)]]-H8</f>
        <v>66.510281130049179</v>
      </c>
      <c r="H9" s="6">
        <f t="shared" si="1"/>
        <v>2056.7212916510102</v>
      </c>
    </row>
    <row r="10" spans="1:13" x14ac:dyDescent="0.3">
      <c r="A10">
        <v>45</v>
      </c>
      <c r="B10">
        <v>2162</v>
      </c>
      <c r="D10" s="6">
        <f>$K$2*Linear_Regression56[[#This Row],[Ice Cream Profits (USD)]]+(1-$K$2)*F10</f>
        <v>2134.6275358292623</v>
      </c>
      <c r="E10" s="6">
        <f t="shared" si="2"/>
        <v>173.07938753555902</v>
      </c>
      <c r="F10" s="6">
        <f t="shared" si="0"/>
        <v>2056.7212916510102</v>
      </c>
      <c r="G10" s="6">
        <f>Linear_Regression56[[#This Row],[Ice Cream Profits (USD)]]-H9</f>
        <v>105.27870834898977</v>
      </c>
      <c r="H10" s="6">
        <f t="shared" si="1"/>
        <v>2307.7069233648213</v>
      </c>
    </row>
    <row r="11" spans="1:13" x14ac:dyDescent="0.3">
      <c r="A11">
        <v>45</v>
      </c>
      <c r="B11">
        <v>2234</v>
      </c>
      <c r="D11" s="6">
        <f>$K$2*Linear_Regression56[[#This Row],[Ice Cream Profits (USD)]]+(1-$K$2)*F11</f>
        <v>2253.1638000748535</v>
      </c>
      <c r="E11" s="6">
        <f t="shared" si="2"/>
        <v>133.82729292062004</v>
      </c>
      <c r="F11" s="6">
        <f t="shared" si="0"/>
        <v>2307.7069233648213</v>
      </c>
      <c r="G11" s="6">
        <f>Linear_Regression56[[#This Row],[Ice Cream Profits (USD)]]-H10</f>
        <v>-73.70692336482125</v>
      </c>
      <c r="H11" s="6">
        <f t="shared" si="1"/>
        <v>2386.9910929954735</v>
      </c>
    </row>
    <row r="12" spans="1:13" x14ac:dyDescent="0.3">
      <c r="A12">
        <v>45</v>
      </c>
      <c r="B12">
        <v>1923</v>
      </c>
      <c r="D12" s="6">
        <f>$K$2*Linear_Regression56[[#This Row],[Ice Cream Profits (USD)]]+(1-$K$2)*F12</f>
        <v>2043.6376841788231</v>
      </c>
      <c r="E12" s="6">
        <f t="shared" si="2"/>
        <v>-113.26784348334681</v>
      </c>
      <c r="F12" s="6">
        <f t="shared" si="0"/>
        <v>2386.9910929954735</v>
      </c>
      <c r="G12" s="6">
        <f>Linear_Regression56[[#This Row],[Ice Cream Profits (USD)]]-H11</f>
        <v>-463.99109299547354</v>
      </c>
      <c r="H12" s="6">
        <f t="shared" si="1"/>
        <v>1930.3698406954763</v>
      </c>
    </row>
    <row r="13" spans="1:13" x14ac:dyDescent="0.3">
      <c r="A13">
        <v>46</v>
      </c>
      <c r="B13">
        <v>2125</v>
      </c>
      <c r="D13" s="6">
        <f>$K$2*Linear_Regression56[[#This Row],[Ice Cream Profits (USD)]]+(1-$K$2)*F13</f>
        <v>2074.3961585808238</v>
      </c>
      <c r="E13" s="6">
        <f t="shared" si="2"/>
        <v>-9.6189448564366593</v>
      </c>
      <c r="F13" s="6">
        <f t="shared" si="0"/>
        <v>1930.3698406954763</v>
      </c>
      <c r="G13" s="6">
        <f>Linear_Regression56[[#This Row],[Ice Cream Profits (USD)]]-H12</f>
        <v>194.63015930452366</v>
      </c>
      <c r="H13" s="6">
        <f t="shared" si="1"/>
        <v>2064.7772137243869</v>
      </c>
    </row>
    <row r="14" spans="1:13" x14ac:dyDescent="0.3">
      <c r="A14">
        <v>46</v>
      </c>
      <c r="B14">
        <v>1981</v>
      </c>
      <c r="D14" s="6">
        <f>$K$2*Linear_Regression56[[#This Row],[Ice Cream Profits (USD)]]+(1-$K$2)*F14</f>
        <v>2002.7820755683406</v>
      </c>
      <c r="E14" s="6">
        <f t="shared" si="2"/>
        <v>-54.233900542609042</v>
      </c>
      <c r="F14" s="6">
        <f t="shared" si="0"/>
        <v>2064.7772137243869</v>
      </c>
      <c r="G14" s="6">
        <f>Linear_Regression56[[#This Row],[Ice Cream Profits (USD)]]-H13</f>
        <v>-83.777213724386911</v>
      </c>
      <c r="H14" s="6">
        <f t="shared" si="1"/>
        <v>1948.5481750257316</v>
      </c>
    </row>
    <row r="15" spans="1:13" x14ac:dyDescent="0.3">
      <c r="A15">
        <v>47</v>
      </c>
      <c r="B15">
        <v>2212</v>
      </c>
      <c r="D15" s="6">
        <f>$K$2*Linear_Regression56[[#This Row],[Ice Cream Profits (USD)]]+(1-$K$2)*F15</f>
        <v>2143.5025255066903</v>
      </c>
      <c r="E15" s="6">
        <f t="shared" si="2"/>
        <v>86.065483671057194</v>
      </c>
      <c r="F15" s="6">
        <f t="shared" si="0"/>
        <v>1948.5481750257316</v>
      </c>
      <c r="G15" s="6">
        <f>Linear_Regression56[[#This Row],[Ice Cream Profits (USD)]]-H14</f>
        <v>263.45182497426845</v>
      </c>
      <c r="H15" s="6">
        <f t="shared" si="1"/>
        <v>2229.5680091777476</v>
      </c>
    </row>
    <row r="16" spans="1:13" x14ac:dyDescent="0.3">
      <c r="A16">
        <v>48</v>
      </c>
      <c r="B16">
        <v>2422</v>
      </c>
      <c r="D16" s="6">
        <f>$K$2*Linear_Regression56[[#This Row],[Ice Cream Profits (USD)]]+(1-$K$2)*F16</f>
        <v>2371.9676823862146</v>
      </c>
      <c r="E16" s="6">
        <f t="shared" si="2"/>
        <v>188.54376340211948</v>
      </c>
      <c r="F16" s="6">
        <f t="shared" si="0"/>
        <v>2229.5680091777476</v>
      </c>
      <c r="G16" s="6">
        <f>Linear_Regression56[[#This Row],[Ice Cream Profits (USD)]]-H15</f>
        <v>192.43199082225237</v>
      </c>
      <c r="H16" s="6">
        <f t="shared" si="1"/>
        <v>2560.5114457883342</v>
      </c>
    </row>
    <row r="17" spans="1:8" x14ac:dyDescent="0.3">
      <c r="A17">
        <v>48</v>
      </c>
      <c r="B17">
        <v>2468</v>
      </c>
      <c r="D17" s="6">
        <f>$K$2*Linear_Regression56[[#This Row],[Ice Cream Profits (USD)]]+(1-$K$2)*F17</f>
        <v>2492.0529759049668</v>
      </c>
      <c r="E17" s="6">
        <f t="shared" si="2"/>
        <v>139.27745492964283</v>
      </c>
      <c r="F17" s="6">
        <f t="shared" si="0"/>
        <v>2560.5114457883342</v>
      </c>
      <c r="G17" s="6">
        <f>Linear_Regression56[[#This Row],[Ice Cream Profits (USD)]]-H16</f>
        <v>-92.511445788334186</v>
      </c>
      <c r="H17" s="6">
        <f t="shared" si="1"/>
        <v>2631.3304308346096</v>
      </c>
    </row>
    <row r="18" spans="1:8" x14ac:dyDescent="0.3">
      <c r="A18">
        <v>48</v>
      </c>
      <c r="B18">
        <v>2378</v>
      </c>
      <c r="D18" s="6">
        <f>$K$2*Linear_Regression56[[#This Row],[Ice Cream Profits (USD)]]+(1-$K$2)*F18</f>
        <v>2443.8659120169987</v>
      </c>
      <c r="E18" s="6">
        <f t="shared" si="2"/>
        <v>4.3681467396164919</v>
      </c>
      <c r="F18" s="6">
        <f t="shared" si="0"/>
        <v>2631.3304308346096</v>
      </c>
      <c r="G18" s="6">
        <f>Linear_Regression56[[#This Row],[Ice Cream Profits (USD)]]-H17</f>
        <v>-253.33043083460961</v>
      </c>
      <c r="H18" s="6">
        <f t="shared" si="1"/>
        <v>2448.234058756615</v>
      </c>
    </row>
    <row r="19" spans="1:8" x14ac:dyDescent="0.3">
      <c r="A19">
        <v>48</v>
      </c>
      <c r="B19">
        <v>2641</v>
      </c>
      <c r="D19" s="6">
        <f>$K$2*Linear_Regression56[[#This Row],[Ice Cream Profits (USD)]]+(1-$K$2)*F19</f>
        <v>2590.88085527672</v>
      </c>
      <c r="E19" s="6">
        <f t="shared" si="2"/>
        <v>107.02426937781102</v>
      </c>
      <c r="F19" s="6">
        <f t="shared" si="0"/>
        <v>2448.234058756615</v>
      </c>
      <c r="G19" s="6">
        <f>Linear_Regression56[[#This Row],[Ice Cream Profits (USD)]]-H18</f>
        <v>192.76594124338499</v>
      </c>
      <c r="H19" s="6">
        <f t="shared" si="1"/>
        <v>2697.9051246545309</v>
      </c>
    </row>
    <row r="20" spans="1:8" x14ac:dyDescent="0.3">
      <c r="A20">
        <v>48</v>
      </c>
      <c r="B20">
        <v>2501</v>
      </c>
      <c r="D20" s="6">
        <f>$K$2*Linear_Regression56[[#This Row],[Ice Cream Profits (USD)]]+(1-$K$2)*F20</f>
        <v>2552.1953324101778</v>
      </c>
      <c r="E20" s="6">
        <f t="shared" si="2"/>
        <v>2.1638542326733692</v>
      </c>
      <c r="F20" s="6">
        <f t="shared" si="0"/>
        <v>2697.9051246545309</v>
      </c>
      <c r="G20" s="6">
        <f>Linear_Regression56[[#This Row],[Ice Cream Profits (USD)]]-H19</f>
        <v>-196.90512465453094</v>
      </c>
      <c r="H20" s="6">
        <f t="shared" si="1"/>
        <v>2554.359186642851</v>
      </c>
    </row>
    <row r="21" spans="1:8" x14ac:dyDescent="0.3">
      <c r="A21">
        <v>48</v>
      </c>
      <c r="B21">
        <v>2229</v>
      </c>
      <c r="D21" s="6">
        <f>$K$2*Linear_Regression56[[#This Row],[Ice Cream Profits (USD)]]+(1-$K$2)*F21</f>
        <v>2313.5933885271415</v>
      </c>
      <c r="E21" s="6">
        <f t="shared" si="2"/>
        <v>-171.10385244846159</v>
      </c>
      <c r="F21" s="6">
        <f t="shared" si="0"/>
        <v>2554.359186642851</v>
      </c>
      <c r="G21" s="6">
        <f>Linear_Regression56[[#This Row],[Ice Cream Profits (USD)]]-H20</f>
        <v>-325.359186642851</v>
      </c>
      <c r="H21" s="6">
        <f t="shared" si="1"/>
        <v>2142.48953607868</v>
      </c>
    </row>
    <row r="22" spans="1:8" x14ac:dyDescent="0.3">
      <c r="A22">
        <v>49</v>
      </c>
      <c r="B22">
        <v>2781</v>
      </c>
      <c r="D22" s="6">
        <f>$K$2*Linear_Regression56[[#This Row],[Ice Cream Profits (USD)]]+(1-$K$2)*F22</f>
        <v>2614.987279380457</v>
      </c>
      <c r="E22" s="6">
        <f t="shared" si="2"/>
        <v>168.93032613767338</v>
      </c>
      <c r="F22" s="6">
        <f t="shared" si="0"/>
        <v>2142.48953607868</v>
      </c>
      <c r="G22" s="6">
        <f>Linear_Regression56[[#This Row],[Ice Cream Profits (USD)]]-H21</f>
        <v>638.51046392132002</v>
      </c>
      <c r="H22" s="6">
        <f t="shared" si="1"/>
        <v>2783.9176055181306</v>
      </c>
    </row>
    <row r="23" spans="1:8" x14ac:dyDescent="0.3">
      <c r="A23">
        <v>49</v>
      </c>
      <c r="B23">
        <v>2354</v>
      </c>
      <c r="D23" s="6">
        <f>$K$2*Linear_Regression56[[#This Row],[Ice Cream Profits (USD)]]+(1-$K$2)*F23</f>
        <v>2465.778577434714</v>
      </c>
      <c r="E23" s="6">
        <f t="shared" si="2"/>
        <v>-60.019218329132912</v>
      </c>
      <c r="F23" s="6">
        <f t="shared" si="0"/>
        <v>2783.9176055181306</v>
      </c>
      <c r="G23" s="6">
        <f>Linear_Regression56[[#This Row],[Ice Cream Profits (USD)]]-H22</f>
        <v>-429.91760551813059</v>
      </c>
      <c r="H23" s="6">
        <f t="shared" si="1"/>
        <v>2405.7593591055811</v>
      </c>
    </row>
    <row r="24" spans="1:8" x14ac:dyDescent="0.3">
      <c r="A24">
        <v>50</v>
      </c>
      <c r="B24">
        <v>2289</v>
      </c>
      <c r="D24" s="6">
        <f>$K$2*Linear_Regression56[[#This Row],[Ice Cream Profits (USD)]]+(1-$K$2)*F24</f>
        <v>2319.357433367451</v>
      </c>
      <c r="E24" s="6">
        <f t="shared" si="2"/>
        <v>-122.19857952845398</v>
      </c>
      <c r="F24" s="6">
        <f t="shared" si="0"/>
        <v>2405.7593591055811</v>
      </c>
      <c r="G24" s="6">
        <f>Linear_Regression56[[#This Row],[Ice Cream Profits (USD)]]-H23</f>
        <v>-116.7593591055811</v>
      </c>
      <c r="H24" s="6">
        <f t="shared" si="1"/>
        <v>2197.1588538389969</v>
      </c>
    </row>
    <row r="25" spans="1:8" x14ac:dyDescent="0.3">
      <c r="A25">
        <v>50</v>
      </c>
      <c r="B25">
        <v>2568</v>
      </c>
      <c r="D25" s="6">
        <f>$K$2*Linear_Regression56[[#This Row],[Ice Cream Profits (USD)]]+(1-$K$2)*F25</f>
        <v>2471.5813019981392</v>
      </c>
      <c r="E25" s="6">
        <f t="shared" si="2"/>
        <v>75.290219239824012</v>
      </c>
      <c r="F25" s="6">
        <f t="shared" si="0"/>
        <v>2197.1588538389969</v>
      </c>
      <c r="G25" s="6">
        <f>Linear_Regression56[[#This Row],[Ice Cream Profits (USD)]]-H24</f>
        <v>370.84114616100305</v>
      </c>
      <c r="H25" s="6">
        <f t="shared" si="1"/>
        <v>2546.8715212379634</v>
      </c>
    </row>
    <row r="26" spans="1:8" x14ac:dyDescent="0.3">
      <c r="A26">
        <v>50</v>
      </c>
      <c r="B26">
        <v>2729</v>
      </c>
      <c r="D26" s="6">
        <f>$K$2*Linear_Regression56[[#This Row],[Ice Cream Profits (USD)]]+(1-$K$2)*F26</f>
        <v>2681.6465955218705</v>
      </c>
      <c r="E26" s="6">
        <f t="shared" si="2"/>
        <v>172.28143735183093</v>
      </c>
      <c r="F26" s="6">
        <f t="shared" si="0"/>
        <v>2546.8715212379634</v>
      </c>
      <c r="G26" s="6">
        <f>Linear_Regression56[[#This Row],[Ice Cream Profits (USD)]]-H25</f>
        <v>182.12847876203659</v>
      </c>
      <c r="H26" s="6">
        <f t="shared" si="1"/>
        <v>2853.9280328737013</v>
      </c>
    </row>
    <row r="27" spans="1:8" x14ac:dyDescent="0.3">
      <c r="A27">
        <v>50</v>
      </c>
      <c r="B27">
        <v>2764</v>
      </c>
      <c r="D27" s="6">
        <f>$K$2*Linear_Regression56[[#This Row],[Ice Cream Profits (USD)]]+(1-$K$2)*F27</f>
        <v>2787.3812885471625</v>
      </c>
      <c r="E27" s="6">
        <f t="shared" si="2"/>
        <v>124.39090694097153</v>
      </c>
      <c r="F27" s="6">
        <f t="shared" si="0"/>
        <v>2853.9280328737013</v>
      </c>
      <c r="G27" s="6">
        <f>Linear_Regression56[[#This Row],[Ice Cream Profits (USD)]]-H26</f>
        <v>-89.928032873701341</v>
      </c>
      <c r="H27" s="6">
        <f t="shared" si="1"/>
        <v>2911.772195488134</v>
      </c>
    </row>
    <row r="28" spans="1:8" x14ac:dyDescent="0.3">
      <c r="A28">
        <v>50</v>
      </c>
      <c r="B28">
        <v>2731</v>
      </c>
      <c r="D28" s="6">
        <f>$K$2*Linear_Regression56[[#This Row],[Ice Cream Profits (USD)]]+(1-$K$2)*F28</f>
        <v>2778.000770826915</v>
      </c>
      <c r="E28" s="6">
        <f t="shared" si="2"/>
        <v>28.121967781355465</v>
      </c>
      <c r="F28" s="6">
        <f t="shared" si="0"/>
        <v>2911.772195488134</v>
      </c>
      <c r="G28" s="6">
        <f>Linear_Regression56[[#This Row],[Ice Cream Profits (USD)]]-H27</f>
        <v>-180.772195488134</v>
      </c>
      <c r="H28" s="6">
        <f t="shared" si="1"/>
        <v>2806.1227386082705</v>
      </c>
    </row>
    <row r="29" spans="1:8" x14ac:dyDescent="0.3">
      <c r="A29">
        <v>51</v>
      </c>
      <c r="B29">
        <v>2193</v>
      </c>
      <c r="D29" s="6">
        <f>$K$2*Linear_Regression56[[#This Row],[Ice Cream Profits (USD)]]+(1-$K$2)*F29</f>
        <v>2352.4119120381501</v>
      </c>
      <c r="E29" s="6">
        <f t="shared" si="2"/>
        <v>-298.39215935569774</v>
      </c>
      <c r="F29" s="6">
        <f t="shared" si="0"/>
        <v>2806.1227386082705</v>
      </c>
      <c r="G29" s="6">
        <f>Linear_Regression56[[#This Row],[Ice Cream Profits (USD)]]-H28</f>
        <v>-613.12273860827054</v>
      </c>
      <c r="H29" s="6">
        <f t="shared" si="1"/>
        <v>2054.0197526824522</v>
      </c>
    </row>
    <row r="30" spans="1:8" x14ac:dyDescent="0.3">
      <c r="A30">
        <v>51</v>
      </c>
      <c r="B30">
        <v>3218</v>
      </c>
      <c r="D30" s="6">
        <f>$K$2*Linear_Regression56[[#This Row],[Ice Cream Profits (USD)]]+(1-$K$2)*F30</f>
        <v>2915.3651356974374</v>
      </c>
      <c r="E30" s="6">
        <f t="shared" si="2"/>
        <v>321.47719228562397</v>
      </c>
      <c r="F30" s="6">
        <f t="shared" si="0"/>
        <v>2054.0197526824522</v>
      </c>
      <c r="G30" s="6">
        <f>Linear_Regression56[[#This Row],[Ice Cream Profits (USD)]]-H29</f>
        <v>1163.9802473175478</v>
      </c>
      <c r="H30" s="6">
        <f t="shared" si="1"/>
        <v>3236.8423279830613</v>
      </c>
    </row>
    <row r="31" spans="1:8" x14ac:dyDescent="0.3">
      <c r="A31">
        <v>52</v>
      </c>
      <c r="B31">
        <v>3067</v>
      </c>
      <c r="D31" s="6">
        <f>$K$2*Linear_Regression56[[#This Row],[Ice Cream Profits (USD)]]+(1-$K$2)*F31</f>
        <v>3111.159005275596</v>
      </c>
      <c r="E31" s="6">
        <f t="shared" si="2"/>
        <v>231.02887585522384</v>
      </c>
      <c r="F31" s="6">
        <f t="shared" si="0"/>
        <v>3236.8423279830613</v>
      </c>
      <c r="G31" s="6">
        <f>Linear_Regression56[[#This Row],[Ice Cream Profits (USD)]]-H30</f>
        <v>-169.8423279830613</v>
      </c>
      <c r="H31" s="6">
        <f t="shared" si="1"/>
        <v>3342.1878811308197</v>
      </c>
    </row>
    <row r="32" spans="1:8" x14ac:dyDescent="0.3">
      <c r="A32">
        <v>52</v>
      </c>
      <c r="B32">
        <v>2805</v>
      </c>
      <c r="D32" s="6">
        <f>$K$2*Linear_Regression56[[#This Row],[Ice Cream Profits (USD)]]+(1-$K$2)*F32</f>
        <v>2944.6688490940132</v>
      </c>
      <c r="E32" s="6">
        <f t="shared" si="2"/>
        <v>-55.046686297588252</v>
      </c>
      <c r="F32" s="6">
        <f t="shared" si="0"/>
        <v>3342.1878811308197</v>
      </c>
      <c r="G32" s="6">
        <f>Linear_Regression56[[#This Row],[Ice Cream Profits (USD)]]-H31</f>
        <v>-537.18788113081973</v>
      </c>
      <c r="H32" s="6">
        <f t="shared" si="1"/>
        <v>2889.6221627964251</v>
      </c>
    </row>
    <row r="33" spans="1:8" x14ac:dyDescent="0.3">
      <c r="A33">
        <v>52</v>
      </c>
      <c r="B33">
        <v>2882</v>
      </c>
      <c r="D33" s="6">
        <f>$K$2*Linear_Regression56[[#This Row],[Ice Cream Profits (USD)]]+(1-$K$2)*F33</f>
        <v>2883.9817623270706</v>
      </c>
      <c r="E33" s="6">
        <f t="shared" si="2"/>
        <v>-59.105814553083079</v>
      </c>
      <c r="F33" s="6">
        <f t="shared" si="0"/>
        <v>2889.6221627964251</v>
      </c>
      <c r="G33" s="6">
        <f>Linear_Regression56[[#This Row],[Ice Cream Profits (USD)]]-H32</f>
        <v>-7.6221627964250729</v>
      </c>
      <c r="H33" s="6">
        <f t="shared" si="1"/>
        <v>2824.8759477739873</v>
      </c>
    </row>
    <row r="34" spans="1:8" x14ac:dyDescent="0.3">
      <c r="A34">
        <v>52</v>
      </c>
      <c r="B34">
        <v>2787</v>
      </c>
      <c r="D34" s="6">
        <f>$K$2*Linear_Regression56[[#This Row],[Ice Cream Profits (USD)]]+(1-$K$2)*F34</f>
        <v>2796.8477464212365</v>
      </c>
      <c r="E34" s="6">
        <f t="shared" si="2"/>
        <v>-79.276379512040918</v>
      </c>
      <c r="F34" s="6">
        <f t="shared" si="0"/>
        <v>2824.8759477739873</v>
      </c>
      <c r="G34" s="6">
        <f>Linear_Regression56[[#This Row],[Ice Cream Profits (USD)]]-H33</f>
        <v>-37.875947773987264</v>
      </c>
      <c r="H34" s="6">
        <f t="shared" si="1"/>
        <v>2717.5713669091956</v>
      </c>
    </row>
    <row r="35" spans="1:8" x14ac:dyDescent="0.3">
      <c r="A35">
        <v>52</v>
      </c>
      <c r="B35">
        <v>2939</v>
      </c>
      <c r="D35" s="6">
        <f>$K$2*Linear_Regression56[[#This Row],[Ice Cream Profits (USD)]]+(1-$K$2)*F35</f>
        <v>2881.4285553963909</v>
      </c>
      <c r="E35" s="6">
        <f t="shared" si="2"/>
        <v>38.643854568508644</v>
      </c>
      <c r="F35" s="6">
        <f t="shared" si="0"/>
        <v>2717.5713669091956</v>
      </c>
      <c r="G35" s="6">
        <f>Linear_Regression56[[#This Row],[Ice Cream Profits (USD)]]-H34</f>
        <v>221.4286330908044</v>
      </c>
      <c r="H35" s="6">
        <f t="shared" si="1"/>
        <v>2920.0724099648996</v>
      </c>
    </row>
    <row r="36" spans="1:8" x14ac:dyDescent="0.3">
      <c r="A36">
        <v>53</v>
      </c>
      <c r="B36">
        <v>3260</v>
      </c>
      <c r="D36" s="6">
        <f>$K$2*Linear_Regression56[[#This Row],[Ice Cream Profits (USD)]]+(1-$K$2)*F36</f>
        <v>3171.6188265908741</v>
      </c>
      <c r="E36" s="6">
        <f t="shared" si="2"/>
        <v>219.66986022938522</v>
      </c>
      <c r="F36" s="6">
        <f t="shared" si="0"/>
        <v>2920.0724099648996</v>
      </c>
      <c r="G36" s="6">
        <f>Linear_Regression56[[#This Row],[Ice Cream Profits (USD)]]-H35</f>
        <v>339.92759003510037</v>
      </c>
      <c r="H36" s="6">
        <f t="shared" si="1"/>
        <v>3391.2886868202595</v>
      </c>
    </row>
    <row r="37" spans="1:8" x14ac:dyDescent="0.3">
      <c r="A37">
        <v>53</v>
      </c>
      <c r="B37">
        <v>3162</v>
      </c>
      <c r="D37" s="6">
        <f>$K$2*Linear_Regression56[[#This Row],[Ice Cream Profits (USD)]]+(1-$K$2)*F37</f>
        <v>3221.6150585732671</v>
      </c>
      <c r="E37" s="6">
        <f t="shared" si="2"/>
        <v>97.563810779226472</v>
      </c>
      <c r="F37" s="6">
        <f t="shared" si="0"/>
        <v>3391.2886868202595</v>
      </c>
      <c r="G37" s="6">
        <f>Linear_Regression56[[#This Row],[Ice Cream Profits (USD)]]-H36</f>
        <v>-229.2886868202595</v>
      </c>
      <c r="H37" s="6">
        <f t="shared" si="1"/>
        <v>3319.1788693524936</v>
      </c>
    </row>
    <row r="38" spans="1:8" x14ac:dyDescent="0.3">
      <c r="A38">
        <v>53</v>
      </c>
      <c r="B38">
        <v>2571</v>
      </c>
      <c r="D38" s="6">
        <f>$K$2*Linear_Regression56[[#This Row],[Ice Cream Profits (USD)]]+(1-$K$2)*F38</f>
        <v>2765.5265060316483</v>
      </c>
      <c r="E38" s="6">
        <f t="shared" si="2"/>
        <v>-300.8734923675035</v>
      </c>
      <c r="F38" s="6">
        <f t="shared" si="0"/>
        <v>3319.1788693524936</v>
      </c>
      <c r="G38" s="6">
        <f>Linear_Regression56[[#This Row],[Ice Cream Profits (USD)]]-H37</f>
        <v>-748.17886935249362</v>
      </c>
      <c r="H38" s="6">
        <f t="shared" si="1"/>
        <v>2464.653013664145</v>
      </c>
    </row>
    <row r="39" spans="1:8" x14ac:dyDescent="0.3">
      <c r="A39">
        <v>53</v>
      </c>
      <c r="B39">
        <v>2848</v>
      </c>
      <c r="D39" s="6">
        <f>$K$2*Linear_Regression56[[#This Row],[Ice Cream Profits (USD)]]+(1-$K$2)*F39</f>
        <v>2748.3297835526778</v>
      </c>
      <c r="E39" s="6">
        <f t="shared" si="2"/>
        <v>-96.724797901871028</v>
      </c>
      <c r="F39" s="6">
        <f t="shared" si="0"/>
        <v>2464.653013664145</v>
      </c>
      <c r="G39" s="6">
        <f>Linear_Regression56[[#This Row],[Ice Cream Profits (USD)]]-H38</f>
        <v>383.34698633585504</v>
      </c>
      <c r="H39" s="6">
        <f t="shared" si="1"/>
        <v>2651.6049856508066</v>
      </c>
    </row>
    <row r="40" spans="1:8" x14ac:dyDescent="0.3">
      <c r="A40">
        <v>54</v>
      </c>
      <c r="B40">
        <v>3009</v>
      </c>
      <c r="D40" s="6">
        <f>$K$2*Linear_Regression56[[#This Row],[Ice Cream Profits (USD)]]+(1-$K$2)*F40</f>
        <v>2916.0772962692099</v>
      </c>
      <c r="E40" s="6">
        <f t="shared" si="2"/>
        <v>93.603359586214964</v>
      </c>
      <c r="F40" s="6">
        <f t="shared" si="0"/>
        <v>2651.6049856508066</v>
      </c>
      <c r="G40" s="6">
        <f>Linear_Regression56[[#This Row],[Ice Cream Profits (USD)]]-H39</f>
        <v>357.39501434919339</v>
      </c>
      <c r="H40" s="6">
        <f t="shared" si="1"/>
        <v>3009.6806558554249</v>
      </c>
    </row>
    <row r="41" spans="1:8" x14ac:dyDescent="0.3">
      <c r="A41">
        <v>54</v>
      </c>
      <c r="B41">
        <v>3358</v>
      </c>
      <c r="D41" s="6">
        <f>$K$2*Linear_Regression56[[#This Row],[Ice Cream Profits (USD)]]+(1-$K$2)*F41</f>
        <v>3267.4369705224108</v>
      </c>
      <c r="E41" s="6">
        <f t="shared" si="2"/>
        <v>279.09833384940367</v>
      </c>
      <c r="F41" s="6">
        <f t="shared" si="0"/>
        <v>3009.6806558554249</v>
      </c>
      <c r="G41" s="6">
        <f>Linear_Regression56[[#This Row],[Ice Cream Profits (USD)]]-H40</f>
        <v>348.3193441445751</v>
      </c>
      <c r="H41" s="6">
        <f t="shared" si="1"/>
        <v>3546.5353043718146</v>
      </c>
    </row>
    <row r="42" spans="1:8" x14ac:dyDescent="0.3">
      <c r="A42">
        <v>54</v>
      </c>
      <c r="B42">
        <v>2975</v>
      </c>
      <c r="D42" s="6">
        <f>$K$2*Linear_Regression56[[#This Row],[Ice Cream Profits (USD)]]+(1-$K$2)*F42</f>
        <v>3123.5991791366719</v>
      </c>
      <c r="E42" s="6">
        <f t="shared" si="2"/>
        <v>-25.26870277130547</v>
      </c>
      <c r="F42" s="6">
        <f t="shared" si="0"/>
        <v>3546.5353043718146</v>
      </c>
      <c r="G42" s="6">
        <f>Linear_Regression56[[#This Row],[Ice Cream Profits (USD)]]-H41</f>
        <v>-571.53530437181462</v>
      </c>
      <c r="H42" s="6">
        <f t="shared" si="1"/>
        <v>3098.3304763653664</v>
      </c>
    </row>
    <row r="43" spans="1:8" x14ac:dyDescent="0.3">
      <c r="A43">
        <v>54</v>
      </c>
      <c r="B43">
        <v>3194</v>
      </c>
      <c r="D43" s="6">
        <f>$K$2*Linear_Regression56[[#This Row],[Ice Cream Profits (USD)]]+(1-$K$2)*F43</f>
        <v>3169.1259238549956</v>
      </c>
      <c r="E43" s="6">
        <f t="shared" si="2"/>
        <v>25.679417460030592</v>
      </c>
      <c r="F43" s="6">
        <f t="shared" si="0"/>
        <v>3098.3304763653664</v>
      </c>
      <c r="G43" s="6">
        <f>Linear_Regression56[[#This Row],[Ice Cream Profits (USD)]]-H42</f>
        <v>95.669523634633606</v>
      </c>
      <c r="H43" s="6">
        <f t="shared" si="1"/>
        <v>3194.805341315026</v>
      </c>
    </row>
    <row r="44" spans="1:8" x14ac:dyDescent="0.3">
      <c r="A44">
        <v>54</v>
      </c>
      <c r="B44">
        <v>3371</v>
      </c>
      <c r="D44" s="6">
        <f>$K$2*Linear_Regression56[[#This Row],[Ice Cream Profits (USD)]]+(1-$K$2)*F44</f>
        <v>3325.1893887419069</v>
      </c>
      <c r="E44" s="6">
        <f t="shared" si="2"/>
        <v>119.51062215050241</v>
      </c>
      <c r="F44" s="6">
        <f t="shared" si="0"/>
        <v>3194.805341315026</v>
      </c>
      <c r="G44" s="6">
        <f>Linear_Regression56[[#This Row],[Ice Cream Profits (USD)]]-H43</f>
        <v>176.194658684974</v>
      </c>
      <c r="H44" s="6">
        <f t="shared" si="1"/>
        <v>3444.7000108924094</v>
      </c>
    </row>
    <row r="45" spans="1:8" x14ac:dyDescent="0.3">
      <c r="A45">
        <v>54</v>
      </c>
      <c r="B45">
        <v>2837</v>
      </c>
      <c r="D45" s="6">
        <f>$K$2*Linear_Regression56[[#This Row],[Ice Cream Profits (USD)]]+(1-$K$2)*F45</f>
        <v>2995.0020028320259</v>
      </c>
      <c r="E45" s="6">
        <f t="shared" si="2"/>
        <v>-204.11567014476165</v>
      </c>
      <c r="F45" s="6">
        <f t="shared" si="0"/>
        <v>3444.7000108924094</v>
      </c>
      <c r="G45" s="6">
        <f>Linear_Regression56[[#This Row],[Ice Cream Profits (USD)]]-H44</f>
        <v>-607.70001089240941</v>
      </c>
      <c r="H45" s="6">
        <f t="shared" si="1"/>
        <v>2790.8863326872643</v>
      </c>
    </row>
    <row r="46" spans="1:8" x14ac:dyDescent="0.3">
      <c r="A46">
        <v>54</v>
      </c>
      <c r="B46">
        <v>2741</v>
      </c>
      <c r="D46" s="6">
        <f>$K$2*Linear_Regression56[[#This Row],[Ice Cream Profits (USD)]]+(1-$K$2)*F46</f>
        <v>2753.9704464986889</v>
      </c>
      <c r="E46" s="6">
        <f t="shared" si="2"/>
        <v>-230.68227964683979</v>
      </c>
      <c r="F46" s="6">
        <f t="shared" si="0"/>
        <v>2790.8863326872643</v>
      </c>
      <c r="G46" s="6">
        <f>Linear_Regression56[[#This Row],[Ice Cream Profits (USD)]]-H45</f>
        <v>-49.886332687264257</v>
      </c>
      <c r="H46" s="6">
        <f t="shared" si="1"/>
        <v>2523.2881668518494</v>
      </c>
    </row>
    <row r="47" spans="1:8" x14ac:dyDescent="0.3">
      <c r="A47">
        <v>54</v>
      </c>
      <c r="B47">
        <v>2799</v>
      </c>
      <c r="D47" s="6">
        <f>$K$2*Linear_Regression56[[#This Row],[Ice Cream Profits (USD)]]+(1-$K$2)*F47</f>
        <v>2727.3149233814806</v>
      </c>
      <c r="E47" s="6">
        <f t="shared" si="2"/>
        <v>-83.853915808841208</v>
      </c>
      <c r="F47" s="6">
        <f t="shared" si="0"/>
        <v>2523.2881668518494</v>
      </c>
      <c r="G47" s="6">
        <f>Linear_Regression56[[#This Row],[Ice Cream Profits (USD)]]-H46</f>
        <v>275.71183314815062</v>
      </c>
      <c r="H47" s="6">
        <f t="shared" si="1"/>
        <v>2643.4610075726396</v>
      </c>
    </row>
    <row r="48" spans="1:8" x14ac:dyDescent="0.3">
      <c r="A48">
        <v>54</v>
      </c>
      <c r="B48">
        <v>3037</v>
      </c>
      <c r="D48" s="6">
        <f>$K$2*Linear_Regression56[[#This Row],[Ice Cream Profits (USD)]]+(1-$K$2)*F48</f>
        <v>2934.6798619688861</v>
      </c>
      <c r="E48" s="6">
        <f t="shared" si="2"/>
        <v>125.72245857011035</v>
      </c>
      <c r="F48" s="6">
        <f t="shared" si="0"/>
        <v>2643.4610075726396</v>
      </c>
      <c r="G48" s="6">
        <f>Linear_Regression56[[#This Row],[Ice Cream Profits (USD)]]-H47</f>
        <v>393.53899242736043</v>
      </c>
      <c r="H48" s="6">
        <f t="shared" si="1"/>
        <v>3060.4023205389967</v>
      </c>
    </row>
    <row r="49" spans="1:8" x14ac:dyDescent="0.3">
      <c r="A49">
        <v>55</v>
      </c>
      <c r="B49">
        <v>2768</v>
      </c>
      <c r="D49" s="6">
        <f>$K$2*Linear_Regression56[[#This Row],[Ice Cream Profits (USD)]]+(1-$K$2)*F49</f>
        <v>2844.024603340139</v>
      </c>
      <c r="E49" s="6">
        <f t="shared" si="2"/>
        <v>-29.994304896132803</v>
      </c>
      <c r="F49" s="6">
        <f t="shared" si="0"/>
        <v>3060.4023205389967</v>
      </c>
      <c r="G49" s="6">
        <f>Linear_Regression56[[#This Row],[Ice Cream Profits (USD)]]-H48</f>
        <v>-292.40232053899672</v>
      </c>
      <c r="H49" s="6">
        <f t="shared" si="1"/>
        <v>2814.0302984440063</v>
      </c>
    </row>
    <row r="50" spans="1:8" x14ac:dyDescent="0.3">
      <c r="A50">
        <v>55</v>
      </c>
      <c r="B50">
        <v>2953</v>
      </c>
      <c r="D50" s="6">
        <f>$K$2*Linear_Regression56[[#This Row],[Ice Cream Profits (USD)]]+(1-$K$2)*F50</f>
        <v>2916.8678775954418</v>
      </c>
      <c r="E50" s="6">
        <f t="shared" si="2"/>
        <v>44.013015245100775</v>
      </c>
      <c r="F50" s="6">
        <f t="shared" si="0"/>
        <v>2814.0302984440063</v>
      </c>
      <c r="G50" s="6">
        <f>Linear_Regression56[[#This Row],[Ice Cream Profits (USD)]]-H49</f>
        <v>138.96970155599365</v>
      </c>
      <c r="H50" s="6">
        <f t="shared" si="1"/>
        <v>2960.8808928405424</v>
      </c>
    </row>
    <row r="51" spans="1:8" x14ac:dyDescent="0.3">
      <c r="A51">
        <v>55</v>
      </c>
      <c r="B51">
        <v>3391</v>
      </c>
      <c r="D51" s="6">
        <f>$K$2*Linear_Regression56[[#This Row],[Ice Cream Profits (USD)]]+(1-$K$2)*F51</f>
        <v>3279.1690321385408</v>
      </c>
      <c r="E51" s="6">
        <f t="shared" si="2"/>
        <v>273.06986796911485</v>
      </c>
      <c r="F51" s="6">
        <f t="shared" si="0"/>
        <v>2960.8808928405424</v>
      </c>
      <c r="G51" s="6">
        <f>Linear_Regression56[[#This Row],[Ice Cream Profits (USD)]]-H50</f>
        <v>430.1191071594576</v>
      </c>
      <c r="H51" s="6">
        <f t="shared" si="1"/>
        <v>3552.2389001076558</v>
      </c>
    </row>
    <row r="52" spans="1:8" x14ac:dyDescent="0.3">
      <c r="A52">
        <v>55</v>
      </c>
      <c r="B52">
        <v>3419</v>
      </c>
      <c r="D52" s="6">
        <f>$K$2*Linear_Regression56[[#This Row],[Ice Cream Profits (USD)]]+(1-$K$2)*F52</f>
        <v>3453.6421140279908</v>
      </c>
      <c r="E52" s="6">
        <f t="shared" si="2"/>
        <v>202.11444513142527</v>
      </c>
      <c r="F52" s="6">
        <f t="shared" si="0"/>
        <v>3552.2389001076558</v>
      </c>
      <c r="G52" s="6">
        <f>Linear_Regression56[[#This Row],[Ice Cream Profits (USD)]]-H51</f>
        <v>-133.23890010765581</v>
      </c>
      <c r="H52" s="6">
        <f t="shared" si="1"/>
        <v>3655.7565591594162</v>
      </c>
    </row>
    <row r="53" spans="1:8" x14ac:dyDescent="0.3">
      <c r="A53">
        <v>56</v>
      </c>
      <c r="B53">
        <v>3322</v>
      </c>
      <c r="D53" s="6">
        <f>$K$2*Linear_Regression56[[#This Row],[Ice Cream Profits (USD)]]+(1-$K$2)*F53</f>
        <v>3408.7767053814478</v>
      </c>
      <c r="E53" s="6">
        <f t="shared" si="2"/>
        <v>24.374777805485415</v>
      </c>
      <c r="F53" s="6">
        <f t="shared" si="0"/>
        <v>3655.7565591594162</v>
      </c>
      <c r="G53" s="6">
        <f>Linear_Regression56[[#This Row],[Ice Cream Profits (USD)]]-H52</f>
        <v>-333.75655915941616</v>
      </c>
      <c r="H53" s="6">
        <f t="shared" si="1"/>
        <v>3433.1514831869331</v>
      </c>
    </row>
    <row r="54" spans="1:8" x14ac:dyDescent="0.3">
      <c r="A54">
        <v>56</v>
      </c>
      <c r="B54">
        <v>3447</v>
      </c>
      <c r="D54" s="6">
        <f>$K$2*Linear_Regression56[[#This Row],[Ice Cream Profits (USD)]]+(1-$K$2)*F54</f>
        <v>3443.3993856286024</v>
      </c>
      <c r="E54" s="6">
        <f t="shared" si="2"/>
        <v>31.749706338759424</v>
      </c>
      <c r="F54" s="6">
        <f t="shared" si="0"/>
        <v>3433.1514831869331</v>
      </c>
      <c r="G54" s="6">
        <f>Linear_Regression56[[#This Row],[Ice Cream Profits (USD)]]-H53</f>
        <v>13.848516813066908</v>
      </c>
      <c r="H54" s="6">
        <f t="shared" si="1"/>
        <v>3475.149091967362</v>
      </c>
    </row>
    <row r="55" spans="1:8" x14ac:dyDescent="0.3">
      <c r="A55">
        <v>57</v>
      </c>
      <c r="B55">
        <v>3089</v>
      </c>
      <c r="D55" s="6">
        <f>$K$2*Linear_Regression56[[#This Row],[Ice Cream Profits (USD)]]+(1-$K$2)*F55</f>
        <v>3189.3987639115139</v>
      </c>
      <c r="E55" s="6">
        <f t="shared" si="2"/>
        <v>-173.89122942996684</v>
      </c>
      <c r="F55" s="6">
        <f t="shared" si="0"/>
        <v>3475.149091967362</v>
      </c>
      <c r="G55" s="6">
        <f>Linear_Regression56[[#This Row],[Ice Cream Profits (USD)]]-H54</f>
        <v>-386.14909196736198</v>
      </c>
      <c r="H55" s="6">
        <f t="shared" si="1"/>
        <v>3015.5075344815473</v>
      </c>
    </row>
    <row r="56" spans="1:8" x14ac:dyDescent="0.3">
      <c r="A56">
        <v>57</v>
      </c>
      <c r="B56">
        <v>3580</v>
      </c>
      <c r="D56" s="6">
        <f>$K$2*Linear_Regression56[[#This Row],[Ice Cream Profits (USD)]]+(1-$K$2)*F56</f>
        <v>3433.2319589652025</v>
      </c>
      <c r="E56" s="6">
        <f t="shared" si="2"/>
        <v>126.72519375567063</v>
      </c>
      <c r="F56" s="6">
        <f t="shared" si="0"/>
        <v>3015.5075344815473</v>
      </c>
      <c r="G56" s="6">
        <f>Linear_Regression56[[#This Row],[Ice Cream Profits (USD)]]-H55</f>
        <v>564.49246551845272</v>
      </c>
      <c r="H56" s="6">
        <f t="shared" si="1"/>
        <v>3559.9571527208732</v>
      </c>
    </row>
    <row r="57" spans="1:8" x14ac:dyDescent="0.3">
      <c r="A57">
        <v>58</v>
      </c>
      <c r="B57">
        <v>3344</v>
      </c>
      <c r="D57" s="6">
        <f>$K$2*Linear_Regression56[[#This Row],[Ice Cream Profits (USD)]]+(1-$K$2)*F57</f>
        <v>3400.1488597074272</v>
      </c>
      <c r="E57" s="6">
        <f t="shared" si="2"/>
        <v>11.718757393977466</v>
      </c>
      <c r="F57" s="6">
        <f t="shared" si="0"/>
        <v>3559.9571527208732</v>
      </c>
      <c r="G57" s="6">
        <f>Linear_Regression56[[#This Row],[Ice Cream Profits (USD)]]-H56</f>
        <v>-215.95715272087318</v>
      </c>
      <c r="H57" s="6">
        <f t="shared" si="1"/>
        <v>3411.8676171014044</v>
      </c>
    </row>
    <row r="58" spans="1:8" x14ac:dyDescent="0.3">
      <c r="A58">
        <v>58</v>
      </c>
      <c r="B58">
        <v>3679</v>
      </c>
      <c r="D58" s="6">
        <f>$K$2*Linear_Regression56[[#This Row],[Ice Cream Profits (USD)]]+(1-$K$2)*F58</f>
        <v>3609.5455804463654</v>
      </c>
      <c r="E58" s="6">
        <f t="shared" si="2"/>
        <v>153.97819639335739</v>
      </c>
      <c r="F58" s="6">
        <f t="shared" si="0"/>
        <v>3411.8676171014044</v>
      </c>
      <c r="G58" s="6">
        <f>Linear_Regression56[[#This Row],[Ice Cream Profits (USD)]]-H57</f>
        <v>267.13238289859555</v>
      </c>
      <c r="H58" s="6">
        <f t="shared" si="1"/>
        <v>3763.5237768397228</v>
      </c>
    </row>
    <row r="59" spans="1:8" x14ac:dyDescent="0.3">
      <c r="A59">
        <v>58</v>
      </c>
      <c r="B59">
        <v>3156</v>
      </c>
      <c r="D59" s="6">
        <f>$K$2*Linear_Regression56[[#This Row],[Ice Cream Profits (USD)]]+(1-$K$2)*F59</f>
        <v>3313.956181978328</v>
      </c>
      <c r="E59" s="6">
        <f t="shared" si="2"/>
        <v>-169.55424371822218</v>
      </c>
      <c r="F59" s="6">
        <f t="shared" si="0"/>
        <v>3763.5237768397228</v>
      </c>
      <c r="G59" s="6">
        <f>Linear_Regression56[[#This Row],[Ice Cream Profits (USD)]]-H58</f>
        <v>-607.52377683972281</v>
      </c>
      <c r="H59" s="6">
        <f t="shared" si="1"/>
        <v>3144.4019382601059</v>
      </c>
    </row>
    <row r="60" spans="1:8" x14ac:dyDescent="0.3">
      <c r="A60">
        <v>58</v>
      </c>
      <c r="B60">
        <v>3513</v>
      </c>
      <c r="D60" s="6">
        <f>$K$2*Linear_Regression56[[#This Row],[Ice Cream Profits (USD)]]+(1-$K$2)*F60</f>
        <v>3417.1645039476275</v>
      </c>
      <c r="E60" s="6">
        <f t="shared" si="2"/>
        <v>26.740016492383745</v>
      </c>
      <c r="F60" s="6">
        <f t="shared" si="0"/>
        <v>3144.4019382601059</v>
      </c>
      <c r="G60" s="6">
        <f>Linear_Regression56[[#This Row],[Ice Cream Profits (USD)]]-H59</f>
        <v>368.59806173989409</v>
      </c>
      <c r="H60" s="6">
        <f t="shared" si="1"/>
        <v>3443.9045204400113</v>
      </c>
    </row>
    <row r="61" spans="1:8" x14ac:dyDescent="0.3">
      <c r="A61">
        <v>58</v>
      </c>
      <c r="B61">
        <v>3611</v>
      </c>
      <c r="D61" s="6">
        <f>$K$2*Linear_Regression56[[#This Row],[Ice Cream Profits (USD)]]+(1-$K$2)*F61</f>
        <v>3567.5551753144027</v>
      </c>
      <c r="E61" s="6">
        <f t="shared" si="2"/>
        <v>115.72551845063877</v>
      </c>
      <c r="F61" s="6">
        <f t="shared" si="0"/>
        <v>3443.9045204400113</v>
      </c>
      <c r="G61" s="6">
        <f>Linear_Regression56[[#This Row],[Ice Cream Profits (USD)]]-H60</f>
        <v>167.09547955998869</v>
      </c>
      <c r="H61" s="6">
        <f t="shared" si="1"/>
        <v>3683.2806937650416</v>
      </c>
    </row>
    <row r="62" spans="1:8" x14ac:dyDescent="0.3">
      <c r="A62">
        <v>58</v>
      </c>
      <c r="B62">
        <v>3239</v>
      </c>
      <c r="D62" s="6">
        <f>$K$2*Linear_Regression56[[#This Row],[Ice Cream Profits (USD)]]+(1-$K$2)*F62</f>
        <v>3354.5129803789105</v>
      </c>
      <c r="E62" s="6">
        <f t="shared" si="2"/>
        <v>-120.8729858844283</v>
      </c>
      <c r="F62" s="6">
        <f t="shared" si="0"/>
        <v>3683.2806937650416</v>
      </c>
      <c r="G62" s="6">
        <f>Linear_Regression56[[#This Row],[Ice Cream Profits (USD)]]-H61</f>
        <v>-444.28069376504163</v>
      </c>
      <c r="H62" s="6">
        <f t="shared" si="1"/>
        <v>3233.6399944944824</v>
      </c>
    </row>
    <row r="63" spans="1:8" x14ac:dyDescent="0.3">
      <c r="A63">
        <v>59</v>
      </c>
      <c r="B63">
        <v>3818</v>
      </c>
      <c r="D63" s="6">
        <f>$K$2*Linear_Regression56[[#This Row],[Ice Cream Profits (USD)]]+(1-$K$2)*F63</f>
        <v>3666.0663985685651</v>
      </c>
      <c r="E63" s="6">
        <f t="shared" si="2"/>
        <v>190.32375355560501</v>
      </c>
      <c r="F63" s="6">
        <f t="shared" si="0"/>
        <v>3233.6399944944824</v>
      </c>
      <c r="G63" s="6">
        <f>Linear_Regression56[[#This Row],[Ice Cream Profits (USD)]]-H62</f>
        <v>584.36000550551762</v>
      </c>
      <c r="H63" s="6">
        <f t="shared" si="1"/>
        <v>3856.3901521241701</v>
      </c>
    </row>
    <row r="64" spans="1:8" x14ac:dyDescent="0.3">
      <c r="A64">
        <v>59</v>
      </c>
      <c r="B64">
        <v>2969</v>
      </c>
      <c r="D64" s="6">
        <f>$K$2*Linear_Regression56[[#This Row],[Ice Cream Profits (USD)]]+(1-$K$2)*F64</f>
        <v>3199.7214395522842</v>
      </c>
      <c r="E64" s="6">
        <f t="shared" si="2"/>
        <v>-282.24952208009296</v>
      </c>
      <c r="F64" s="6">
        <f t="shared" si="0"/>
        <v>3856.3901521241701</v>
      </c>
      <c r="G64" s="6">
        <f>Linear_Regression56[[#This Row],[Ice Cream Profits (USD)]]-H63</f>
        <v>-887.39015212417007</v>
      </c>
      <c r="H64" s="6">
        <f t="shared" si="1"/>
        <v>2917.4719174721913</v>
      </c>
    </row>
    <row r="65" spans="1:8" x14ac:dyDescent="0.3">
      <c r="A65">
        <v>59</v>
      </c>
      <c r="B65">
        <v>3847</v>
      </c>
      <c r="D65" s="6">
        <f>$K$2*Linear_Regression56[[#This Row],[Ice Cream Profits (USD)]]+(1-$K$2)*F65</f>
        <v>3605.3226985427696</v>
      </c>
      <c r="E65" s="6">
        <f t="shared" si="2"/>
        <v>212.76400686660872</v>
      </c>
      <c r="F65" s="6">
        <f t="shared" si="0"/>
        <v>2917.4719174721913</v>
      </c>
      <c r="G65" s="6">
        <f>Linear_Regression56[[#This Row],[Ice Cream Profits (USD)]]-H64</f>
        <v>929.52808252780869</v>
      </c>
      <c r="H65" s="6">
        <f t="shared" si="1"/>
        <v>3818.0867054093783</v>
      </c>
    </row>
    <row r="66" spans="1:8" x14ac:dyDescent="0.3">
      <c r="A66">
        <v>59</v>
      </c>
      <c r="B66">
        <v>3774</v>
      </c>
      <c r="D66" s="6">
        <f>$K$2*Linear_Regression56[[#This Row],[Ice Cream Profits (USD)]]+(1-$K$2)*F66</f>
        <v>3785.4625434064383</v>
      </c>
      <c r="E66" s="6">
        <f t="shared" si="2"/>
        <v>189.28594737110427</v>
      </c>
      <c r="F66" s="6">
        <f t="shared" si="0"/>
        <v>3818.0867054093783</v>
      </c>
      <c r="G66" s="6">
        <f>Linear_Regression56[[#This Row],[Ice Cream Profits (USD)]]-H65</f>
        <v>-44.086705409378283</v>
      </c>
      <c r="H66" s="6">
        <f t="shared" si="1"/>
        <v>3974.7484907775424</v>
      </c>
    </row>
    <row r="67" spans="1:8" x14ac:dyDescent="0.3">
      <c r="A67">
        <v>59</v>
      </c>
      <c r="B67">
        <v>3671</v>
      </c>
      <c r="D67" s="6">
        <f>$K$2*Linear_Regression56[[#This Row],[Ice Cream Profits (USD)]]+(1-$K$2)*F67</f>
        <v>3749.9746076021611</v>
      </c>
      <c r="E67" s="6">
        <f t="shared" si="2"/>
        <v>27.526862133862178</v>
      </c>
      <c r="F67" s="6">
        <f t="shared" si="0"/>
        <v>3974.7484907775424</v>
      </c>
      <c r="G67" s="6">
        <f>Linear_Regression56[[#This Row],[Ice Cream Profits (USD)]]-H66</f>
        <v>-303.74849077754243</v>
      </c>
      <c r="H67" s="6">
        <f t="shared" si="1"/>
        <v>3777.5014697360234</v>
      </c>
    </row>
    <row r="68" spans="1:8" x14ac:dyDescent="0.3">
      <c r="A68">
        <v>59</v>
      </c>
      <c r="B68">
        <v>3229</v>
      </c>
      <c r="D68" s="6">
        <f>$K$2*Linear_Regression56[[#This Row],[Ice Cream Profits (USD)]]+(1-$K$2)*F68</f>
        <v>3371.6103821313664</v>
      </c>
      <c r="E68" s="6">
        <f t="shared" ref="E68:E131" si="3">$K$3*(D68-D67)+(1-$K$3)*E67</f>
        <v>-264.57367067425582</v>
      </c>
      <c r="F68" s="6">
        <f t="shared" ref="F68:F131" si="4">D67+E67</f>
        <v>3777.5014697360234</v>
      </c>
      <c r="G68" s="6">
        <f>Linear_Regression56[[#This Row],[Ice Cream Profits (USD)]]-H67</f>
        <v>-548.50146973602341</v>
      </c>
      <c r="H68" s="6">
        <f t="shared" ref="H68:H131" si="5">D68+E68</f>
        <v>3107.0367114571104</v>
      </c>
    </row>
    <row r="69" spans="1:8" x14ac:dyDescent="0.3">
      <c r="A69">
        <v>59</v>
      </c>
      <c r="B69">
        <v>3750</v>
      </c>
      <c r="D69" s="6">
        <f>$K$2*Linear_Regression56[[#This Row],[Ice Cream Profits (USD)]]+(1-$K$2)*F69</f>
        <v>3582.8295449788488</v>
      </c>
      <c r="E69" s="6">
        <f t="shared" si="3"/>
        <v>77.831827801117441</v>
      </c>
      <c r="F69" s="6">
        <f t="shared" si="4"/>
        <v>3107.0367114571104</v>
      </c>
      <c r="G69" s="6">
        <f>Linear_Regression56[[#This Row],[Ice Cream Profits (USD)]]-H68</f>
        <v>642.96328854288959</v>
      </c>
      <c r="H69" s="6">
        <f t="shared" si="5"/>
        <v>3660.6613727799663</v>
      </c>
    </row>
    <row r="70" spans="1:8" x14ac:dyDescent="0.3">
      <c r="A70">
        <v>59</v>
      </c>
      <c r="B70">
        <v>3533</v>
      </c>
      <c r="D70" s="6">
        <f>$K$2*Linear_Regression56[[#This Row],[Ice Cream Profits (USD)]]+(1-$K$2)*F70</f>
        <v>3566.1919569227912</v>
      </c>
      <c r="E70" s="6">
        <f t="shared" si="3"/>
        <v>9.846677230799969</v>
      </c>
      <c r="F70" s="6">
        <f t="shared" si="4"/>
        <v>3660.6613727799663</v>
      </c>
      <c r="G70" s="6">
        <f>Linear_Regression56[[#This Row],[Ice Cream Profits (USD)]]-H69</f>
        <v>-127.66137277996631</v>
      </c>
      <c r="H70" s="6">
        <f t="shared" si="5"/>
        <v>3576.0386341535914</v>
      </c>
    </row>
    <row r="71" spans="1:8" x14ac:dyDescent="0.3">
      <c r="A71">
        <v>60</v>
      </c>
      <c r="B71">
        <v>3506</v>
      </c>
      <c r="D71" s="6">
        <f>$K$2*Linear_Regression56[[#This Row],[Ice Cream Profits (USD)]]+(1-$K$2)*F71</f>
        <v>3524.2100448799338</v>
      </c>
      <c r="E71" s="6">
        <f t="shared" si="3"/>
        <v>-27.451896213794015</v>
      </c>
      <c r="F71" s="6">
        <f t="shared" si="4"/>
        <v>3576.0386341535914</v>
      </c>
      <c r="G71" s="6">
        <f>Linear_Regression56[[#This Row],[Ice Cream Profits (USD)]]-H70</f>
        <v>-70.038634153591374</v>
      </c>
      <c r="H71" s="6">
        <f t="shared" si="5"/>
        <v>3496.7581486661397</v>
      </c>
    </row>
    <row r="72" spans="1:8" x14ac:dyDescent="0.3">
      <c r="A72">
        <v>60</v>
      </c>
      <c r="B72">
        <v>3625</v>
      </c>
      <c r="D72" s="6">
        <f>$K$2*Linear_Regression56[[#This Row],[Ice Cream Profits (USD)]]+(1-$K$2)*F72</f>
        <v>3591.6571186531964</v>
      </c>
      <c r="E72" s="6">
        <f t="shared" si="3"/>
        <v>40.842384056682207</v>
      </c>
      <c r="F72" s="6">
        <f t="shared" si="4"/>
        <v>3496.7581486661397</v>
      </c>
      <c r="G72" s="6">
        <f>Linear_Regression56[[#This Row],[Ice Cream Profits (USD)]]-H71</f>
        <v>128.24185133386027</v>
      </c>
      <c r="H72" s="6">
        <f t="shared" si="5"/>
        <v>3632.4995027098785</v>
      </c>
    </row>
    <row r="73" spans="1:8" x14ac:dyDescent="0.3">
      <c r="A73">
        <v>60</v>
      </c>
      <c r="B73">
        <v>4025</v>
      </c>
      <c r="D73" s="6">
        <f>$K$2*Linear_Regression56[[#This Row],[Ice Cream Profits (USD)]]+(1-$K$2)*F73</f>
        <v>3922.9498707045686</v>
      </c>
      <c r="E73" s="6">
        <f t="shared" si="3"/>
        <v>249.86571528143384</v>
      </c>
      <c r="F73" s="6">
        <f t="shared" si="4"/>
        <v>3632.4995027098785</v>
      </c>
      <c r="G73" s="6">
        <f>Linear_Regression56[[#This Row],[Ice Cream Profits (USD)]]-H72</f>
        <v>392.50049729012153</v>
      </c>
      <c r="H73" s="6">
        <f t="shared" si="5"/>
        <v>4172.8155859860026</v>
      </c>
    </row>
    <row r="74" spans="1:8" x14ac:dyDescent="0.3">
      <c r="A74">
        <v>60</v>
      </c>
      <c r="B74">
        <v>3969</v>
      </c>
      <c r="D74" s="6">
        <f>$K$2*Linear_Regression56[[#This Row],[Ice Cream Profits (USD)]]+(1-$K$2)*F74</f>
        <v>4021.9920523563605</v>
      </c>
      <c r="E74" s="6">
        <f t="shared" si="3"/>
        <v>141.32518340325606</v>
      </c>
      <c r="F74" s="6">
        <f t="shared" si="4"/>
        <v>4172.8155859860026</v>
      </c>
      <c r="G74" s="6">
        <f>Linear_Regression56[[#This Row],[Ice Cream Profits (USD)]]-H73</f>
        <v>-203.81558598600259</v>
      </c>
      <c r="H74" s="6">
        <f t="shared" si="5"/>
        <v>4163.3172357596168</v>
      </c>
    </row>
    <row r="75" spans="1:8" x14ac:dyDescent="0.3">
      <c r="A75">
        <v>60</v>
      </c>
      <c r="B75">
        <v>4095</v>
      </c>
      <c r="D75" s="6">
        <f>$K$2*Linear_Regression56[[#This Row],[Ice Cream Profits (USD)]]+(1-$K$2)*F75</f>
        <v>4112.7624812975009</v>
      </c>
      <c r="E75" s="6">
        <f t="shared" si="3"/>
        <v>104.9433283556013</v>
      </c>
      <c r="F75" s="6">
        <f t="shared" si="4"/>
        <v>4163.3172357596168</v>
      </c>
      <c r="G75" s="6">
        <f>Linear_Regression56[[#This Row],[Ice Cream Profits (USD)]]-H74</f>
        <v>-68.317235759616779</v>
      </c>
      <c r="H75" s="6">
        <f t="shared" si="5"/>
        <v>4217.7058096531018</v>
      </c>
    </row>
    <row r="76" spans="1:8" x14ac:dyDescent="0.3">
      <c r="A76">
        <v>61</v>
      </c>
      <c r="B76">
        <v>3796</v>
      </c>
      <c r="D76" s="6">
        <f>$K$2*Linear_Regression56[[#This Row],[Ice Cream Profits (USD)]]+(1-$K$2)*F76</f>
        <v>3905.6435105098062</v>
      </c>
      <c r="E76" s="6">
        <f t="shared" si="3"/>
        <v>-119.63308298425005</v>
      </c>
      <c r="F76" s="6">
        <f t="shared" si="4"/>
        <v>4217.7058096531018</v>
      </c>
      <c r="G76" s="6">
        <f>Linear_Regression56[[#This Row],[Ice Cream Profits (USD)]]-H75</f>
        <v>-421.70580965310182</v>
      </c>
      <c r="H76" s="6">
        <f t="shared" si="5"/>
        <v>3786.0104275255562</v>
      </c>
    </row>
    <row r="77" spans="1:8" x14ac:dyDescent="0.3">
      <c r="A77">
        <v>61</v>
      </c>
      <c r="B77">
        <v>3810</v>
      </c>
      <c r="D77" s="6">
        <f>$K$2*Linear_Regression56[[#This Row],[Ice Cream Profits (USD)]]+(1-$K$2)*F77</f>
        <v>3803.7627111566449</v>
      </c>
      <c r="E77" s="6">
        <f t="shared" si="3"/>
        <v>-106.85760782463646</v>
      </c>
      <c r="F77" s="6">
        <f t="shared" si="4"/>
        <v>3786.0104275255562</v>
      </c>
      <c r="G77" s="6">
        <f>Linear_Regression56[[#This Row],[Ice Cream Profits (USD)]]-H76</f>
        <v>23.989572474443776</v>
      </c>
      <c r="H77" s="6">
        <f t="shared" si="5"/>
        <v>3696.9051033320084</v>
      </c>
    </row>
    <row r="78" spans="1:8" x14ac:dyDescent="0.3">
      <c r="A78">
        <v>61</v>
      </c>
      <c r="B78">
        <v>3821</v>
      </c>
      <c r="D78" s="6">
        <f>$K$2*Linear_Regression56[[#This Row],[Ice Cream Profits (USD)]]+(1-$K$2)*F78</f>
        <v>3788.7353268663223</v>
      </c>
      <c r="E78" s="6">
        <f t="shared" si="3"/>
        <v>-40.77175858719702</v>
      </c>
      <c r="F78" s="6">
        <f t="shared" si="4"/>
        <v>3696.9051033320084</v>
      </c>
      <c r="G78" s="6">
        <f>Linear_Regression56[[#This Row],[Ice Cream Profits (USD)]]-H77</f>
        <v>124.09489666799163</v>
      </c>
      <c r="H78" s="6">
        <f t="shared" si="5"/>
        <v>3747.9635682791254</v>
      </c>
    </row>
    <row r="79" spans="1:8" x14ac:dyDescent="0.3">
      <c r="A79">
        <v>61</v>
      </c>
      <c r="B79">
        <v>3730</v>
      </c>
      <c r="D79" s="6">
        <f>$K$2*Linear_Regression56[[#This Row],[Ice Cream Profits (USD)]]+(1-$K$2)*F79</f>
        <v>3734.6705277525725</v>
      </c>
      <c r="E79" s="6">
        <f t="shared" si="3"/>
        <v>-50.338128332738151</v>
      </c>
      <c r="F79" s="6">
        <f t="shared" si="4"/>
        <v>3747.9635682791254</v>
      </c>
      <c r="G79" s="6">
        <f>Linear_Regression56[[#This Row],[Ice Cream Profits (USD)]]-H78</f>
        <v>-17.963568279125411</v>
      </c>
      <c r="H79" s="6">
        <f t="shared" si="5"/>
        <v>3684.3323994198345</v>
      </c>
    </row>
    <row r="80" spans="1:8" x14ac:dyDescent="0.3">
      <c r="A80">
        <v>61</v>
      </c>
      <c r="B80">
        <v>3953</v>
      </c>
      <c r="D80" s="6">
        <f>$K$2*Linear_Regression56[[#This Row],[Ice Cream Profits (USD)]]+(1-$K$2)*F80</f>
        <v>3883.1464238491567</v>
      </c>
      <c r="E80" s="6">
        <f t="shared" si="3"/>
        <v>92.738879857438576</v>
      </c>
      <c r="F80" s="6">
        <f t="shared" si="4"/>
        <v>3684.3323994198345</v>
      </c>
      <c r="G80" s="6">
        <f>Linear_Regression56[[#This Row],[Ice Cream Profits (USD)]]-H79</f>
        <v>268.66760058016553</v>
      </c>
      <c r="H80" s="6">
        <f t="shared" si="5"/>
        <v>3975.8853037065951</v>
      </c>
    </row>
    <row r="81" spans="1:8" x14ac:dyDescent="0.3">
      <c r="A81">
        <v>61</v>
      </c>
      <c r="B81">
        <v>3742</v>
      </c>
      <c r="D81" s="6">
        <f>$K$2*Linear_Regression56[[#This Row],[Ice Cream Profits (USD)]]+(1-$K$2)*F81</f>
        <v>3802.8101789637149</v>
      </c>
      <c r="E81" s="6">
        <f t="shared" si="3"/>
        <v>-31.81506502362862</v>
      </c>
      <c r="F81" s="6">
        <f t="shared" si="4"/>
        <v>3975.8853037065951</v>
      </c>
      <c r="G81" s="6">
        <f>Linear_Regression56[[#This Row],[Ice Cream Profits (USD)]]-H80</f>
        <v>-233.8853037065951</v>
      </c>
      <c r="H81" s="6">
        <f t="shared" si="5"/>
        <v>3770.9951139400864</v>
      </c>
    </row>
    <row r="82" spans="1:8" x14ac:dyDescent="0.3">
      <c r="A82">
        <v>61</v>
      </c>
      <c r="B82">
        <v>3942</v>
      </c>
      <c r="D82" s="6">
        <f>$K$2*Linear_Regression56[[#This Row],[Ice Cream Profits (USD)]]+(1-$K$2)*F82</f>
        <v>3897.5387296244226</v>
      </c>
      <c r="E82" s="6">
        <f t="shared" si="3"/>
        <v>59.252363391708343</v>
      </c>
      <c r="F82" s="6">
        <f t="shared" si="4"/>
        <v>3770.9951139400864</v>
      </c>
      <c r="G82" s="6">
        <f>Linear_Regression56[[#This Row],[Ice Cream Profits (USD)]]-H81</f>
        <v>171.00488605991359</v>
      </c>
      <c r="H82" s="6">
        <f t="shared" si="5"/>
        <v>3956.7910930161311</v>
      </c>
    </row>
    <row r="83" spans="1:8" x14ac:dyDescent="0.3">
      <c r="A83">
        <v>61</v>
      </c>
      <c r="B83">
        <v>3816</v>
      </c>
      <c r="D83" s="6">
        <f>$K$2*Linear_Regression56[[#This Row],[Ice Cream Profits (USD)]]+(1-$K$2)*F83</f>
        <v>3852.6056841841946</v>
      </c>
      <c r="E83" s="6">
        <f t="shared" si="3"/>
        <v>-15.724925738330267</v>
      </c>
      <c r="F83" s="6">
        <f t="shared" si="4"/>
        <v>3956.7910930161311</v>
      </c>
      <c r="G83" s="6">
        <f>Linear_Regression56[[#This Row],[Ice Cream Profits (USD)]]-H82</f>
        <v>-140.79109301613107</v>
      </c>
      <c r="H83" s="6">
        <f t="shared" si="5"/>
        <v>3836.8807584458646</v>
      </c>
    </row>
    <row r="84" spans="1:8" x14ac:dyDescent="0.3">
      <c r="A84">
        <v>61</v>
      </c>
      <c r="B84">
        <v>3766</v>
      </c>
      <c r="D84" s="6">
        <f>$K$2*Linear_Regression56[[#This Row],[Ice Cream Profits (USD)]]+(1-$K$2)*F84</f>
        <v>3784.4289971959251</v>
      </c>
      <c r="E84" s="6">
        <f t="shared" si="3"/>
        <v>-53.471966448803983</v>
      </c>
      <c r="F84" s="6">
        <f t="shared" si="4"/>
        <v>3836.8807584458646</v>
      </c>
      <c r="G84" s="6">
        <f>Linear_Regression56[[#This Row],[Ice Cream Profits (USD)]]-H83</f>
        <v>-70.880758445864558</v>
      </c>
      <c r="H84" s="6">
        <f t="shared" si="5"/>
        <v>3730.9570307471213</v>
      </c>
    </row>
    <row r="85" spans="1:8" x14ac:dyDescent="0.3">
      <c r="A85">
        <v>62</v>
      </c>
      <c r="B85">
        <v>3904</v>
      </c>
      <c r="D85" s="6">
        <f>$K$2*Linear_Regression56[[#This Row],[Ice Cream Profits (USD)]]+(1-$K$2)*F85</f>
        <v>3859.0088279942515</v>
      </c>
      <c r="E85" s="6">
        <f t="shared" si="3"/>
        <v>38.680828587079752</v>
      </c>
      <c r="F85" s="6">
        <f t="shared" si="4"/>
        <v>3730.9570307471213</v>
      </c>
      <c r="G85" s="6">
        <f>Linear_Regression56[[#This Row],[Ice Cream Profits (USD)]]-H84</f>
        <v>173.04296925287872</v>
      </c>
      <c r="H85" s="6">
        <f t="shared" si="5"/>
        <v>3897.6896565813313</v>
      </c>
    </row>
    <row r="86" spans="1:8" x14ac:dyDescent="0.3">
      <c r="A86">
        <v>62</v>
      </c>
      <c r="B86">
        <v>4144</v>
      </c>
      <c r="D86" s="6">
        <f>$K$2*Linear_Regression56[[#This Row],[Ice Cream Profits (USD)]]+(1-$K$2)*F86</f>
        <v>4079.9593107111459</v>
      </c>
      <c r="E86" s="6">
        <f t="shared" si="3"/>
        <v>169.8516394572305</v>
      </c>
      <c r="F86" s="6">
        <f t="shared" si="4"/>
        <v>3897.6896565813313</v>
      </c>
      <c r="G86" s="6">
        <f>Linear_Regression56[[#This Row],[Ice Cream Profits (USD)]]-H85</f>
        <v>246.31034341866871</v>
      </c>
      <c r="H86" s="6">
        <f t="shared" si="5"/>
        <v>4249.8109501683766</v>
      </c>
    </row>
    <row r="87" spans="1:8" x14ac:dyDescent="0.3">
      <c r="A87">
        <v>62</v>
      </c>
      <c r="B87">
        <v>4019</v>
      </c>
      <c r="D87" s="6">
        <f>$K$2*Linear_Regression56[[#This Row],[Ice Cream Profits (USD)]]+(1-$K$2)*F87</f>
        <v>4079.0108470437781</v>
      </c>
      <c r="E87" s="6">
        <f t="shared" si="3"/>
        <v>46.934919553858421</v>
      </c>
      <c r="F87" s="6">
        <f t="shared" si="4"/>
        <v>4249.8109501683766</v>
      </c>
      <c r="G87" s="6">
        <f>Linear_Regression56[[#This Row],[Ice Cream Profits (USD)]]-H86</f>
        <v>-230.81095016837662</v>
      </c>
      <c r="H87" s="6">
        <f t="shared" si="5"/>
        <v>4125.9457665976361</v>
      </c>
    </row>
    <row r="88" spans="1:8" x14ac:dyDescent="0.3">
      <c r="A88">
        <v>62</v>
      </c>
      <c r="B88">
        <v>3793</v>
      </c>
      <c r="D88" s="6">
        <f>$K$2*Linear_Regression56[[#This Row],[Ice Cream Profits (USD)]]+(1-$K$2)*F88</f>
        <v>3879.5658993153852</v>
      </c>
      <c r="E88" s="6">
        <f t="shared" si="3"/>
        <v>-130.37296599507596</v>
      </c>
      <c r="F88" s="6">
        <f t="shared" si="4"/>
        <v>4125.9457665976361</v>
      </c>
      <c r="G88" s="6">
        <f>Linear_Regression56[[#This Row],[Ice Cream Profits (USD)]]-H87</f>
        <v>-332.94576659763607</v>
      </c>
      <c r="H88" s="6">
        <f t="shared" si="5"/>
        <v>3749.1929333203093</v>
      </c>
    </row>
    <row r="89" spans="1:8" x14ac:dyDescent="0.3">
      <c r="A89">
        <v>63</v>
      </c>
      <c r="B89">
        <v>5017</v>
      </c>
      <c r="D89" s="6">
        <f>$K$2*Linear_Regression56[[#This Row],[Ice Cream Profits (USD)]]+(1-$K$2)*F89</f>
        <v>4687.3701626632801</v>
      </c>
      <c r="E89" s="6">
        <f t="shared" si="3"/>
        <v>544.78861534628663</v>
      </c>
      <c r="F89" s="6">
        <f t="shared" si="4"/>
        <v>3749.1929333203093</v>
      </c>
      <c r="G89" s="6">
        <f>Linear_Regression56[[#This Row],[Ice Cream Profits (USD)]]-H88</f>
        <v>1267.8070666796907</v>
      </c>
      <c r="H89" s="6">
        <f t="shared" si="5"/>
        <v>5232.158778009567</v>
      </c>
    </row>
    <row r="90" spans="1:8" x14ac:dyDescent="0.3">
      <c r="A90">
        <v>63</v>
      </c>
      <c r="B90">
        <v>4415</v>
      </c>
      <c r="D90" s="6">
        <f>$K$2*Linear_Regression56[[#This Row],[Ice Cream Profits (USD)]]+(1-$K$2)*F90</f>
        <v>4627.4612822824874</v>
      </c>
      <c r="E90" s="6">
        <f t="shared" si="3"/>
        <v>109.61655544223478</v>
      </c>
      <c r="F90" s="6">
        <f t="shared" si="4"/>
        <v>5232.158778009567</v>
      </c>
      <c r="G90" s="6">
        <f>Linear_Regression56[[#This Row],[Ice Cream Profits (USD)]]-H89</f>
        <v>-817.15877800956696</v>
      </c>
      <c r="H90" s="6">
        <f t="shared" si="5"/>
        <v>4737.0778377247225</v>
      </c>
    </row>
    <row r="91" spans="1:8" x14ac:dyDescent="0.3">
      <c r="A91">
        <v>63</v>
      </c>
      <c r="B91">
        <v>4158</v>
      </c>
      <c r="D91" s="6">
        <f>$K$2*Linear_Regression56[[#This Row],[Ice Cream Profits (USD)]]+(1-$K$2)*F91</f>
        <v>4308.5602378084277</v>
      </c>
      <c r="E91" s="6">
        <f t="shared" si="3"/>
        <v>-198.7672033436269</v>
      </c>
      <c r="F91" s="6">
        <f t="shared" si="4"/>
        <v>4737.0778377247225</v>
      </c>
      <c r="G91" s="6">
        <f>Linear_Regression56[[#This Row],[Ice Cream Profits (USD)]]-H90</f>
        <v>-579.07783772472249</v>
      </c>
      <c r="H91" s="6">
        <f t="shared" si="5"/>
        <v>4109.7930344648012</v>
      </c>
    </row>
    <row r="92" spans="1:8" x14ac:dyDescent="0.3">
      <c r="A92">
        <v>63</v>
      </c>
      <c r="B92">
        <v>4059</v>
      </c>
      <c r="D92" s="6">
        <f>$K$2*Linear_Regression56[[#This Row],[Ice Cream Profits (USD)]]+(1-$K$2)*F92</f>
        <v>4072.2061889608485</v>
      </c>
      <c r="E92" s="6">
        <f t="shared" si="3"/>
        <v>-225.81667038926622</v>
      </c>
      <c r="F92" s="6">
        <f t="shared" si="4"/>
        <v>4109.7930344648012</v>
      </c>
      <c r="G92" s="6">
        <f>Linear_Regression56[[#This Row],[Ice Cream Profits (USD)]]-H91</f>
        <v>-50.793034464801167</v>
      </c>
      <c r="H92" s="6">
        <f t="shared" si="5"/>
        <v>3846.3895185715824</v>
      </c>
    </row>
    <row r="93" spans="1:8" x14ac:dyDescent="0.3">
      <c r="A93">
        <v>63</v>
      </c>
      <c r="B93">
        <v>3917</v>
      </c>
      <c r="D93" s="6">
        <f>$K$2*Linear_Regression56[[#This Row],[Ice Cream Profits (USD)]]+(1-$K$2)*F93</f>
        <v>3898.6412748286111</v>
      </c>
      <c r="E93" s="6">
        <f t="shared" si="3"/>
        <v>-188.21356377041835</v>
      </c>
      <c r="F93" s="6">
        <f t="shared" si="4"/>
        <v>3846.3895185715824</v>
      </c>
      <c r="G93" s="6">
        <f>Linear_Regression56[[#This Row],[Ice Cream Profits (USD)]]-H92</f>
        <v>70.610481428417643</v>
      </c>
      <c r="H93" s="6">
        <f t="shared" si="5"/>
        <v>3710.4277110581929</v>
      </c>
    </row>
    <row r="94" spans="1:8" x14ac:dyDescent="0.3">
      <c r="A94">
        <v>64</v>
      </c>
      <c r="B94">
        <v>4057</v>
      </c>
      <c r="D94" s="6">
        <f>$K$2*Linear_Regression56[[#This Row],[Ice Cream Profits (USD)]]+(1-$K$2)*F94</f>
        <v>3966.8912048751299</v>
      </c>
      <c r="E94" s="6">
        <f t="shared" si="3"/>
        <v>-3.6489712540999051</v>
      </c>
      <c r="F94" s="6">
        <f t="shared" si="4"/>
        <v>3710.4277110581929</v>
      </c>
      <c r="G94" s="6">
        <f>Linear_Regression56[[#This Row],[Ice Cream Profits (USD)]]-H93</f>
        <v>346.57228894180707</v>
      </c>
      <c r="H94" s="6">
        <f t="shared" si="5"/>
        <v>3963.2422336210302</v>
      </c>
    </row>
    <row r="95" spans="1:8" x14ac:dyDescent="0.3">
      <c r="A95">
        <v>64</v>
      </c>
      <c r="B95">
        <v>4028</v>
      </c>
      <c r="D95" s="6">
        <f>$K$2*Linear_Regression56[[#This Row],[Ice Cream Profits (USD)]]+(1-$K$2)*F95</f>
        <v>4011.1629807414674</v>
      </c>
      <c r="E95" s="6">
        <f t="shared" si="3"/>
        <v>30.837313845307776</v>
      </c>
      <c r="F95" s="6">
        <f t="shared" si="4"/>
        <v>3963.2422336210302</v>
      </c>
      <c r="G95" s="6">
        <f>Linear_Regression56[[#This Row],[Ice Cream Profits (USD)]]-H94</f>
        <v>64.757766378969791</v>
      </c>
      <c r="H95" s="6">
        <f t="shared" si="5"/>
        <v>4042.000294586775</v>
      </c>
    </row>
    <row r="96" spans="1:8" x14ac:dyDescent="0.3">
      <c r="A96">
        <v>64</v>
      </c>
      <c r="B96">
        <v>4121</v>
      </c>
      <c r="D96" s="6">
        <f>$K$2*Linear_Regression56[[#This Row],[Ice Cream Profits (USD)]]+(1-$K$2)*F96</f>
        <v>4100.4600765925616</v>
      </c>
      <c r="E96" s="6">
        <f t="shared" si="3"/>
        <v>72.908041666680859</v>
      </c>
      <c r="F96" s="6">
        <f t="shared" si="4"/>
        <v>4042.000294586775</v>
      </c>
      <c r="G96" s="6">
        <f>Linear_Regression56[[#This Row],[Ice Cream Profits (USD)]]-H95</f>
        <v>78.999705413225001</v>
      </c>
      <c r="H96" s="6">
        <f t="shared" si="5"/>
        <v>4173.3681182592427</v>
      </c>
    </row>
    <row r="97" spans="1:8" x14ac:dyDescent="0.3">
      <c r="A97">
        <v>64</v>
      </c>
      <c r="B97">
        <v>4485</v>
      </c>
      <c r="D97" s="6">
        <f>$K$2*Linear_Regression56[[#This Row],[Ice Cream Profits (USD)]]+(1-$K$2)*F97</f>
        <v>4403.9757107474034</v>
      </c>
      <c r="E97" s="6">
        <f t="shared" si="3"/>
        <v>238.8653703503775</v>
      </c>
      <c r="F97" s="6">
        <f t="shared" si="4"/>
        <v>4173.3681182592427</v>
      </c>
      <c r="G97" s="6">
        <f>Linear_Regression56[[#This Row],[Ice Cream Profits (USD)]]-H96</f>
        <v>311.63188174075731</v>
      </c>
      <c r="H97" s="6">
        <f t="shared" si="5"/>
        <v>4642.8410810977812</v>
      </c>
    </row>
    <row r="98" spans="1:8" x14ac:dyDescent="0.3">
      <c r="A98">
        <v>64</v>
      </c>
      <c r="B98">
        <v>4094</v>
      </c>
      <c r="D98" s="6">
        <f>$K$2*Linear_Regression56[[#This Row],[Ice Cream Profits (USD)]]+(1-$K$2)*F98</f>
        <v>4236.6986810854232</v>
      </c>
      <c r="E98" s="6">
        <f t="shared" si="3"/>
        <v>-53.416020058295089</v>
      </c>
      <c r="F98" s="6">
        <f t="shared" si="4"/>
        <v>4642.8410810977812</v>
      </c>
      <c r="G98" s="6">
        <f>Linear_Regression56[[#This Row],[Ice Cream Profits (USD)]]-H97</f>
        <v>-548.84108109778117</v>
      </c>
      <c r="H98" s="6">
        <f t="shared" si="5"/>
        <v>4183.2826610271277</v>
      </c>
    </row>
    <row r="99" spans="1:8" x14ac:dyDescent="0.3">
      <c r="A99">
        <v>64</v>
      </c>
      <c r="B99">
        <v>4014</v>
      </c>
      <c r="D99" s="6">
        <f>$K$2*Linear_Regression56[[#This Row],[Ice Cream Profits (USD)]]+(1-$K$2)*F99</f>
        <v>4058.0134918670533</v>
      </c>
      <c r="E99" s="6">
        <f t="shared" si="3"/>
        <v>-143.56628985610945</v>
      </c>
      <c r="F99" s="6">
        <f t="shared" si="4"/>
        <v>4183.2826610271277</v>
      </c>
      <c r="G99" s="6">
        <f>Linear_Regression56[[#This Row],[Ice Cream Profits (USD)]]-H98</f>
        <v>-169.28266102712769</v>
      </c>
      <c r="H99" s="6">
        <f t="shared" si="5"/>
        <v>3914.4472020109438</v>
      </c>
    </row>
    <row r="100" spans="1:8" x14ac:dyDescent="0.3">
      <c r="A100">
        <v>64</v>
      </c>
      <c r="B100">
        <v>3857</v>
      </c>
      <c r="D100" s="6">
        <f>$K$2*Linear_Regression56[[#This Row],[Ice Cream Profits (USD)]]+(1-$K$2)*F100</f>
        <v>3871.9362725228452</v>
      </c>
      <c r="E100" s="6">
        <f t="shared" si="3"/>
        <v>-174.15938621336849</v>
      </c>
      <c r="F100" s="6">
        <f t="shared" si="4"/>
        <v>3914.4472020109438</v>
      </c>
      <c r="G100" s="6">
        <f>Linear_Regression56[[#This Row],[Ice Cream Profits (USD)]]-H99</f>
        <v>-57.447202010943784</v>
      </c>
      <c r="H100" s="6">
        <f t="shared" si="5"/>
        <v>3697.7768863094766</v>
      </c>
    </row>
    <row r="101" spans="1:8" x14ac:dyDescent="0.3">
      <c r="A101">
        <v>64</v>
      </c>
      <c r="B101">
        <v>4407</v>
      </c>
      <c r="D101" s="6">
        <f>$K$2*Linear_Regression56[[#This Row],[Ice Cream Profits (USD)]]+(1-$K$2)*F101</f>
        <v>4222.6019904404639</v>
      </c>
      <c r="E101" s="6">
        <f t="shared" si="3"/>
        <v>203.53230801041587</v>
      </c>
      <c r="F101" s="6">
        <f t="shared" si="4"/>
        <v>3697.7768863094766</v>
      </c>
      <c r="G101" s="6">
        <f>Linear_Regression56[[#This Row],[Ice Cream Profits (USD)]]-H100</f>
        <v>709.22311369052341</v>
      </c>
      <c r="H101" s="6">
        <f t="shared" si="5"/>
        <v>4426.1342984508801</v>
      </c>
    </row>
    <row r="102" spans="1:8" x14ac:dyDescent="0.3">
      <c r="A102">
        <v>64</v>
      </c>
      <c r="B102">
        <v>4410</v>
      </c>
      <c r="D102" s="6">
        <f>$K$2*Linear_Regression56[[#This Row],[Ice Cream Profits (USD)]]+(1-$K$2)*F102</f>
        <v>4414.1949175972286</v>
      </c>
      <c r="E102" s="6">
        <f t="shared" si="3"/>
        <v>194.94010282224133</v>
      </c>
      <c r="F102" s="6">
        <f t="shared" si="4"/>
        <v>4426.1342984508801</v>
      </c>
      <c r="G102" s="6">
        <f>Linear_Regression56[[#This Row],[Ice Cream Profits (USD)]]-H101</f>
        <v>-16.134298450880124</v>
      </c>
      <c r="H102" s="6">
        <f t="shared" si="5"/>
        <v>4609.1350204194696</v>
      </c>
    </row>
    <row r="103" spans="1:8" x14ac:dyDescent="0.3">
      <c r="A103">
        <v>65</v>
      </c>
      <c r="B103">
        <v>4736</v>
      </c>
      <c r="D103" s="6">
        <f>$K$2*Linear_Regression56[[#This Row],[Ice Cream Profits (USD)]]+(1-$K$2)*F103</f>
        <v>4703.0151053090622</v>
      </c>
      <c r="E103" s="6">
        <f t="shared" si="3"/>
        <v>262.50113989293214</v>
      </c>
      <c r="F103" s="6">
        <f t="shared" si="4"/>
        <v>4609.1350204194696</v>
      </c>
      <c r="G103" s="6">
        <f>Linear_Regression56[[#This Row],[Ice Cream Profits (USD)]]-H102</f>
        <v>126.86497958053042</v>
      </c>
      <c r="H103" s="6">
        <f t="shared" si="5"/>
        <v>4965.516245201994</v>
      </c>
    </row>
    <row r="104" spans="1:8" x14ac:dyDescent="0.3">
      <c r="A104">
        <v>65</v>
      </c>
      <c r="B104">
        <v>4538</v>
      </c>
      <c r="D104" s="6">
        <f>$K$2*Linear_Regression56[[#This Row],[Ice Cream Profits (USD)]]+(1-$K$2)*F104</f>
        <v>4649.1542237525182</v>
      </c>
      <c r="E104" s="6">
        <f t="shared" si="3"/>
        <v>34.830422679123117</v>
      </c>
      <c r="F104" s="6">
        <f t="shared" si="4"/>
        <v>4965.516245201994</v>
      </c>
      <c r="G104" s="6">
        <f>Linear_Regression56[[#This Row],[Ice Cream Profits (USD)]]-H103</f>
        <v>-427.51624520199402</v>
      </c>
      <c r="H104" s="6">
        <f t="shared" si="5"/>
        <v>4683.9846464316415</v>
      </c>
    </row>
    <row r="105" spans="1:8" x14ac:dyDescent="0.3">
      <c r="A105">
        <v>65</v>
      </c>
      <c r="B105">
        <v>4109</v>
      </c>
      <c r="D105" s="6">
        <f>$K$2*Linear_Regression56[[#This Row],[Ice Cream Profits (USD)]]+(1-$K$2)*F105</f>
        <v>4258.4960080722267</v>
      </c>
      <c r="E105" s="6">
        <f t="shared" si="3"/>
        <v>-271.37353637316647</v>
      </c>
      <c r="F105" s="6">
        <f t="shared" si="4"/>
        <v>4683.9846464316415</v>
      </c>
      <c r="G105" s="6">
        <f>Linear_Regression56[[#This Row],[Ice Cream Profits (USD)]]-H104</f>
        <v>-574.98464643164152</v>
      </c>
      <c r="H105" s="6">
        <f t="shared" si="5"/>
        <v>3987.12247169906</v>
      </c>
    </row>
    <row r="106" spans="1:8" x14ac:dyDescent="0.3">
      <c r="A106">
        <v>65</v>
      </c>
      <c r="B106">
        <v>4378</v>
      </c>
      <c r="D106" s="6">
        <f>$K$2*Linear_Regression56[[#This Row],[Ice Cream Profits (USD)]]+(1-$K$2)*F106</f>
        <v>4276.3718426417554</v>
      </c>
      <c r="E106" s="6">
        <f t="shared" si="3"/>
        <v>-63.214505670160591</v>
      </c>
      <c r="F106" s="6">
        <f t="shared" si="4"/>
        <v>3987.12247169906</v>
      </c>
      <c r="G106" s="6">
        <f>Linear_Regression56[[#This Row],[Ice Cream Profits (USD)]]-H105</f>
        <v>390.87752830093996</v>
      </c>
      <c r="H106" s="6">
        <f t="shared" si="5"/>
        <v>4213.1573369715952</v>
      </c>
    </row>
    <row r="107" spans="1:8" x14ac:dyDescent="0.3">
      <c r="A107">
        <v>65</v>
      </c>
      <c r="B107">
        <v>4272</v>
      </c>
      <c r="D107" s="6">
        <f>$K$2*Linear_Regression56[[#This Row],[Ice Cream Profits (USD)]]+(1-$K$2)*F107</f>
        <v>4256.7009076126151</v>
      </c>
      <c r="E107" s="6">
        <f t="shared" si="3"/>
        <v>-31.878266533521767</v>
      </c>
      <c r="F107" s="6">
        <f t="shared" si="4"/>
        <v>4213.1573369715952</v>
      </c>
      <c r="G107" s="6">
        <f>Linear_Regression56[[#This Row],[Ice Cream Profits (USD)]]-H106</f>
        <v>58.842663028404786</v>
      </c>
      <c r="H107" s="6">
        <f t="shared" si="5"/>
        <v>4224.822641079093</v>
      </c>
    </row>
    <row r="108" spans="1:8" x14ac:dyDescent="0.3">
      <c r="A108">
        <v>65</v>
      </c>
      <c r="B108">
        <v>4210</v>
      </c>
      <c r="D108" s="6">
        <f>$K$2*Linear_Regression56[[#This Row],[Ice Cream Profits (USD)]]+(1-$K$2)*F108</f>
        <v>4213.8538866805648</v>
      </c>
      <c r="E108" s="6">
        <f t="shared" si="3"/>
        <v>-39.771957974148563</v>
      </c>
      <c r="F108" s="6">
        <f t="shared" si="4"/>
        <v>4224.822641079093</v>
      </c>
      <c r="G108" s="6">
        <f>Linear_Regression56[[#This Row],[Ice Cream Profits (USD)]]-H107</f>
        <v>-14.822641079093046</v>
      </c>
      <c r="H108" s="6">
        <f t="shared" si="5"/>
        <v>4174.081928706416</v>
      </c>
    </row>
    <row r="109" spans="1:8" x14ac:dyDescent="0.3">
      <c r="A109">
        <v>65</v>
      </c>
      <c r="B109">
        <v>4328</v>
      </c>
      <c r="D109" s="6">
        <f>$K$2*Linear_Regression56[[#This Row],[Ice Cream Profits (USD)]]+(1-$K$2)*F109</f>
        <v>4287.9813014636675</v>
      </c>
      <c r="E109" s="6">
        <f t="shared" si="3"/>
        <v>42.196009505120188</v>
      </c>
      <c r="F109" s="6">
        <f t="shared" si="4"/>
        <v>4174.081928706416</v>
      </c>
      <c r="G109" s="6">
        <f>Linear_Regression56[[#This Row],[Ice Cream Profits (USD)]]-H108</f>
        <v>153.91807129358403</v>
      </c>
      <c r="H109" s="6">
        <f t="shared" si="5"/>
        <v>4330.1773109687874</v>
      </c>
    </row>
    <row r="110" spans="1:8" x14ac:dyDescent="0.3">
      <c r="A110">
        <v>65</v>
      </c>
      <c r="B110">
        <v>4431</v>
      </c>
      <c r="D110" s="6">
        <f>$K$2*Linear_Regression56[[#This Row],[Ice Cream Profits (USD)]]+(1-$K$2)*F110</f>
        <v>4404.7861008518848</v>
      </c>
      <c r="E110" s="6">
        <f t="shared" si="3"/>
        <v>95.888411094012739</v>
      </c>
      <c r="F110" s="6">
        <f t="shared" si="4"/>
        <v>4330.1773109687874</v>
      </c>
      <c r="G110" s="6">
        <f>Linear_Regression56[[#This Row],[Ice Cream Profits (USD)]]-H109</f>
        <v>100.82268903121258</v>
      </c>
      <c r="H110" s="6">
        <f t="shared" si="5"/>
        <v>4500.6745119458974</v>
      </c>
    </row>
    <row r="111" spans="1:8" x14ac:dyDescent="0.3">
      <c r="A111">
        <v>65</v>
      </c>
      <c r="B111">
        <v>4271</v>
      </c>
      <c r="D111" s="6">
        <f>$K$2*Linear_Regression56[[#This Row],[Ice Cream Profits (USD)]]+(1-$K$2)*F111</f>
        <v>4330.7153731059334</v>
      </c>
      <c r="E111" s="6">
        <f t="shared" si="3"/>
        <v>-26.423106765964157</v>
      </c>
      <c r="F111" s="6">
        <f t="shared" si="4"/>
        <v>4500.6745119458974</v>
      </c>
      <c r="G111" s="6">
        <f>Linear_Regression56[[#This Row],[Ice Cream Profits (USD)]]-H110</f>
        <v>-229.67451194589739</v>
      </c>
      <c r="H111" s="6">
        <f t="shared" si="5"/>
        <v>4304.2922663399695</v>
      </c>
    </row>
    <row r="112" spans="1:8" x14ac:dyDescent="0.3">
      <c r="A112">
        <v>66</v>
      </c>
      <c r="B112">
        <v>4303</v>
      </c>
      <c r="D112" s="6">
        <f>$K$2*Linear_Regression56[[#This Row],[Ice Cream Profits (USD)]]+(1-$K$2)*F112</f>
        <v>4303.3359892483913</v>
      </c>
      <c r="E112" s="6">
        <f t="shared" si="3"/>
        <v>-27.111293958273663</v>
      </c>
      <c r="F112" s="6">
        <f t="shared" si="4"/>
        <v>4304.2922663399695</v>
      </c>
      <c r="G112" s="6">
        <f>Linear_Regression56[[#This Row],[Ice Cream Profits (USD)]]-H111</f>
        <v>-1.2922663399695011</v>
      </c>
      <c r="H112" s="6">
        <f t="shared" si="5"/>
        <v>4276.2246952901178</v>
      </c>
    </row>
    <row r="113" spans="1:8" x14ac:dyDescent="0.3">
      <c r="A113">
        <v>66</v>
      </c>
      <c r="B113">
        <v>4216</v>
      </c>
      <c r="D113" s="6">
        <f>$K$2*Linear_Regression56[[#This Row],[Ice Cream Profits (USD)]]+(1-$K$2)*F113</f>
        <v>4231.6584207754313</v>
      </c>
      <c r="E113" s="6">
        <f t="shared" si="3"/>
        <v>-59.183524486509057</v>
      </c>
      <c r="F113" s="6">
        <f t="shared" si="4"/>
        <v>4276.2246952901178</v>
      </c>
      <c r="G113" s="6">
        <f>Linear_Regression56[[#This Row],[Ice Cream Profits (USD)]]-H112</f>
        <v>-60.224695290117779</v>
      </c>
      <c r="H113" s="6">
        <f t="shared" si="5"/>
        <v>4172.4748962889225</v>
      </c>
    </row>
    <row r="114" spans="1:8" x14ac:dyDescent="0.3">
      <c r="A114">
        <v>66</v>
      </c>
      <c r="B114">
        <v>4674</v>
      </c>
      <c r="D114" s="6">
        <f>$K$2*Linear_Regression56[[#This Row],[Ice Cream Profits (USD)]]+(1-$K$2)*F114</f>
        <v>4543.6034730351203</v>
      </c>
      <c r="E114" s="6">
        <f t="shared" si="3"/>
        <v>207.9000807427652</v>
      </c>
      <c r="F114" s="6">
        <f t="shared" si="4"/>
        <v>4172.4748962889225</v>
      </c>
      <c r="G114" s="6">
        <f>Linear_Regression56[[#This Row],[Ice Cream Profits (USD)]]-H113</f>
        <v>501.52510371107746</v>
      </c>
      <c r="H114" s="6">
        <f t="shared" si="5"/>
        <v>4751.5035537778858</v>
      </c>
    </row>
    <row r="115" spans="1:8" x14ac:dyDescent="0.3">
      <c r="A115">
        <v>66</v>
      </c>
      <c r="B115">
        <v>4768</v>
      </c>
      <c r="D115" s="6">
        <f>$K$2*Linear_Regression56[[#This Row],[Ice Cream Profits (USD)]]+(1-$K$2)*F115</f>
        <v>4763.7109239822503</v>
      </c>
      <c r="E115" s="6">
        <f t="shared" si="3"/>
        <v>216.68514513509803</v>
      </c>
      <c r="F115" s="6">
        <f t="shared" si="4"/>
        <v>4751.5035537778858</v>
      </c>
      <c r="G115" s="6">
        <f>Linear_Regression56[[#This Row],[Ice Cream Profits (USD)]]-H114</f>
        <v>16.496446222114173</v>
      </c>
      <c r="H115" s="6">
        <f t="shared" si="5"/>
        <v>4980.3960691173479</v>
      </c>
    </row>
    <row r="116" spans="1:8" x14ac:dyDescent="0.3">
      <c r="A116">
        <v>66</v>
      </c>
      <c r="B116">
        <v>4448</v>
      </c>
      <c r="D116" s="6">
        <f>$K$2*Linear_Regression56[[#This Row],[Ice Cream Profits (USD)]]+(1-$K$2)*F116</f>
        <v>4586.4229779705101</v>
      </c>
      <c r="E116" s="6">
        <f t="shared" si="3"/>
        <v>-66.838571818603128</v>
      </c>
      <c r="F116" s="6">
        <f t="shared" si="4"/>
        <v>4980.3960691173479</v>
      </c>
      <c r="G116" s="6">
        <f>Linear_Regression56[[#This Row],[Ice Cream Profits (USD)]]-H115</f>
        <v>-532.39606911734791</v>
      </c>
      <c r="H116" s="6">
        <f t="shared" si="5"/>
        <v>4519.5844061519074</v>
      </c>
    </row>
    <row r="117" spans="1:8" x14ac:dyDescent="0.3">
      <c r="A117">
        <v>66</v>
      </c>
      <c r="B117">
        <v>4752</v>
      </c>
      <c r="D117" s="6">
        <f>$K$2*Linear_Regression56[[#This Row],[Ice Cream Profits (USD)]]+(1-$K$2)*F117</f>
        <v>4691.5719455994958</v>
      </c>
      <c r="E117" s="6">
        <f t="shared" si="3"/>
        <v>56.932689594088984</v>
      </c>
      <c r="F117" s="6">
        <f t="shared" si="4"/>
        <v>4519.5844061519074</v>
      </c>
      <c r="G117" s="6">
        <f>Linear_Regression56[[#This Row],[Ice Cream Profits (USD)]]-H116</f>
        <v>232.41559384809261</v>
      </c>
      <c r="H117" s="6">
        <f t="shared" si="5"/>
        <v>4748.5046351935853</v>
      </c>
    </row>
    <row r="118" spans="1:8" x14ac:dyDescent="0.3">
      <c r="A118">
        <v>66</v>
      </c>
      <c r="B118">
        <v>4498</v>
      </c>
      <c r="D118" s="6">
        <f>$K$2*Linear_Regression56[[#This Row],[Ice Cream Profits (USD)]]+(1-$K$2)*F118</f>
        <v>4563.1312051503319</v>
      </c>
      <c r="E118" s="6">
        <f t="shared" si="3"/>
        <v>-76.471761347792992</v>
      </c>
      <c r="F118" s="6">
        <f t="shared" si="4"/>
        <v>4748.5046351935853</v>
      </c>
      <c r="G118" s="6">
        <f>Linear_Regression56[[#This Row],[Ice Cream Profits (USD)]]-H117</f>
        <v>-250.50463519358527</v>
      </c>
      <c r="H118" s="6">
        <f t="shared" si="5"/>
        <v>4486.6594438025386</v>
      </c>
    </row>
    <row r="119" spans="1:8" x14ac:dyDescent="0.3">
      <c r="A119">
        <v>66</v>
      </c>
      <c r="B119">
        <v>4507</v>
      </c>
      <c r="D119" s="6">
        <f>$K$2*Linear_Regression56[[#This Row],[Ice Cream Profits (USD)]]+(1-$K$2)*F119</f>
        <v>4501.7114553886604</v>
      </c>
      <c r="E119" s="6">
        <f t="shared" si="3"/>
        <v>-65.639543695301683</v>
      </c>
      <c r="F119" s="6">
        <f t="shared" si="4"/>
        <v>4486.6594438025386</v>
      </c>
      <c r="G119" s="6">
        <f>Linear_Regression56[[#This Row],[Ice Cream Profits (USD)]]-H118</f>
        <v>20.34055619746141</v>
      </c>
      <c r="H119" s="6">
        <f t="shared" si="5"/>
        <v>4436.0719116933587</v>
      </c>
    </row>
    <row r="120" spans="1:8" x14ac:dyDescent="0.3">
      <c r="A120">
        <v>66</v>
      </c>
      <c r="B120">
        <v>4542</v>
      </c>
      <c r="D120" s="6">
        <f>$K$2*Linear_Regression56[[#This Row],[Ice Cream Profits (USD)]]+(1-$K$2)*F120</f>
        <v>4514.4586970402734</v>
      </c>
      <c r="E120" s="6">
        <f t="shared" si="3"/>
        <v>-9.2282982548717545</v>
      </c>
      <c r="F120" s="6">
        <f t="shared" si="4"/>
        <v>4436.0719116933587</v>
      </c>
      <c r="G120" s="6">
        <f>Linear_Regression56[[#This Row],[Ice Cream Profits (USD)]]-H119</f>
        <v>105.92808830664126</v>
      </c>
      <c r="H120" s="6">
        <f t="shared" si="5"/>
        <v>4505.230398785402</v>
      </c>
    </row>
    <row r="121" spans="1:8" x14ac:dyDescent="0.3">
      <c r="A121">
        <v>66</v>
      </c>
      <c r="B121">
        <v>4736</v>
      </c>
      <c r="D121" s="6">
        <f>$K$2*Linear_Regression56[[#This Row],[Ice Cream Profits (USD)]]+(1-$K$2)*F121</f>
        <v>4675.9999036842046</v>
      </c>
      <c r="E121" s="6">
        <f t="shared" si="3"/>
        <v>113.66640155904591</v>
      </c>
      <c r="F121" s="6">
        <f t="shared" si="4"/>
        <v>4505.230398785402</v>
      </c>
      <c r="G121" s="6">
        <f>Linear_Regression56[[#This Row],[Ice Cream Profits (USD)]]-H120</f>
        <v>230.76960121459797</v>
      </c>
      <c r="H121" s="6">
        <f t="shared" si="5"/>
        <v>4789.6663052432505</v>
      </c>
    </row>
    <row r="122" spans="1:8" x14ac:dyDescent="0.3">
      <c r="A122">
        <v>66</v>
      </c>
      <c r="B122">
        <v>4826</v>
      </c>
      <c r="D122" s="6">
        <f>$K$2*Linear_Regression56[[#This Row],[Ice Cream Profits (USD)]]+(1-$K$2)*F122</f>
        <v>4816.5532393632457</v>
      </c>
      <c r="E122" s="6">
        <f t="shared" si="3"/>
        <v>133.01565070953959</v>
      </c>
      <c r="F122" s="6">
        <f t="shared" si="4"/>
        <v>4789.6663052432505</v>
      </c>
      <c r="G122" s="6">
        <f>Linear_Regression56[[#This Row],[Ice Cream Profits (USD)]]-H121</f>
        <v>36.333694756749537</v>
      </c>
      <c r="H122" s="6">
        <f t="shared" si="5"/>
        <v>4949.5688900727855</v>
      </c>
    </row>
    <row r="123" spans="1:8" x14ac:dyDescent="0.3">
      <c r="A123">
        <v>66</v>
      </c>
      <c r="B123">
        <v>5175</v>
      </c>
      <c r="D123" s="6">
        <f>$K$2*Linear_Regression56[[#This Row],[Ice Cream Profits (USD)]]+(1-$K$2)*F123</f>
        <v>5116.387911418924</v>
      </c>
      <c r="E123" s="6">
        <f t="shared" si="3"/>
        <v>253.06737518888451</v>
      </c>
      <c r="F123" s="6">
        <f t="shared" si="4"/>
        <v>4949.5688900727855</v>
      </c>
      <c r="G123" s="6">
        <f>Linear_Regression56[[#This Row],[Ice Cream Profits (USD)]]-H122</f>
        <v>225.43110992721449</v>
      </c>
      <c r="H123" s="6">
        <f t="shared" si="5"/>
        <v>5369.4552866078084</v>
      </c>
    </row>
    <row r="124" spans="1:8" x14ac:dyDescent="0.3">
      <c r="A124">
        <v>66</v>
      </c>
      <c r="B124">
        <v>4505</v>
      </c>
      <c r="D124" s="6">
        <f>$K$2*Linear_Regression56[[#This Row],[Ice Cream Profits (USD)]]+(1-$K$2)*F124</f>
        <v>4729.75837451803</v>
      </c>
      <c r="E124" s="6">
        <f t="shared" si="3"/>
        <v>-207.29210193058367</v>
      </c>
      <c r="F124" s="6">
        <f t="shared" si="4"/>
        <v>5369.4552866078084</v>
      </c>
      <c r="G124" s="6">
        <f>Linear_Regression56[[#This Row],[Ice Cream Profits (USD)]]-H123</f>
        <v>-864.45528660780838</v>
      </c>
      <c r="H124" s="6">
        <f t="shared" si="5"/>
        <v>4522.4662725874459</v>
      </c>
    </row>
    <row r="125" spans="1:8" x14ac:dyDescent="0.3">
      <c r="A125">
        <v>66</v>
      </c>
      <c r="B125">
        <v>4065</v>
      </c>
      <c r="D125" s="6">
        <f>$K$2*Linear_Regression56[[#This Row],[Ice Cream Profits (USD)]]+(1-$K$2)*F125</f>
        <v>4183.941230872736</v>
      </c>
      <c r="E125" s="6">
        <f t="shared" si="3"/>
        <v>-450.91249191576827</v>
      </c>
      <c r="F125" s="6">
        <f t="shared" si="4"/>
        <v>4522.4662725874459</v>
      </c>
      <c r="G125" s="6">
        <f>Linear_Regression56[[#This Row],[Ice Cream Profits (USD)]]-H124</f>
        <v>-457.46627258744593</v>
      </c>
      <c r="H125" s="6">
        <f t="shared" si="5"/>
        <v>3733.0287389569676</v>
      </c>
    </row>
    <row r="126" spans="1:8" x14ac:dyDescent="0.3">
      <c r="A126">
        <v>67</v>
      </c>
      <c r="B126">
        <v>4865</v>
      </c>
      <c r="D126" s="6">
        <f>$K$2*Linear_Regression56[[#This Row],[Ice Cream Profits (USD)]]+(1-$K$2)*F126</f>
        <v>4570.6874721288114</v>
      </c>
      <c r="E126" s="6">
        <f t="shared" si="3"/>
        <v>151.91070313105337</v>
      </c>
      <c r="F126" s="6">
        <f t="shared" si="4"/>
        <v>3733.0287389569676</v>
      </c>
      <c r="G126" s="6">
        <f>Linear_Regression56[[#This Row],[Ice Cream Profits (USD)]]-H125</f>
        <v>1131.9712610430324</v>
      </c>
      <c r="H126" s="6">
        <f t="shared" si="5"/>
        <v>4722.5981752598645</v>
      </c>
    </row>
    <row r="127" spans="1:8" x14ac:dyDescent="0.3">
      <c r="A127">
        <v>67</v>
      </c>
      <c r="B127">
        <v>4526</v>
      </c>
      <c r="D127" s="6">
        <f>$K$2*Linear_Regression56[[#This Row],[Ice Cream Profits (USD)]]+(1-$K$2)*F127</f>
        <v>4577.1155255675649</v>
      </c>
      <c r="E127" s="6">
        <f t="shared" si="3"/>
        <v>47.213751689614512</v>
      </c>
      <c r="F127" s="6">
        <f t="shared" si="4"/>
        <v>4722.5981752598645</v>
      </c>
      <c r="G127" s="6">
        <f>Linear_Regression56[[#This Row],[Ice Cream Profits (USD)]]-H126</f>
        <v>-196.59817525986455</v>
      </c>
      <c r="H127" s="6">
        <f t="shared" si="5"/>
        <v>4624.3292772571795</v>
      </c>
    </row>
    <row r="128" spans="1:8" x14ac:dyDescent="0.3">
      <c r="A128">
        <v>67</v>
      </c>
      <c r="B128">
        <v>4604</v>
      </c>
      <c r="D128" s="6">
        <f>$K$2*Linear_Regression56[[#This Row],[Ice Cream Profits (USD)]]+(1-$K$2)*F128</f>
        <v>4609.2856120868664</v>
      </c>
      <c r="E128" s="6">
        <f t="shared" si="3"/>
        <v>36.387540556061829</v>
      </c>
      <c r="F128" s="6">
        <f t="shared" si="4"/>
        <v>4624.3292772571795</v>
      </c>
      <c r="G128" s="6">
        <f>Linear_Regression56[[#This Row],[Ice Cream Profits (USD)]]-H127</f>
        <v>-20.329277257179456</v>
      </c>
      <c r="H128" s="6">
        <f t="shared" si="5"/>
        <v>4645.6731526429285</v>
      </c>
    </row>
    <row r="129" spans="1:8" x14ac:dyDescent="0.3">
      <c r="A129">
        <v>67</v>
      </c>
      <c r="B129">
        <v>4485</v>
      </c>
      <c r="D129" s="6">
        <f>$K$2*Linear_Regression56[[#This Row],[Ice Cream Profits (USD)]]+(1-$K$2)*F129</f>
        <v>4526.7750196871611</v>
      </c>
      <c r="E129" s="6">
        <f t="shared" si="3"/>
        <v>-49.177797158615192</v>
      </c>
      <c r="F129" s="6">
        <f t="shared" si="4"/>
        <v>4645.6731526429285</v>
      </c>
      <c r="G129" s="6">
        <f>Linear_Regression56[[#This Row],[Ice Cream Profits (USD)]]-H128</f>
        <v>-160.67315264292847</v>
      </c>
      <c r="H129" s="6">
        <f t="shared" si="5"/>
        <v>4477.5972225285459</v>
      </c>
    </row>
    <row r="130" spans="1:8" x14ac:dyDescent="0.3">
      <c r="A130">
        <v>67</v>
      </c>
      <c r="B130">
        <v>4294</v>
      </c>
      <c r="D130" s="6">
        <f>$K$2*Linear_Regression56[[#This Row],[Ice Cream Profits (USD)]]+(1-$K$2)*F130</f>
        <v>4341.7352778574223</v>
      </c>
      <c r="E130" s="6">
        <f t="shared" si="3"/>
        <v>-146.95118425361915</v>
      </c>
      <c r="F130" s="6">
        <f t="shared" si="4"/>
        <v>4477.5972225285459</v>
      </c>
      <c r="G130" s="6">
        <f>Linear_Regression56[[#This Row],[Ice Cream Profits (USD)]]-H129</f>
        <v>-183.5972225285459</v>
      </c>
      <c r="H130" s="6">
        <f t="shared" si="5"/>
        <v>4194.7840936038028</v>
      </c>
    </row>
    <row r="131" spans="1:8" x14ac:dyDescent="0.3">
      <c r="A131">
        <v>67</v>
      </c>
      <c r="B131">
        <v>5062</v>
      </c>
      <c r="D131" s="6">
        <f>$K$2*Linear_Regression56[[#This Row],[Ice Cream Profits (USD)]]+(1-$K$2)*F131</f>
        <v>4836.5238643369885</v>
      </c>
      <c r="E131" s="6">
        <f t="shared" si="3"/>
        <v>314.87844118004909</v>
      </c>
      <c r="F131" s="6">
        <f t="shared" si="4"/>
        <v>4194.7840936038028</v>
      </c>
      <c r="G131" s="6">
        <f>Linear_Regression56[[#This Row],[Ice Cream Profits (USD)]]-H130</f>
        <v>867.21590639619717</v>
      </c>
      <c r="H131" s="6">
        <f t="shared" si="5"/>
        <v>5151.4023055170373</v>
      </c>
    </row>
    <row r="132" spans="1:8" x14ac:dyDescent="0.3">
      <c r="A132">
        <v>68</v>
      </c>
      <c r="B132">
        <v>4565</v>
      </c>
      <c r="D132" s="6">
        <f>$K$2*Linear_Regression56[[#This Row],[Ice Cream Profits (USD)]]+(1-$K$2)*F132</f>
        <v>4717.4645994344301</v>
      </c>
      <c r="E132" s="6">
        <f t="shared" ref="E132:E195" si="6">$K$3*(D132-D131)+(1-$K$3)*E131</f>
        <v>2.5940894829218593</v>
      </c>
      <c r="F132" s="6">
        <f t="shared" ref="F132:F195" si="7">D131+E131</f>
        <v>5151.4023055170373</v>
      </c>
      <c r="G132" s="6">
        <f>Linear_Regression56[[#This Row],[Ice Cream Profits (USD)]]-H131</f>
        <v>-586.40230551703735</v>
      </c>
      <c r="H132" s="6">
        <f t="shared" ref="H132:H195" si="8">D132+E132</f>
        <v>4720.0586889173519</v>
      </c>
    </row>
    <row r="133" spans="1:8" x14ac:dyDescent="0.3">
      <c r="A133">
        <v>68</v>
      </c>
      <c r="B133">
        <v>4937</v>
      </c>
      <c r="D133" s="6">
        <f>$K$2*Linear_Regression56[[#This Row],[Ice Cream Profits (USD)]]+(1-$K$2)*F133</f>
        <v>4880.5952591185114</v>
      </c>
      <c r="E133" s="6">
        <f t="shared" si="6"/>
        <v>118.12463233785819</v>
      </c>
      <c r="F133" s="6">
        <f t="shared" si="7"/>
        <v>4720.0586889173519</v>
      </c>
      <c r="G133" s="6">
        <f>Linear_Regression56[[#This Row],[Ice Cream Profits (USD)]]-H132</f>
        <v>216.9413110826481</v>
      </c>
      <c r="H133" s="6">
        <f t="shared" si="8"/>
        <v>4998.7198914563696</v>
      </c>
    </row>
    <row r="134" spans="1:8" x14ac:dyDescent="0.3">
      <c r="A134">
        <v>68</v>
      </c>
      <c r="B134">
        <v>4589</v>
      </c>
      <c r="D134" s="6">
        <f>$K$2*Linear_Regression56[[#This Row],[Ice Cream Profits (USD)]]+(1-$K$2)*F134</f>
        <v>4695.5271717786563</v>
      </c>
      <c r="E134" s="6">
        <f t="shared" si="6"/>
        <v>-100.06876403369176</v>
      </c>
      <c r="F134" s="6">
        <f t="shared" si="7"/>
        <v>4998.7198914563696</v>
      </c>
      <c r="G134" s="6">
        <f>Linear_Regression56[[#This Row],[Ice Cream Profits (USD)]]-H133</f>
        <v>-409.71989145636962</v>
      </c>
      <c r="H134" s="6">
        <f t="shared" si="8"/>
        <v>4595.4584077449645</v>
      </c>
    </row>
    <row r="135" spans="1:8" x14ac:dyDescent="0.3">
      <c r="A135">
        <v>68</v>
      </c>
      <c r="B135">
        <v>5074</v>
      </c>
      <c r="D135" s="6">
        <f>$K$2*Linear_Regression56[[#This Row],[Ice Cream Profits (USD)]]+(1-$K$2)*F135</f>
        <v>4949.5791860136906</v>
      </c>
      <c r="E135" s="6">
        <f t="shared" si="6"/>
        <v>154.77513663226978</v>
      </c>
      <c r="F135" s="6">
        <f t="shared" si="7"/>
        <v>4595.4584077449645</v>
      </c>
      <c r="G135" s="6">
        <f>Linear_Regression56[[#This Row],[Ice Cream Profits (USD)]]-H134</f>
        <v>478.54159225503554</v>
      </c>
      <c r="H135" s="6">
        <f t="shared" si="8"/>
        <v>5104.3543226459606</v>
      </c>
    </row>
    <row r="136" spans="1:8" x14ac:dyDescent="0.3">
      <c r="A136">
        <v>68</v>
      </c>
      <c r="B136">
        <v>4717</v>
      </c>
      <c r="D136" s="6">
        <f>$K$2*Linear_Regression56[[#This Row],[Ice Cream Profits (USD)]]+(1-$K$2)*F136</f>
        <v>4817.7121238879499</v>
      </c>
      <c r="E136" s="6">
        <f t="shared" si="6"/>
        <v>-51.507636110101373</v>
      </c>
      <c r="F136" s="6">
        <f t="shared" si="7"/>
        <v>5104.3543226459606</v>
      </c>
      <c r="G136" s="6">
        <f>Linear_Regression56[[#This Row],[Ice Cream Profits (USD)]]-H135</f>
        <v>-387.35432264596056</v>
      </c>
      <c r="H136" s="6">
        <f t="shared" si="8"/>
        <v>4766.204487777849</v>
      </c>
    </row>
    <row r="137" spans="1:8" x14ac:dyDescent="0.3">
      <c r="A137">
        <v>68</v>
      </c>
      <c r="B137">
        <v>4960</v>
      </c>
      <c r="D137" s="6">
        <f>$K$2*Linear_Regression56[[#This Row],[Ice Cream Profits (USD)]]+(1-$K$2)*F137</f>
        <v>4909.6131668222406</v>
      </c>
      <c r="E137" s="6">
        <f t="shared" si="6"/>
        <v>51.696777185557025</v>
      </c>
      <c r="F137" s="6">
        <f t="shared" si="7"/>
        <v>4766.204487777849</v>
      </c>
      <c r="G137" s="6">
        <f>Linear_Regression56[[#This Row],[Ice Cream Profits (USD)]]-H136</f>
        <v>193.79551222215105</v>
      </c>
      <c r="H137" s="6">
        <f t="shared" si="8"/>
        <v>4961.3099440077976</v>
      </c>
    </row>
    <row r="138" spans="1:8" x14ac:dyDescent="0.3">
      <c r="A138">
        <v>68</v>
      </c>
      <c r="B138">
        <v>4168</v>
      </c>
      <c r="D138" s="6">
        <f>$K$2*Linear_Regression56[[#This Row],[Ice Cream Profits (USD)]]+(1-$K$2)*F138</f>
        <v>4374.2605854420271</v>
      </c>
      <c r="E138" s="6">
        <f t="shared" si="6"/>
        <v>-370.77475682542541</v>
      </c>
      <c r="F138" s="6">
        <f t="shared" si="7"/>
        <v>4961.3099440077976</v>
      </c>
      <c r="G138" s="6">
        <f>Linear_Regression56[[#This Row],[Ice Cream Profits (USD)]]-H137</f>
        <v>-793.30994400779764</v>
      </c>
      <c r="H138" s="6">
        <f t="shared" si="8"/>
        <v>4003.4858286166018</v>
      </c>
    </row>
    <row r="139" spans="1:8" x14ac:dyDescent="0.3">
      <c r="A139">
        <v>68</v>
      </c>
      <c r="B139">
        <v>4690</v>
      </c>
      <c r="D139" s="6">
        <f>$K$2*Linear_Regression56[[#This Row],[Ice Cream Profits (USD)]]+(1-$K$2)*F139</f>
        <v>4511.506315440316</v>
      </c>
      <c r="E139" s="6">
        <f t="shared" si="6"/>
        <v>-5.1765473294259294</v>
      </c>
      <c r="F139" s="6">
        <f t="shared" si="7"/>
        <v>4003.4858286166018</v>
      </c>
      <c r="G139" s="6">
        <f>Linear_Regression56[[#This Row],[Ice Cream Profits (USD)]]-H138</f>
        <v>686.51417138339821</v>
      </c>
      <c r="H139" s="6">
        <f t="shared" si="8"/>
        <v>4506.3297681108897</v>
      </c>
    </row>
    <row r="140" spans="1:8" x14ac:dyDescent="0.3">
      <c r="A140">
        <v>68</v>
      </c>
      <c r="B140">
        <v>4735</v>
      </c>
      <c r="D140" s="6">
        <f>$K$2*Linear_Regression56[[#This Row],[Ice Cream Profits (USD)]]+(1-$K$2)*F140</f>
        <v>4675.5457397088312</v>
      </c>
      <c r="E140" s="6">
        <f t="shared" si="6"/>
        <v>116.60014837261308</v>
      </c>
      <c r="F140" s="6">
        <f t="shared" si="7"/>
        <v>4506.3297681108897</v>
      </c>
      <c r="G140" s="6">
        <f>Linear_Regression56[[#This Row],[Ice Cream Profits (USD)]]-H139</f>
        <v>228.67023188911025</v>
      </c>
      <c r="H140" s="6">
        <f t="shared" si="8"/>
        <v>4792.1458880814444</v>
      </c>
    </row>
    <row r="141" spans="1:8" x14ac:dyDescent="0.3">
      <c r="A141">
        <v>68</v>
      </c>
      <c r="B141">
        <v>4773</v>
      </c>
      <c r="D141" s="6">
        <f>$K$2*Linear_Regression56[[#This Row],[Ice Cream Profits (USD)]]+(1-$K$2)*F141</f>
        <v>4777.9779309011756</v>
      </c>
      <c r="E141" s="6">
        <f t="shared" si="6"/>
        <v>106.40414267664664</v>
      </c>
      <c r="F141" s="6">
        <f t="shared" si="7"/>
        <v>4792.1458880814444</v>
      </c>
      <c r="G141" s="6">
        <f>Linear_Regression56[[#This Row],[Ice Cream Profits (USD)]]-H140</f>
        <v>-19.145888081444355</v>
      </c>
      <c r="H141" s="6">
        <f t="shared" si="8"/>
        <v>4884.3820735778227</v>
      </c>
    </row>
    <row r="142" spans="1:8" x14ac:dyDescent="0.3">
      <c r="A142">
        <v>68</v>
      </c>
      <c r="B142">
        <v>4373</v>
      </c>
      <c r="D142" s="6">
        <f>$K$2*Linear_Regression56[[#This Row],[Ice Cream Profits (USD)]]+(1-$K$2)*F142</f>
        <v>4505.9593391302333</v>
      </c>
      <c r="E142" s="6">
        <f t="shared" si="6"/>
        <v>-165.92872132186173</v>
      </c>
      <c r="F142" s="6">
        <f t="shared" si="7"/>
        <v>4884.3820735778227</v>
      </c>
      <c r="G142" s="6">
        <f>Linear_Regression56[[#This Row],[Ice Cream Profits (USD)]]-H141</f>
        <v>-511.38207357782267</v>
      </c>
      <c r="H142" s="6">
        <f t="shared" si="8"/>
        <v>4340.030617808372</v>
      </c>
    </row>
    <row r="143" spans="1:8" x14ac:dyDescent="0.3">
      <c r="A143">
        <v>68</v>
      </c>
      <c r="B143">
        <v>4747</v>
      </c>
      <c r="D143" s="6">
        <f>$K$2*Linear_Regression56[[#This Row],[Ice Cream Profits (USD)]]+(1-$K$2)*F143</f>
        <v>4641.1879606301773</v>
      </c>
      <c r="E143" s="6">
        <f t="shared" si="6"/>
        <v>50.7999110225091</v>
      </c>
      <c r="F143" s="6">
        <f t="shared" si="7"/>
        <v>4340.030617808372</v>
      </c>
      <c r="G143" s="6">
        <f>Linear_Regression56[[#This Row],[Ice Cream Profits (USD)]]-H142</f>
        <v>406.96938219162803</v>
      </c>
      <c r="H143" s="6">
        <f t="shared" si="8"/>
        <v>4691.9878716526864</v>
      </c>
    </row>
    <row r="144" spans="1:8" x14ac:dyDescent="0.3">
      <c r="A144">
        <v>69</v>
      </c>
      <c r="B144">
        <v>5138</v>
      </c>
      <c r="D144" s="6">
        <f>$K$2*Linear_Regression56[[#This Row],[Ice Cream Profits (USD)]]+(1-$K$2)*F144</f>
        <v>5022.0368466296986</v>
      </c>
      <c r="E144" s="6">
        <f t="shared" si="6"/>
        <v>288.32047845477706</v>
      </c>
      <c r="F144" s="6">
        <f t="shared" si="7"/>
        <v>4691.9878716526864</v>
      </c>
      <c r="G144" s="6">
        <f>Linear_Regression56[[#This Row],[Ice Cream Profits (USD)]]-H143</f>
        <v>446.01212834731359</v>
      </c>
      <c r="H144" s="6">
        <f t="shared" si="8"/>
        <v>5310.3573250844756</v>
      </c>
    </row>
    <row r="145" spans="1:8" x14ac:dyDescent="0.3">
      <c r="A145">
        <v>69</v>
      </c>
      <c r="B145">
        <v>4174</v>
      </c>
      <c r="D145" s="6">
        <f>$K$2*Linear_Regression56[[#This Row],[Ice Cream Profits (USD)]]+(1-$K$2)*F145</f>
        <v>4469.4529045219633</v>
      </c>
      <c r="E145" s="6">
        <f t="shared" si="6"/>
        <v>-316.83848361205457</v>
      </c>
      <c r="F145" s="6">
        <f t="shared" si="7"/>
        <v>5310.3573250844756</v>
      </c>
      <c r="G145" s="6">
        <f>Linear_Regression56[[#This Row],[Ice Cream Profits (USD)]]-H144</f>
        <v>-1136.3573250844756</v>
      </c>
      <c r="H145" s="6">
        <f t="shared" si="8"/>
        <v>4152.6144209099084</v>
      </c>
    </row>
    <row r="146" spans="1:8" x14ac:dyDescent="0.3">
      <c r="A146">
        <v>69</v>
      </c>
      <c r="B146">
        <v>4988</v>
      </c>
      <c r="D146" s="6">
        <f>$K$2*Linear_Regression56[[#This Row],[Ice Cream Profits (USD)]]+(1-$K$2)*F146</f>
        <v>4770.7997494365763</v>
      </c>
      <c r="E146" s="6">
        <f t="shared" si="6"/>
        <v>128.04012878231453</v>
      </c>
      <c r="F146" s="6">
        <f t="shared" si="7"/>
        <v>4152.6144209099084</v>
      </c>
      <c r="G146" s="6">
        <f>Linear_Regression56[[#This Row],[Ice Cream Profits (USD)]]-H145</f>
        <v>835.3855790900916</v>
      </c>
      <c r="H146" s="6">
        <f t="shared" si="8"/>
        <v>4898.8398782188906</v>
      </c>
    </row>
    <row r="147" spans="1:8" x14ac:dyDescent="0.3">
      <c r="A147">
        <v>69</v>
      </c>
      <c r="B147">
        <v>4778</v>
      </c>
      <c r="D147" s="6">
        <f>$K$2*Linear_Regression56[[#This Row],[Ice Cream Profits (USD)]]+(1-$K$2)*F147</f>
        <v>4809.418368336912</v>
      </c>
      <c r="E147" s="6">
        <f t="shared" si="6"/>
        <v>63.687716328080711</v>
      </c>
      <c r="F147" s="6">
        <f t="shared" si="7"/>
        <v>4898.8398782188906</v>
      </c>
      <c r="G147" s="6">
        <f>Linear_Regression56[[#This Row],[Ice Cream Profits (USD)]]-H146</f>
        <v>-120.83987821889059</v>
      </c>
      <c r="H147" s="6">
        <f t="shared" si="8"/>
        <v>4873.1060846649925</v>
      </c>
    </row>
    <row r="148" spans="1:8" x14ac:dyDescent="0.3">
      <c r="A148">
        <v>69</v>
      </c>
      <c r="B148">
        <v>4250</v>
      </c>
      <c r="D148" s="6">
        <f>$K$2*Linear_Regression56[[#This Row],[Ice Cream Profits (USD)]]+(1-$K$2)*F148</f>
        <v>4412.0075820128977</v>
      </c>
      <c r="E148" s="6">
        <f t="shared" si="6"/>
        <v>-268.14297031387213</v>
      </c>
      <c r="F148" s="6">
        <f t="shared" si="7"/>
        <v>4873.1060846649925</v>
      </c>
      <c r="G148" s="6">
        <f>Linear_Regression56[[#This Row],[Ice Cream Profits (USD)]]-H147</f>
        <v>-623.10608466499252</v>
      </c>
      <c r="H148" s="6">
        <f t="shared" si="8"/>
        <v>4143.8646116990258</v>
      </c>
    </row>
    <row r="149" spans="1:8" x14ac:dyDescent="0.3">
      <c r="A149">
        <v>69</v>
      </c>
      <c r="B149">
        <v>4877</v>
      </c>
      <c r="D149" s="6">
        <f>$K$2*Linear_Regression56[[#This Row],[Ice Cream Profits (USD)]]+(1-$K$2)*F149</f>
        <v>4686.3847990417471</v>
      </c>
      <c r="E149" s="6">
        <f t="shared" si="6"/>
        <v>122.28303464517535</v>
      </c>
      <c r="F149" s="6">
        <f t="shared" si="7"/>
        <v>4143.8646116990258</v>
      </c>
      <c r="G149" s="6">
        <f>Linear_Regression56[[#This Row],[Ice Cream Profits (USD)]]-H148</f>
        <v>733.13538830097423</v>
      </c>
      <c r="H149" s="6">
        <f t="shared" si="8"/>
        <v>4808.6678336869227</v>
      </c>
    </row>
    <row r="150" spans="1:8" x14ac:dyDescent="0.3">
      <c r="A150">
        <v>70</v>
      </c>
      <c r="B150">
        <v>4946</v>
      </c>
      <c r="D150" s="6">
        <f>$K$2*Linear_Regression56[[#This Row],[Ice Cream Profits (USD)]]+(1-$K$2)*F150</f>
        <v>4910.2936367585999</v>
      </c>
      <c r="E150" s="6">
        <f t="shared" si="6"/>
        <v>195.41829711046842</v>
      </c>
      <c r="F150" s="6">
        <f t="shared" si="7"/>
        <v>4808.6678336869227</v>
      </c>
      <c r="G150" s="6">
        <f>Linear_Regression56[[#This Row],[Ice Cream Profits (USD)]]-H149</f>
        <v>137.33216631307732</v>
      </c>
      <c r="H150" s="6">
        <f t="shared" si="8"/>
        <v>5105.7119338690682</v>
      </c>
    </row>
    <row r="151" spans="1:8" x14ac:dyDescent="0.3">
      <c r="A151">
        <v>70</v>
      </c>
      <c r="B151">
        <v>5087</v>
      </c>
      <c r="D151" s="6">
        <f>$K$2*Linear_Regression56[[#This Row],[Ice Cream Profits (USD)]]+(1-$K$2)*F151</f>
        <v>5091.8651028059576</v>
      </c>
      <c r="E151" s="6">
        <f t="shared" si="6"/>
        <v>185.45339062506613</v>
      </c>
      <c r="F151" s="6">
        <f t="shared" si="7"/>
        <v>5105.7119338690682</v>
      </c>
      <c r="G151" s="6">
        <f>Linear_Regression56[[#This Row],[Ice Cream Profits (USD)]]-H150</f>
        <v>-18.711933869068162</v>
      </c>
      <c r="H151" s="6">
        <f t="shared" si="8"/>
        <v>5277.3184934310239</v>
      </c>
    </row>
    <row r="152" spans="1:8" x14ac:dyDescent="0.3">
      <c r="A152">
        <v>70</v>
      </c>
      <c r="B152">
        <v>4912</v>
      </c>
      <c r="D152" s="6">
        <f>$K$2*Linear_Regression56[[#This Row],[Ice Cream Profits (USD)]]+(1-$K$2)*F152</f>
        <v>5006.9828082920667</v>
      </c>
      <c r="E152" s="6">
        <f t="shared" si="6"/>
        <v>-9.094358950184656</v>
      </c>
      <c r="F152" s="6">
        <f t="shared" si="7"/>
        <v>5277.3184934310239</v>
      </c>
      <c r="G152" s="6">
        <f>Linear_Regression56[[#This Row],[Ice Cream Profits (USD)]]-H151</f>
        <v>-365.31849343102385</v>
      </c>
      <c r="H152" s="6">
        <f t="shared" si="8"/>
        <v>4997.8884493418818</v>
      </c>
    </row>
    <row r="153" spans="1:8" x14ac:dyDescent="0.3">
      <c r="A153">
        <v>70</v>
      </c>
      <c r="B153">
        <v>4995</v>
      </c>
      <c r="D153" s="6">
        <f>$K$2*Linear_Regression56[[#This Row],[Ice Cream Profits (USD)]]+(1-$K$2)*F153</f>
        <v>4995.7509968288896</v>
      </c>
      <c r="E153" s="6">
        <f t="shared" si="6"/>
        <v>-10.632581978390863</v>
      </c>
      <c r="F153" s="6">
        <f t="shared" si="7"/>
        <v>4997.8884493418818</v>
      </c>
      <c r="G153" s="6">
        <f>Linear_Regression56[[#This Row],[Ice Cream Profits (USD)]]-H152</f>
        <v>-2.8884493418818238</v>
      </c>
      <c r="H153" s="6">
        <f t="shared" si="8"/>
        <v>4985.118414850499</v>
      </c>
    </row>
    <row r="154" spans="1:8" x14ac:dyDescent="0.3">
      <c r="A154">
        <v>70</v>
      </c>
      <c r="B154">
        <v>5031</v>
      </c>
      <c r="D154" s="6">
        <f>$K$2*Linear_Regression56[[#This Row],[Ice Cream Profits (USD)]]+(1-$K$2)*F154</f>
        <v>5019.0707878611302</v>
      </c>
      <c r="E154" s="6">
        <f t="shared" si="6"/>
        <v>13.801327879135219</v>
      </c>
      <c r="F154" s="6">
        <f t="shared" si="7"/>
        <v>4985.118414850499</v>
      </c>
      <c r="G154" s="6">
        <f>Linear_Regression56[[#This Row],[Ice Cream Profits (USD)]]-H153</f>
        <v>45.881585149501007</v>
      </c>
      <c r="H154" s="6">
        <f t="shared" si="8"/>
        <v>5032.8721157402651</v>
      </c>
    </row>
    <row r="155" spans="1:8" x14ac:dyDescent="0.3">
      <c r="A155">
        <v>70</v>
      </c>
      <c r="B155">
        <v>4932</v>
      </c>
      <c r="D155" s="6">
        <f>$K$2*Linear_Regression56[[#This Row],[Ice Cream Profits (USD)]]+(1-$K$2)*F155</f>
        <v>4958.226750092469</v>
      </c>
      <c r="E155" s="6">
        <f t="shared" si="6"/>
        <v>-39.917395549981862</v>
      </c>
      <c r="F155" s="6">
        <f t="shared" si="7"/>
        <v>5032.8721157402651</v>
      </c>
      <c r="G155" s="6">
        <f>Linear_Regression56[[#This Row],[Ice Cream Profits (USD)]]-H154</f>
        <v>-100.87211574026514</v>
      </c>
      <c r="H155" s="6">
        <f t="shared" si="8"/>
        <v>4918.3093545424872</v>
      </c>
    </row>
    <row r="156" spans="1:8" x14ac:dyDescent="0.3">
      <c r="A156">
        <v>70</v>
      </c>
      <c r="B156">
        <v>5267</v>
      </c>
      <c r="D156" s="6">
        <f>$K$2*Linear_Regression56[[#This Row],[Ice Cream Profits (USD)]]+(1-$K$2)*F156</f>
        <v>5176.3404321810467</v>
      </c>
      <c r="E156" s="6">
        <f t="shared" si="6"/>
        <v>145.77531257049904</v>
      </c>
      <c r="F156" s="6">
        <f t="shared" si="7"/>
        <v>4918.3093545424872</v>
      </c>
      <c r="G156" s="6">
        <f>Linear_Regression56[[#This Row],[Ice Cream Profits (USD)]]-H155</f>
        <v>348.6906454575128</v>
      </c>
      <c r="H156" s="6">
        <f t="shared" si="8"/>
        <v>5322.1157447515461</v>
      </c>
    </row>
    <row r="157" spans="1:8" x14ac:dyDescent="0.3">
      <c r="A157">
        <v>70</v>
      </c>
      <c r="B157">
        <v>5205</v>
      </c>
      <c r="D157" s="6">
        <f>$K$2*Linear_Regression56[[#This Row],[Ice Cream Profits (USD)]]+(1-$K$2)*F157</f>
        <v>5235.4500936354025</v>
      </c>
      <c r="E157" s="6">
        <f t="shared" si="6"/>
        <v>83.406160745600815</v>
      </c>
      <c r="F157" s="6">
        <f t="shared" si="7"/>
        <v>5322.1157447515461</v>
      </c>
      <c r="G157" s="6">
        <f>Linear_Regression56[[#This Row],[Ice Cream Profits (USD)]]-H156</f>
        <v>-117.11574475154612</v>
      </c>
      <c r="H157" s="6">
        <f t="shared" si="8"/>
        <v>5318.8562543810031</v>
      </c>
    </row>
    <row r="158" spans="1:8" x14ac:dyDescent="0.3">
      <c r="A158">
        <v>70</v>
      </c>
      <c r="B158">
        <v>4882</v>
      </c>
      <c r="D158" s="6">
        <f>$K$2*Linear_Regression56[[#This Row],[Ice Cream Profits (USD)]]+(1-$K$2)*F158</f>
        <v>4995.5826261390603</v>
      </c>
      <c r="E158" s="6">
        <f t="shared" si="6"/>
        <v>-149.23851152239314</v>
      </c>
      <c r="F158" s="6">
        <f t="shared" si="7"/>
        <v>5318.8562543810031</v>
      </c>
      <c r="G158" s="6">
        <f>Linear_Regression56[[#This Row],[Ice Cream Profits (USD)]]-H157</f>
        <v>-436.85625438100305</v>
      </c>
      <c r="H158" s="6">
        <f t="shared" si="8"/>
        <v>4846.344114616667</v>
      </c>
    </row>
    <row r="159" spans="1:8" x14ac:dyDescent="0.3">
      <c r="A159">
        <v>71</v>
      </c>
      <c r="B159">
        <v>5333</v>
      </c>
      <c r="D159" s="6">
        <f>$K$2*Linear_Regression56[[#This Row],[Ice Cream Profits (USD)]]+(1-$K$2)*F159</f>
        <v>5206.4694698003332</v>
      </c>
      <c r="E159" s="6">
        <f t="shared" si="6"/>
        <v>109.92659788577581</v>
      </c>
      <c r="F159" s="6">
        <f t="shared" si="7"/>
        <v>4846.344114616667</v>
      </c>
      <c r="G159" s="6">
        <f>Linear_Regression56[[#This Row],[Ice Cream Profits (USD)]]-H158</f>
        <v>486.65588538333304</v>
      </c>
      <c r="H159" s="6">
        <f t="shared" si="8"/>
        <v>5316.3960676861088</v>
      </c>
    </row>
    <row r="160" spans="1:8" x14ac:dyDescent="0.3">
      <c r="A160">
        <v>71</v>
      </c>
      <c r="B160">
        <v>5459</v>
      </c>
      <c r="D160" s="6">
        <f>$K$2*Linear_Regression56[[#This Row],[Ice Cream Profits (USD)]]+(1-$K$2)*F160</f>
        <v>5421.9229775983886</v>
      </c>
      <c r="E160" s="6">
        <f t="shared" si="6"/>
        <v>185.8693016117432</v>
      </c>
      <c r="F160" s="6">
        <f t="shared" si="7"/>
        <v>5316.3960676861088</v>
      </c>
      <c r="G160" s="6">
        <f>Linear_Regression56[[#This Row],[Ice Cream Profits (USD)]]-H159</f>
        <v>142.60393231389116</v>
      </c>
      <c r="H160" s="6">
        <f t="shared" si="8"/>
        <v>5607.7922792101317</v>
      </c>
    </row>
    <row r="161" spans="1:8" x14ac:dyDescent="0.3">
      <c r="A161">
        <v>71</v>
      </c>
      <c r="B161">
        <v>5377</v>
      </c>
      <c r="D161" s="6">
        <f>$K$2*Linear_Regression56[[#This Row],[Ice Cream Profits (USD)]]+(1-$K$2)*F161</f>
        <v>5437.0059925946343</v>
      </c>
      <c r="E161" s="6">
        <f t="shared" si="6"/>
        <v>62.96252479358084</v>
      </c>
      <c r="F161" s="6">
        <f t="shared" si="7"/>
        <v>5607.7922792101317</v>
      </c>
      <c r="G161" s="6">
        <f>Linear_Regression56[[#This Row],[Ice Cream Profits (USD)]]-H160</f>
        <v>-230.79227921013171</v>
      </c>
      <c r="H161" s="6">
        <f t="shared" si="8"/>
        <v>5499.9685173882153</v>
      </c>
    </row>
    <row r="162" spans="1:8" x14ac:dyDescent="0.3">
      <c r="A162">
        <v>71</v>
      </c>
      <c r="B162">
        <v>4960</v>
      </c>
      <c r="D162" s="6">
        <f>$K$2*Linear_Regression56[[#This Row],[Ice Cream Profits (USD)]]+(1-$K$2)*F162</f>
        <v>5100.3918145209354</v>
      </c>
      <c r="E162" s="6">
        <f t="shared" si="6"/>
        <v>-224.5938453007704</v>
      </c>
      <c r="F162" s="6">
        <f t="shared" si="7"/>
        <v>5499.9685173882153</v>
      </c>
      <c r="G162" s="6">
        <f>Linear_Regression56[[#This Row],[Ice Cream Profits (USD)]]-H161</f>
        <v>-539.96851738821533</v>
      </c>
      <c r="H162" s="6">
        <f t="shared" si="8"/>
        <v>4875.7979692201652</v>
      </c>
    </row>
    <row r="163" spans="1:8" x14ac:dyDescent="0.3">
      <c r="A163">
        <v>71</v>
      </c>
      <c r="B163">
        <v>5217</v>
      </c>
      <c r="D163" s="6">
        <f>$K$2*Linear_Regression56[[#This Row],[Ice Cream Profits (USD)]]+(1-$K$2)*F163</f>
        <v>5128.2874719972424</v>
      </c>
      <c r="E163" s="6">
        <f t="shared" si="6"/>
        <v>-42.889145340773297</v>
      </c>
      <c r="F163" s="6">
        <f t="shared" si="7"/>
        <v>4875.7979692201652</v>
      </c>
      <c r="G163" s="6">
        <f>Linear_Regression56[[#This Row],[Ice Cream Profits (USD)]]-H162</f>
        <v>341.20203077983479</v>
      </c>
      <c r="H163" s="6">
        <f t="shared" si="8"/>
        <v>5085.3983266564692</v>
      </c>
    </row>
    <row r="164" spans="1:8" x14ac:dyDescent="0.3">
      <c r="A164">
        <v>71</v>
      </c>
      <c r="B164">
        <v>4674</v>
      </c>
      <c r="D164" s="6">
        <f>$K$2*Linear_Regression56[[#This Row],[Ice Cream Profits (USD)]]+(1-$K$2)*F164</f>
        <v>4780.963564930682</v>
      </c>
      <c r="E164" s="6">
        <f t="shared" si="6"/>
        <v>-261.97638036779483</v>
      </c>
      <c r="F164" s="6">
        <f t="shared" si="7"/>
        <v>5085.3983266564692</v>
      </c>
      <c r="G164" s="6">
        <f>Linear_Regression56[[#This Row],[Ice Cream Profits (USD)]]-H163</f>
        <v>-411.39832665646918</v>
      </c>
      <c r="H164" s="6">
        <f t="shared" si="8"/>
        <v>4518.9871845628868</v>
      </c>
    </row>
    <row r="165" spans="1:8" x14ac:dyDescent="0.3">
      <c r="A165">
        <v>71</v>
      </c>
      <c r="B165">
        <v>5304</v>
      </c>
      <c r="D165" s="6">
        <f>$K$2*Linear_Regression56[[#This Row],[Ice Cream Profits (USD)]]+(1-$K$2)*F165</f>
        <v>5099.8966679863506</v>
      </c>
      <c r="E165" s="6">
        <f t="shared" si="6"/>
        <v>156.07657719444813</v>
      </c>
      <c r="F165" s="6">
        <f t="shared" si="7"/>
        <v>4518.9871845628868</v>
      </c>
      <c r="G165" s="6">
        <f>Linear_Regression56[[#This Row],[Ice Cream Profits (USD)]]-H164</f>
        <v>785.0128154371132</v>
      </c>
      <c r="H165" s="6">
        <f t="shared" si="8"/>
        <v>5255.9732451807986</v>
      </c>
    </row>
    <row r="166" spans="1:8" x14ac:dyDescent="0.3">
      <c r="A166">
        <v>71</v>
      </c>
      <c r="B166">
        <v>4934</v>
      </c>
      <c r="D166" s="6">
        <f>$K$2*Linear_Regression56[[#This Row],[Ice Cream Profits (USD)]]+(1-$K$2)*F166</f>
        <v>5017.7130437470078</v>
      </c>
      <c r="E166" s="6">
        <f t="shared" si="6"/>
        <v>-15.387970589777161</v>
      </c>
      <c r="F166" s="6">
        <f t="shared" si="7"/>
        <v>5255.9732451807986</v>
      </c>
      <c r="G166" s="6">
        <f>Linear_Regression56[[#This Row],[Ice Cream Profits (USD)]]-H165</f>
        <v>-321.97324518079859</v>
      </c>
      <c r="H166" s="6">
        <f t="shared" si="8"/>
        <v>5002.3250731572307</v>
      </c>
    </row>
    <row r="167" spans="1:8" x14ac:dyDescent="0.3">
      <c r="A167">
        <v>71</v>
      </c>
      <c r="B167">
        <v>5504</v>
      </c>
      <c r="D167" s="6">
        <f>$K$2*Linear_Regression56[[#This Row],[Ice Cream Profits (USD)]]+(1-$K$2)*F167</f>
        <v>5373.5645190208797</v>
      </c>
      <c r="E167" s="6">
        <f t="shared" si="6"/>
        <v>251.77542187619289</v>
      </c>
      <c r="F167" s="6">
        <f t="shared" si="7"/>
        <v>5002.3250731572307</v>
      </c>
      <c r="G167" s="6">
        <f>Linear_Regression56[[#This Row],[Ice Cream Profits (USD)]]-H166</f>
        <v>501.67492684276931</v>
      </c>
      <c r="H167" s="6">
        <f t="shared" si="8"/>
        <v>5625.3399408970727</v>
      </c>
    </row>
    <row r="168" spans="1:8" x14ac:dyDescent="0.3">
      <c r="A168">
        <v>72</v>
      </c>
      <c r="B168">
        <v>5718</v>
      </c>
      <c r="D168" s="6">
        <f>$K$2*Linear_Regression56[[#This Row],[Ice Cream Profits (USD)]]+(1-$K$2)*F168</f>
        <v>5693.9083846332387</v>
      </c>
      <c r="E168" s="6">
        <f t="shared" si="6"/>
        <v>301.12087330592709</v>
      </c>
      <c r="F168" s="6">
        <f t="shared" si="7"/>
        <v>5625.3399408970727</v>
      </c>
      <c r="G168" s="6">
        <f>Linear_Regression56[[#This Row],[Ice Cream Profits (USD)]]-H167</f>
        <v>92.660059102927335</v>
      </c>
      <c r="H168" s="6">
        <f t="shared" si="8"/>
        <v>5995.0292579391662</v>
      </c>
    </row>
    <row r="169" spans="1:8" x14ac:dyDescent="0.3">
      <c r="A169">
        <v>72</v>
      </c>
      <c r="B169">
        <v>5126</v>
      </c>
      <c r="D169" s="6">
        <f>$K$2*Linear_Regression56[[#This Row],[Ice Cream Profits (USD)]]+(1-$K$2)*F169</f>
        <v>5351.9476070641831</v>
      </c>
      <c r="E169" s="6">
        <f t="shared" si="6"/>
        <v>-161.67443951619009</v>
      </c>
      <c r="F169" s="6">
        <f t="shared" si="7"/>
        <v>5995.0292579391662</v>
      </c>
      <c r="G169" s="6">
        <f>Linear_Regression56[[#This Row],[Ice Cream Profits (USD)]]-H168</f>
        <v>-869.0292579391662</v>
      </c>
      <c r="H169" s="6">
        <f t="shared" si="8"/>
        <v>5190.2731675479927</v>
      </c>
    </row>
    <row r="170" spans="1:8" x14ac:dyDescent="0.3">
      <c r="A170">
        <v>72</v>
      </c>
      <c r="B170">
        <v>5378</v>
      </c>
      <c r="D170" s="6">
        <f>$K$2*Linear_Regression56[[#This Row],[Ice Cream Profits (USD)]]+(1-$K$2)*F170</f>
        <v>5329.1910235624782</v>
      </c>
      <c r="E170" s="6">
        <f t="shared" si="6"/>
        <v>-61.701858206604847</v>
      </c>
      <c r="F170" s="6">
        <f t="shared" si="7"/>
        <v>5190.2731675479927</v>
      </c>
      <c r="G170" s="6">
        <f>Linear_Regression56[[#This Row],[Ice Cream Profits (USD)]]-H169</f>
        <v>187.72683245200733</v>
      </c>
      <c r="H170" s="6">
        <f t="shared" si="8"/>
        <v>5267.4891653558734</v>
      </c>
    </row>
    <row r="171" spans="1:8" x14ac:dyDescent="0.3">
      <c r="A171">
        <v>72</v>
      </c>
      <c r="B171">
        <v>5155</v>
      </c>
      <c r="D171" s="6">
        <f>$K$2*Linear_Regression56[[#This Row],[Ice Cream Profits (USD)]]+(1-$K$2)*F171</f>
        <v>5184.2471829925271</v>
      </c>
      <c r="E171" s="6">
        <f t="shared" si="6"/>
        <v>-121.60715828064973</v>
      </c>
      <c r="F171" s="6">
        <f t="shared" si="7"/>
        <v>5267.4891653558734</v>
      </c>
      <c r="G171" s="6">
        <f>Linear_Regression56[[#This Row],[Ice Cream Profits (USD)]]-H170</f>
        <v>-112.48916535587341</v>
      </c>
      <c r="H171" s="6">
        <f t="shared" si="8"/>
        <v>5062.6400247118772</v>
      </c>
    </row>
    <row r="172" spans="1:8" x14ac:dyDescent="0.3">
      <c r="A172">
        <v>72</v>
      </c>
      <c r="B172">
        <v>5001</v>
      </c>
      <c r="D172" s="6">
        <f>$K$2*Linear_Regression56[[#This Row],[Ice Cream Profits (USD)]]+(1-$K$2)*F172</f>
        <v>5017.0264064250878</v>
      </c>
      <c r="E172" s="6">
        <f t="shared" si="6"/>
        <v>-154.43311236480264</v>
      </c>
      <c r="F172" s="6">
        <f t="shared" si="7"/>
        <v>5062.6400247118772</v>
      </c>
      <c r="G172" s="6">
        <f>Linear_Regression56[[#This Row],[Ice Cream Profits (USD)]]-H171</f>
        <v>-61.640024711877231</v>
      </c>
      <c r="H172" s="6">
        <f t="shared" si="8"/>
        <v>4862.5932940602852</v>
      </c>
    </row>
    <row r="173" spans="1:8" x14ac:dyDescent="0.3">
      <c r="A173">
        <v>72</v>
      </c>
      <c r="B173">
        <v>5359</v>
      </c>
      <c r="D173" s="6">
        <f>$K$2*Linear_Regression56[[#This Row],[Ice Cream Profits (USD)]]+(1-$K$2)*F173</f>
        <v>5229.9342564556746</v>
      </c>
      <c r="E173" s="6">
        <f t="shared" si="6"/>
        <v>109.92472675693767</v>
      </c>
      <c r="F173" s="6">
        <f t="shared" si="7"/>
        <v>4862.5932940602852</v>
      </c>
      <c r="G173" s="6">
        <f>Linear_Regression56[[#This Row],[Ice Cream Profits (USD)]]-H172</f>
        <v>496.40670593971481</v>
      </c>
      <c r="H173" s="6">
        <f t="shared" si="8"/>
        <v>5339.8589832126127</v>
      </c>
    </row>
    <row r="174" spans="1:8" x14ac:dyDescent="0.3">
      <c r="A174">
        <v>72</v>
      </c>
      <c r="B174">
        <v>5247</v>
      </c>
      <c r="D174" s="6">
        <f>$K$2*Linear_Regression56[[#This Row],[Ice Cream Profits (USD)]]+(1-$K$2)*F174</f>
        <v>5271.1433356352791</v>
      </c>
      <c r="E174" s="6">
        <f t="shared" si="6"/>
        <v>60.473339716027454</v>
      </c>
      <c r="F174" s="6">
        <f t="shared" si="7"/>
        <v>5339.8589832126127</v>
      </c>
      <c r="G174" s="6">
        <f>Linear_Regression56[[#This Row],[Ice Cream Profits (USD)]]-H173</f>
        <v>-92.858983212612657</v>
      </c>
      <c r="H174" s="6">
        <f t="shared" si="8"/>
        <v>5331.6166753513062</v>
      </c>
    </row>
    <row r="175" spans="1:8" x14ac:dyDescent="0.3">
      <c r="A175">
        <v>72</v>
      </c>
      <c r="B175">
        <v>4896</v>
      </c>
      <c r="D175" s="6">
        <f>$K$2*Linear_Regression56[[#This Row],[Ice Cream Profits (USD)]]+(1-$K$2)*F175</f>
        <v>5009.2603355913398</v>
      </c>
      <c r="E175" s="6">
        <f t="shared" si="6"/>
        <v>-171.51120360972917</v>
      </c>
      <c r="F175" s="6">
        <f t="shared" si="7"/>
        <v>5331.6166753513062</v>
      </c>
      <c r="G175" s="6">
        <f>Linear_Regression56[[#This Row],[Ice Cream Profits (USD)]]-H174</f>
        <v>-435.61667535130618</v>
      </c>
      <c r="H175" s="6">
        <f t="shared" si="8"/>
        <v>4837.7491319816108</v>
      </c>
    </row>
    <row r="176" spans="1:8" x14ac:dyDescent="0.3">
      <c r="A176">
        <v>72</v>
      </c>
      <c r="B176">
        <v>5357</v>
      </c>
      <c r="D176" s="6">
        <f>$K$2*Linear_Regression56[[#This Row],[Ice Cream Profits (USD)]]+(1-$K$2)*F176</f>
        <v>5221.9947743152188</v>
      </c>
      <c r="E176" s="6">
        <f t="shared" si="6"/>
        <v>105.01213056154512</v>
      </c>
      <c r="F176" s="6">
        <f t="shared" si="7"/>
        <v>4837.7491319816108</v>
      </c>
      <c r="G176" s="6">
        <f>Linear_Regression56[[#This Row],[Ice Cream Profits (USD)]]-H175</f>
        <v>519.25086801838916</v>
      </c>
      <c r="H176" s="6">
        <f t="shared" si="8"/>
        <v>5327.0069048767637</v>
      </c>
    </row>
    <row r="177" spans="1:8" x14ac:dyDescent="0.3">
      <c r="A177">
        <v>72</v>
      </c>
      <c r="B177">
        <v>5079</v>
      </c>
      <c r="D177" s="6">
        <f>$K$2*Linear_Regression56[[#This Row],[Ice Cream Profits (USD)]]+(1-$K$2)*F177</f>
        <v>5143.4817952679587</v>
      </c>
      <c r="E177" s="6">
        <f t="shared" si="6"/>
        <v>-27.062171973067173</v>
      </c>
      <c r="F177" s="6">
        <f t="shared" si="7"/>
        <v>5327.0069048767637</v>
      </c>
      <c r="G177" s="6">
        <f>Linear_Regression56[[#This Row],[Ice Cream Profits (USD)]]-H176</f>
        <v>-248.00690487676366</v>
      </c>
      <c r="H177" s="6">
        <f t="shared" si="8"/>
        <v>5116.4196232948916</v>
      </c>
    </row>
    <row r="178" spans="1:8" x14ac:dyDescent="0.3">
      <c r="A178">
        <v>73</v>
      </c>
      <c r="B178">
        <v>5213</v>
      </c>
      <c r="D178" s="6">
        <f>$K$2*Linear_Regression56[[#This Row],[Ice Cream Profits (USD)]]+(1-$K$2)*F178</f>
        <v>5187.8891020566716</v>
      </c>
      <c r="E178" s="6">
        <f t="shared" si="6"/>
        <v>24.371016543178854</v>
      </c>
      <c r="F178" s="6">
        <f t="shared" si="7"/>
        <v>5116.4196232948916</v>
      </c>
      <c r="G178" s="6">
        <f>Linear_Regression56[[#This Row],[Ice Cream Profits (USD)]]-H177</f>
        <v>96.580376705108392</v>
      </c>
      <c r="H178" s="6">
        <f t="shared" si="8"/>
        <v>5212.2601185998501</v>
      </c>
    </row>
    <row r="179" spans="1:8" x14ac:dyDescent="0.3">
      <c r="A179">
        <v>73</v>
      </c>
      <c r="B179">
        <v>5242</v>
      </c>
      <c r="D179" s="6">
        <f>$K$2*Linear_Regression56[[#This Row],[Ice Cream Profits (USD)]]+(1-$K$2)*F179</f>
        <v>5234.2676308359605</v>
      </c>
      <c r="E179" s="6">
        <f t="shared" si="6"/>
        <v>40.208777573818359</v>
      </c>
      <c r="F179" s="6">
        <f t="shared" si="7"/>
        <v>5212.2601185998501</v>
      </c>
      <c r="G179" s="6">
        <f>Linear_Regression56[[#This Row],[Ice Cream Profits (USD)]]-H178</f>
        <v>29.739881400149898</v>
      </c>
      <c r="H179" s="6">
        <f t="shared" si="8"/>
        <v>5274.4764084097787</v>
      </c>
    </row>
    <row r="180" spans="1:8" x14ac:dyDescent="0.3">
      <c r="A180">
        <v>73</v>
      </c>
      <c r="B180">
        <v>5467</v>
      </c>
      <c r="D180" s="6">
        <f>$K$2*Linear_Regression56[[#This Row],[Ice Cream Profits (USD)]]+(1-$K$2)*F180</f>
        <v>5416.9438661865424</v>
      </c>
      <c r="E180" s="6">
        <f t="shared" si="6"/>
        <v>142.7358386383965</v>
      </c>
      <c r="F180" s="6">
        <f t="shared" si="7"/>
        <v>5274.4764084097787</v>
      </c>
      <c r="G180" s="6">
        <f>Linear_Regression56[[#This Row],[Ice Cream Profits (USD)]]-H179</f>
        <v>192.52359159022126</v>
      </c>
      <c r="H180" s="6">
        <f t="shared" si="8"/>
        <v>5559.6797048249391</v>
      </c>
    </row>
    <row r="181" spans="1:8" x14ac:dyDescent="0.3">
      <c r="A181">
        <v>73</v>
      </c>
      <c r="B181">
        <v>5182</v>
      </c>
      <c r="D181" s="6">
        <f>$K$2*Linear_Regression56[[#This Row],[Ice Cream Profits (USD)]]+(1-$K$2)*F181</f>
        <v>5280.1967232544848</v>
      </c>
      <c r="E181" s="6">
        <f t="shared" si="6"/>
        <v>-58.39478561183752</v>
      </c>
      <c r="F181" s="6">
        <f t="shared" si="7"/>
        <v>5559.6797048249391</v>
      </c>
      <c r="G181" s="6">
        <f>Linear_Regression56[[#This Row],[Ice Cream Profits (USD)]]-H180</f>
        <v>-377.67970482493911</v>
      </c>
      <c r="H181" s="6">
        <f t="shared" si="8"/>
        <v>5221.8019376426473</v>
      </c>
    </row>
    <row r="182" spans="1:8" x14ac:dyDescent="0.3">
      <c r="A182">
        <v>73</v>
      </c>
      <c r="B182">
        <v>5321</v>
      </c>
      <c r="D182" s="6">
        <f>$K$2*Linear_Regression56[[#This Row],[Ice Cream Profits (USD)]]+(1-$K$2)*F182</f>
        <v>5295.2085037870884</v>
      </c>
      <c r="E182" s="6">
        <f t="shared" si="6"/>
        <v>-5.5675673328038382</v>
      </c>
      <c r="F182" s="6">
        <f t="shared" si="7"/>
        <v>5221.8019376426473</v>
      </c>
      <c r="G182" s="6">
        <f>Linear_Regression56[[#This Row],[Ice Cream Profits (USD)]]-H181</f>
        <v>99.198062357352683</v>
      </c>
      <c r="H182" s="6">
        <f t="shared" si="8"/>
        <v>5289.6409364542842</v>
      </c>
    </row>
    <row r="183" spans="1:8" x14ac:dyDescent="0.3">
      <c r="A183">
        <v>73</v>
      </c>
      <c r="B183">
        <v>5440</v>
      </c>
      <c r="D183" s="6">
        <f>$K$2*Linear_Regression56[[#This Row],[Ice Cream Profits (USD)]]+(1-$K$2)*F183</f>
        <v>5400.9066434781134</v>
      </c>
      <c r="E183" s="6">
        <f t="shared" si="6"/>
        <v>74.505076037450564</v>
      </c>
      <c r="F183" s="6">
        <f t="shared" si="7"/>
        <v>5289.6409364542842</v>
      </c>
      <c r="G183" s="6">
        <f>Linear_Regression56[[#This Row],[Ice Cream Profits (USD)]]-H182</f>
        <v>150.3590635457158</v>
      </c>
      <c r="H183" s="6">
        <f t="shared" si="8"/>
        <v>5475.4117195155641</v>
      </c>
    </row>
    <row r="184" spans="1:8" x14ac:dyDescent="0.3">
      <c r="A184">
        <v>73</v>
      </c>
      <c r="B184">
        <v>5501</v>
      </c>
      <c r="D184" s="6">
        <f>$K$2*Linear_Regression56[[#This Row],[Ice Cream Profits (USD)]]+(1-$K$2)*F184</f>
        <v>5494.3470470740467</v>
      </c>
      <c r="E184" s="6">
        <f t="shared" si="6"/>
        <v>88.131931707945895</v>
      </c>
      <c r="F184" s="6">
        <f t="shared" si="7"/>
        <v>5475.4117195155641</v>
      </c>
      <c r="G184" s="6">
        <f>Linear_Regression56[[#This Row],[Ice Cream Profits (USD)]]-H183</f>
        <v>25.588280484435927</v>
      </c>
      <c r="H184" s="6">
        <f t="shared" si="8"/>
        <v>5582.4789787819927</v>
      </c>
    </row>
    <row r="185" spans="1:8" x14ac:dyDescent="0.3">
      <c r="A185">
        <v>73</v>
      </c>
      <c r="B185">
        <v>5408</v>
      </c>
      <c r="D185" s="6">
        <f>$K$2*Linear_Regression56[[#This Row],[Ice Cream Profits (USD)]]+(1-$K$2)*F185</f>
        <v>5453.3645344833185</v>
      </c>
      <c r="E185" s="6">
        <f t="shared" si="6"/>
        <v>-4.7855999270455243</v>
      </c>
      <c r="F185" s="6">
        <f t="shared" si="7"/>
        <v>5582.4789787819927</v>
      </c>
      <c r="G185" s="6">
        <f>Linear_Regression56[[#This Row],[Ice Cream Profits (USD)]]-H184</f>
        <v>-174.47897878199274</v>
      </c>
      <c r="H185" s="6">
        <f t="shared" si="8"/>
        <v>5448.5789345562725</v>
      </c>
    </row>
    <row r="186" spans="1:8" x14ac:dyDescent="0.3">
      <c r="A186">
        <v>73</v>
      </c>
      <c r="B186">
        <v>5397</v>
      </c>
      <c r="D186" s="6">
        <f>$K$2*Linear_Regression56[[#This Row],[Ice Cream Profits (USD)]]+(1-$K$2)*F186</f>
        <v>5410.4105229846309</v>
      </c>
      <c r="E186" s="6">
        <f t="shared" si="6"/>
        <v>-32.253592442750779</v>
      </c>
      <c r="F186" s="6">
        <f t="shared" si="7"/>
        <v>5448.5789345562725</v>
      </c>
      <c r="G186" s="6">
        <f>Linear_Regression56[[#This Row],[Ice Cream Profits (USD)]]-H185</f>
        <v>-51.578934556272543</v>
      </c>
      <c r="H186" s="6">
        <f t="shared" si="8"/>
        <v>5378.1569305418798</v>
      </c>
    </row>
    <row r="187" spans="1:8" x14ac:dyDescent="0.3">
      <c r="A187">
        <v>74</v>
      </c>
      <c r="B187">
        <v>5528</v>
      </c>
      <c r="D187" s="6">
        <f>$K$2*Linear_Regression56[[#This Row],[Ice Cream Profits (USD)]]+(1-$K$2)*F187</f>
        <v>5489.0408019408887</v>
      </c>
      <c r="E187" s="6">
        <f t="shared" si="6"/>
        <v>47.544261968442349</v>
      </c>
      <c r="F187" s="6">
        <f t="shared" si="7"/>
        <v>5378.1569305418798</v>
      </c>
      <c r="G187" s="6">
        <f>Linear_Regression56[[#This Row],[Ice Cream Profits (USD)]]-H186</f>
        <v>149.84306945812023</v>
      </c>
      <c r="H187" s="6">
        <f t="shared" si="8"/>
        <v>5536.5850639093314</v>
      </c>
    </row>
    <row r="188" spans="1:8" x14ac:dyDescent="0.3">
      <c r="A188">
        <v>74</v>
      </c>
      <c r="B188">
        <v>5436</v>
      </c>
      <c r="D188" s="6">
        <f>$K$2*Linear_Regression56[[#This Row],[Ice Cream Profits (USD)]]+(1-$K$2)*F188</f>
        <v>5462.1521166164266</v>
      </c>
      <c r="E188" s="6">
        <f t="shared" si="6"/>
        <v>-6.0215940621607515</v>
      </c>
      <c r="F188" s="6">
        <f t="shared" si="7"/>
        <v>5536.5850639093314</v>
      </c>
      <c r="G188" s="6">
        <f>Linear_Regression56[[#This Row],[Ice Cream Profits (USD)]]-H187</f>
        <v>-100.58506390933144</v>
      </c>
      <c r="H188" s="6">
        <f t="shared" si="8"/>
        <v>5456.1305225542656</v>
      </c>
    </row>
    <row r="189" spans="1:8" x14ac:dyDescent="0.3">
      <c r="A189">
        <v>74</v>
      </c>
      <c r="B189">
        <v>5362</v>
      </c>
      <c r="D189" s="6">
        <f>$K$2*Linear_Regression56[[#This Row],[Ice Cream Profits (USD)]]+(1-$K$2)*F189</f>
        <v>5386.4739358641091</v>
      </c>
      <c r="E189" s="6">
        <f t="shared" si="6"/>
        <v>-56.150130280742687</v>
      </c>
      <c r="F189" s="6">
        <f t="shared" si="7"/>
        <v>5456.1305225542656</v>
      </c>
      <c r="G189" s="6">
        <f>Linear_Regression56[[#This Row],[Ice Cream Profits (USD)]]-H188</f>
        <v>-94.130522554265553</v>
      </c>
      <c r="H189" s="6">
        <f t="shared" si="8"/>
        <v>5330.3238055833663</v>
      </c>
    </row>
    <row r="190" spans="1:8" x14ac:dyDescent="0.3">
      <c r="A190">
        <v>74</v>
      </c>
      <c r="B190">
        <v>5065</v>
      </c>
      <c r="D190" s="6">
        <f>$K$2*Linear_Regression56[[#This Row],[Ice Cream Profits (USD)]]+(1-$K$2)*F190</f>
        <v>5133.9841894516749</v>
      </c>
      <c r="E190" s="6">
        <f t="shared" si="6"/>
        <v>-197.44642437249414</v>
      </c>
      <c r="F190" s="6">
        <f t="shared" si="7"/>
        <v>5330.3238055833663</v>
      </c>
      <c r="G190" s="6">
        <f>Linear_Regression56[[#This Row],[Ice Cream Profits (USD)]]-H189</f>
        <v>-265.32380558336627</v>
      </c>
      <c r="H190" s="6">
        <f t="shared" si="8"/>
        <v>4936.5377650791806</v>
      </c>
    </row>
    <row r="191" spans="1:8" x14ac:dyDescent="0.3">
      <c r="A191">
        <v>74</v>
      </c>
      <c r="B191">
        <v>5552</v>
      </c>
      <c r="D191" s="6">
        <f>$K$2*Linear_Regression56[[#This Row],[Ice Cream Profits (USD)]]+(1-$K$2)*F191</f>
        <v>5391.9798189205867</v>
      </c>
      <c r="E191" s="6">
        <f t="shared" si="6"/>
        <v>130.31358478512476</v>
      </c>
      <c r="F191" s="6">
        <f t="shared" si="7"/>
        <v>4936.5377650791806</v>
      </c>
      <c r="G191" s="6">
        <f>Linear_Regression56[[#This Row],[Ice Cream Profits (USD)]]-H190</f>
        <v>615.46223492081936</v>
      </c>
      <c r="H191" s="6">
        <f t="shared" si="8"/>
        <v>5522.2934037057112</v>
      </c>
    </row>
    <row r="192" spans="1:8" x14ac:dyDescent="0.3">
      <c r="A192">
        <v>74</v>
      </c>
      <c r="B192">
        <v>5861</v>
      </c>
      <c r="D192" s="6">
        <f>$K$2*Linear_Regression56[[#This Row],[Ice Cream Profits (USD)]]+(1-$K$2)*F192</f>
        <v>5772.9362849634845</v>
      </c>
      <c r="E192" s="6">
        <f t="shared" si="6"/>
        <v>310.68935896636935</v>
      </c>
      <c r="F192" s="6">
        <f t="shared" si="7"/>
        <v>5522.2934037057112</v>
      </c>
      <c r="G192" s="6">
        <f>Linear_Regression56[[#This Row],[Ice Cream Profits (USD)]]-H191</f>
        <v>338.70659629428883</v>
      </c>
      <c r="H192" s="6">
        <f t="shared" si="8"/>
        <v>6083.625643929854</v>
      </c>
    </row>
    <row r="193" spans="1:8" x14ac:dyDescent="0.3">
      <c r="A193">
        <v>74</v>
      </c>
      <c r="B193">
        <v>5064</v>
      </c>
      <c r="D193" s="6">
        <f>$K$2*Linear_Regression56[[#This Row],[Ice Cream Profits (USD)]]+(1-$K$2)*F193</f>
        <v>5329.1026674217619</v>
      </c>
      <c r="E193" s="6">
        <f t="shared" si="6"/>
        <v>-232.30498159586983</v>
      </c>
      <c r="F193" s="6">
        <f t="shared" si="7"/>
        <v>6083.625643929854</v>
      </c>
      <c r="G193" s="6">
        <f>Linear_Regression56[[#This Row],[Ice Cream Profits (USD)]]-H192</f>
        <v>-1019.625643929854</v>
      </c>
      <c r="H193" s="6">
        <f t="shared" si="8"/>
        <v>5096.7976858258917</v>
      </c>
    </row>
    <row r="194" spans="1:8" x14ac:dyDescent="0.3">
      <c r="A194">
        <v>74</v>
      </c>
      <c r="B194">
        <v>5428</v>
      </c>
      <c r="D194" s="6">
        <f>$K$2*Linear_Regression56[[#This Row],[Ice Cream Profits (USD)]]+(1-$K$2)*F194</f>
        <v>5341.8873983147323</v>
      </c>
      <c r="E194" s="6">
        <f t="shared" si="6"/>
        <v>-55.925559159501702</v>
      </c>
      <c r="F194" s="6">
        <f t="shared" si="7"/>
        <v>5096.7976858258917</v>
      </c>
      <c r="G194" s="6">
        <f>Linear_Regression56[[#This Row],[Ice Cream Profits (USD)]]-H193</f>
        <v>331.20231417410832</v>
      </c>
      <c r="H194" s="6">
        <f t="shared" si="8"/>
        <v>5285.9618391552303</v>
      </c>
    </row>
    <row r="195" spans="1:8" x14ac:dyDescent="0.3">
      <c r="A195">
        <v>74</v>
      </c>
      <c r="B195">
        <v>5395</v>
      </c>
      <c r="D195" s="6">
        <f>$K$2*Linear_Regression56[[#This Row],[Ice Cream Profits (USD)]]+(1-$K$2)*F195</f>
        <v>5366.6500781803597</v>
      </c>
      <c r="E195" s="6">
        <f t="shared" si="6"/>
        <v>2.141933156431044</v>
      </c>
      <c r="F195" s="6">
        <f t="shared" si="7"/>
        <v>5285.9618391552303</v>
      </c>
      <c r="G195" s="6">
        <f>Linear_Regression56[[#This Row],[Ice Cream Profits (USD)]]-H194</f>
        <v>109.03816084476966</v>
      </c>
      <c r="H195" s="6">
        <f t="shared" si="8"/>
        <v>5368.7920113367909</v>
      </c>
    </row>
    <row r="196" spans="1:8" x14ac:dyDescent="0.3">
      <c r="A196">
        <v>74</v>
      </c>
      <c r="B196">
        <v>5344</v>
      </c>
      <c r="D196" s="6">
        <f>$K$2*Linear_Regression56[[#This Row],[Ice Cream Profits (USD)]]+(1-$K$2)*F196</f>
        <v>5350.4459229475651</v>
      </c>
      <c r="E196" s="6">
        <f t="shared" ref="E196:E259" si="9">$K$3*(D196-D195)+(1-$K$3)*E195</f>
        <v>-11.060875077331612</v>
      </c>
      <c r="F196" s="6">
        <f t="shared" ref="F196:F259" si="10">D195+E195</f>
        <v>5368.7920113367909</v>
      </c>
      <c r="G196" s="6">
        <f>Linear_Regression56[[#This Row],[Ice Cream Profits (USD)]]-H195</f>
        <v>-24.792011336790893</v>
      </c>
      <c r="H196" s="6">
        <f t="shared" ref="H196:H259" si="11">D196+E196</f>
        <v>5339.3850478702334</v>
      </c>
    </row>
    <row r="197" spans="1:8" x14ac:dyDescent="0.3">
      <c r="A197">
        <v>74</v>
      </c>
      <c r="B197">
        <v>5710</v>
      </c>
      <c r="D197" s="6">
        <f>$K$2*Linear_Regression56[[#This Row],[Ice Cream Profits (USD)]]+(1-$K$2)*F197</f>
        <v>5613.6401124462609</v>
      </c>
      <c r="E197" s="6">
        <f t="shared" si="9"/>
        <v>186.30746567818315</v>
      </c>
      <c r="F197" s="6">
        <f t="shared" si="10"/>
        <v>5339.3850478702334</v>
      </c>
      <c r="G197" s="6">
        <f>Linear_Regression56[[#This Row],[Ice Cream Profits (USD)]]-H196</f>
        <v>370.61495212976661</v>
      </c>
      <c r="H197" s="6">
        <f t="shared" si="11"/>
        <v>5799.9475781244437</v>
      </c>
    </row>
    <row r="198" spans="1:8" x14ac:dyDescent="0.3">
      <c r="A198">
        <v>74</v>
      </c>
      <c r="B198">
        <v>5426</v>
      </c>
      <c r="D198" s="6">
        <f>$K$2*Linear_Regression56[[#This Row],[Ice Cream Profits (USD)]]+(1-$K$2)*F198</f>
        <v>5523.2263703123554</v>
      </c>
      <c r="E198" s="6">
        <f t="shared" si="9"/>
        <v>-12.835641203599153</v>
      </c>
      <c r="F198" s="6">
        <f t="shared" si="10"/>
        <v>5799.9475781244437</v>
      </c>
      <c r="G198" s="6">
        <f>Linear_Regression56[[#This Row],[Ice Cream Profits (USD)]]-H197</f>
        <v>-373.94757812444368</v>
      </c>
      <c r="H198" s="6">
        <f t="shared" si="11"/>
        <v>5510.3907291087562</v>
      </c>
    </row>
    <row r="199" spans="1:8" x14ac:dyDescent="0.3">
      <c r="A199">
        <v>75</v>
      </c>
      <c r="B199">
        <v>5534</v>
      </c>
      <c r="D199" s="6">
        <f>$K$2*Linear_Regression56[[#This Row],[Ice Cream Profits (USD)]]+(1-$K$2)*F199</f>
        <v>5527.8615895682769</v>
      </c>
      <c r="E199" s="6">
        <f t="shared" si="9"/>
        <v>-0.2626929308030852</v>
      </c>
      <c r="F199" s="6">
        <f t="shared" si="10"/>
        <v>5510.3907291087562</v>
      </c>
      <c r="G199" s="6">
        <f>Linear_Regression56[[#This Row],[Ice Cream Profits (USD)]]-H198</f>
        <v>23.609270891243796</v>
      </c>
      <c r="H199" s="6">
        <f t="shared" si="11"/>
        <v>5527.5988966374734</v>
      </c>
    </row>
    <row r="200" spans="1:8" x14ac:dyDescent="0.3">
      <c r="A200">
        <v>75</v>
      </c>
      <c r="B200">
        <v>5371</v>
      </c>
      <c r="D200" s="6">
        <f>$K$2*Linear_Regression56[[#This Row],[Ice Cream Profits (USD)]]+(1-$K$2)*F200</f>
        <v>5411.7157131257427</v>
      </c>
      <c r="E200" s="6">
        <f t="shared" si="9"/>
        <v>-83.658314763838931</v>
      </c>
      <c r="F200" s="6">
        <f t="shared" si="10"/>
        <v>5527.5988966374734</v>
      </c>
      <c r="G200" s="6">
        <f>Linear_Regression56[[#This Row],[Ice Cream Profits (USD)]]-H199</f>
        <v>-156.59889663747344</v>
      </c>
      <c r="H200" s="6">
        <f t="shared" si="11"/>
        <v>5328.0573983619033</v>
      </c>
    </row>
    <row r="201" spans="1:8" x14ac:dyDescent="0.3">
      <c r="A201">
        <v>75</v>
      </c>
      <c r="B201">
        <v>5784</v>
      </c>
      <c r="D201" s="6">
        <f>$K$2*Linear_Regression56[[#This Row],[Ice Cream Profits (USD)]]+(1-$K$2)*F201</f>
        <v>5665.4549235740951</v>
      </c>
      <c r="E201" s="6">
        <f t="shared" si="9"/>
        <v>159.15065516016779</v>
      </c>
      <c r="F201" s="6">
        <f t="shared" si="10"/>
        <v>5328.0573983619033</v>
      </c>
      <c r="G201" s="6">
        <f>Linear_Regression56[[#This Row],[Ice Cream Profits (USD)]]-H200</f>
        <v>455.94260163809668</v>
      </c>
      <c r="H201" s="6">
        <f t="shared" si="11"/>
        <v>5824.605578734263</v>
      </c>
    </row>
    <row r="202" spans="1:8" x14ac:dyDescent="0.3">
      <c r="A202">
        <v>75</v>
      </c>
      <c r="B202">
        <v>5591</v>
      </c>
      <c r="D202" s="6">
        <f>$K$2*Linear_Regression56[[#This Row],[Ice Cream Profits (USD)]]+(1-$K$2)*F202</f>
        <v>5651.7374504709078</v>
      </c>
      <c r="E202" s="6">
        <f t="shared" si="9"/>
        <v>34.745675811493932</v>
      </c>
      <c r="F202" s="6">
        <f t="shared" si="10"/>
        <v>5824.605578734263</v>
      </c>
      <c r="G202" s="6">
        <f>Linear_Regression56[[#This Row],[Ice Cream Profits (USD)]]-H201</f>
        <v>-233.60557873426296</v>
      </c>
      <c r="H202" s="6">
        <f t="shared" si="11"/>
        <v>5686.4831262824018</v>
      </c>
    </row>
    <row r="203" spans="1:8" x14ac:dyDescent="0.3">
      <c r="A203">
        <v>75</v>
      </c>
      <c r="B203">
        <v>5862</v>
      </c>
      <c r="D203" s="6">
        <f>$K$2*Linear_Regression56[[#This Row],[Ice Cream Profits (USD)]]+(1-$K$2)*F203</f>
        <v>5816.3656128334251</v>
      </c>
      <c r="E203" s="6">
        <f t="shared" si="9"/>
        <v>128.21593096760114</v>
      </c>
      <c r="F203" s="6">
        <f t="shared" si="10"/>
        <v>5686.4831262824018</v>
      </c>
      <c r="G203" s="6">
        <f>Linear_Regression56[[#This Row],[Ice Cream Profits (USD)]]-H202</f>
        <v>175.51687371759817</v>
      </c>
      <c r="H203" s="6">
        <f t="shared" si="11"/>
        <v>5944.5815438010259</v>
      </c>
    </row>
    <row r="204" spans="1:8" x14ac:dyDescent="0.3">
      <c r="A204">
        <v>75</v>
      </c>
      <c r="B204">
        <v>5885</v>
      </c>
      <c r="D204" s="6">
        <f>$K$2*Linear_Regression56[[#This Row],[Ice Cream Profits (USD)]]+(1-$K$2)*F204</f>
        <v>5900.4912013882667</v>
      </c>
      <c r="E204" s="6">
        <f t="shared" si="9"/>
        <v>96.486206162696007</v>
      </c>
      <c r="F204" s="6">
        <f t="shared" si="10"/>
        <v>5944.5815438010259</v>
      </c>
      <c r="G204" s="6">
        <f>Linear_Regression56[[#This Row],[Ice Cream Profits (USD)]]-H203</f>
        <v>-59.581543801025873</v>
      </c>
      <c r="H204" s="6">
        <f t="shared" si="11"/>
        <v>5996.9774075509631</v>
      </c>
    </row>
    <row r="205" spans="1:8" x14ac:dyDescent="0.3">
      <c r="A205">
        <v>76</v>
      </c>
      <c r="B205">
        <v>5284</v>
      </c>
      <c r="D205" s="6">
        <f>$K$2*Linear_Regression56[[#This Row],[Ice Cream Profits (USD)]]+(1-$K$2)*F205</f>
        <v>5469.3741259632507</v>
      </c>
      <c r="E205" s="6">
        <f t="shared" si="9"/>
        <v>-283.20481039194789</v>
      </c>
      <c r="F205" s="6">
        <f t="shared" si="10"/>
        <v>5996.9774075509631</v>
      </c>
      <c r="G205" s="6">
        <f>Linear_Regression56[[#This Row],[Ice Cream Profits (USD)]]-H204</f>
        <v>-712.97740755096311</v>
      </c>
      <c r="H205" s="6">
        <f t="shared" si="11"/>
        <v>5186.1693155713028</v>
      </c>
    </row>
    <row r="206" spans="1:8" x14ac:dyDescent="0.3">
      <c r="A206">
        <v>76</v>
      </c>
      <c r="B206">
        <v>5659</v>
      </c>
      <c r="D206" s="6">
        <f>$K$2*Linear_Regression56[[#This Row],[Ice Cream Profits (USD)]]+(1-$K$2)*F206</f>
        <v>5536.0640220485393</v>
      </c>
      <c r="E206" s="6">
        <f t="shared" si="9"/>
        <v>-31.402212823485719</v>
      </c>
      <c r="F206" s="6">
        <f t="shared" si="10"/>
        <v>5186.1693155713028</v>
      </c>
      <c r="G206" s="6">
        <f>Linear_Regression56[[#This Row],[Ice Cream Profits (USD)]]-H205</f>
        <v>472.83068442869717</v>
      </c>
      <c r="H206" s="6">
        <f t="shared" si="11"/>
        <v>5504.6618092250537</v>
      </c>
    </row>
    <row r="207" spans="1:8" x14ac:dyDescent="0.3">
      <c r="A207">
        <v>76</v>
      </c>
      <c r="B207">
        <v>5943</v>
      </c>
      <c r="D207" s="6">
        <f>$K$2*Linear_Regression56[[#This Row],[Ice Cream Profits (USD)]]+(1-$K$2)*F207</f>
        <v>5829.0320703985144</v>
      </c>
      <c r="E207" s="6">
        <f t="shared" si="9"/>
        <v>202.03165406684315</v>
      </c>
      <c r="F207" s="6">
        <f t="shared" si="10"/>
        <v>5504.6618092250537</v>
      </c>
      <c r="G207" s="6">
        <f>Linear_Regression56[[#This Row],[Ice Cream Profits (USD)]]-H206</f>
        <v>438.33819077494627</v>
      </c>
      <c r="H207" s="6">
        <f t="shared" si="11"/>
        <v>6031.0637244653572</v>
      </c>
    </row>
    <row r="208" spans="1:8" x14ac:dyDescent="0.3">
      <c r="A208">
        <v>76</v>
      </c>
      <c r="B208">
        <v>5969</v>
      </c>
      <c r="D208" s="6">
        <f>$K$2*Linear_Regression56[[#This Row],[Ice Cream Profits (USD)]]+(1-$K$2)*F208</f>
        <v>5985.1365683609929</v>
      </c>
      <c r="E208" s="6">
        <f t="shared" si="9"/>
        <v>168.98006171083347</v>
      </c>
      <c r="F208" s="6">
        <f t="shared" si="10"/>
        <v>6031.0637244653572</v>
      </c>
      <c r="G208" s="6">
        <f>Linear_Regression56[[#This Row],[Ice Cream Profits (USD)]]-H207</f>
        <v>-62.063724465357154</v>
      </c>
      <c r="H208" s="6">
        <f t="shared" si="11"/>
        <v>6154.116630071826</v>
      </c>
    </row>
    <row r="209" spans="1:8" x14ac:dyDescent="0.3">
      <c r="A209">
        <v>76</v>
      </c>
      <c r="B209">
        <v>5383</v>
      </c>
      <c r="D209" s="6">
        <f>$K$2*Linear_Regression56[[#This Row],[Ice Cream Profits (USD)]]+(1-$K$2)*F209</f>
        <v>5583.4903238186744</v>
      </c>
      <c r="E209" s="6">
        <f t="shared" si="9"/>
        <v>-241.67258177175194</v>
      </c>
      <c r="F209" s="6">
        <f t="shared" si="10"/>
        <v>6154.116630071826</v>
      </c>
      <c r="G209" s="6">
        <f>Linear_Regression56[[#This Row],[Ice Cream Profits (USD)]]-H208</f>
        <v>-771.11663007182597</v>
      </c>
      <c r="H209" s="6">
        <f t="shared" si="11"/>
        <v>5341.8177420469228</v>
      </c>
    </row>
    <row r="210" spans="1:8" x14ac:dyDescent="0.3">
      <c r="A210">
        <v>76</v>
      </c>
      <c r="B210">
        <v>5941</v>
      </c>
      <c r="D210" s="6">
        <f>$K$2*Linear_Regression56[[#This Row],[Ice Cream Profits (USD)]]+(1-$K$2)*F210</f>
        <v>5785.2126129322005</v>
      </c>
      <c r="E210" s="6">
        <f t="shared" si="9"/>
        <v>77.417642145966923</v>
      </c>
      <c r="F210" s="6">
        <f t="shared" si="10"/>
        <v>5341.8177420469228</v>
      </c>
      <c r="G210" s="6">
        <f>Linear_Regression56[[#This Row],[Ice Cream Profits (USD)]]-H209</f>
        <v>599.18225795307717</v>
      </c>
      <c r="H210" s="6">
        <f t="shared" si="11"/>
        <v>5862.6302550781675</v>
      </c>
    </row>
    <row r="211" spans="1:8" x14ac:dyDescent="0.3">
      <c r="A211">
        <v>76</v>
      </c>
      <c r="B211">
        <v>5317</v>
      </c>
      <c r="D211" s="6">
        <f>$K$2*Linear_Regression56[[#This Row],[Ice Cream Profits (USD)]]+(1-$K$2)*F211</f>
        <v>5458.8638663203237</v>
      </c>
      <c r="E211" s="6">
        <f t="shared" si="9"/>
        <v>-213.15384584159708</v>
      </c>
      <c r="F211" s="6">
        <f t="shared" si="10"/>
        <v>5862.6302550781675</v>
      </c>
      <c r="G211" s="6">
        <f>Linear_Regression56[[#This Row],[Ice Cream Profits (USD)]]-H210</f>
        <v>-545.63025507816747</v>
      </c>
      <c r="H211" s="6">
        <f t="shared" si="11"/>
        <v>5245.7100204787266</v>
      </c>
    </row>
    <row r="212" spans="1:8" x14ac:dyDescent="0.3">
      <c r="A212">
        <v>76</v>
      </c>
      <c r="B212">
        <v>5348</v>
      </c>
      <c r="D212" s="6">
        <f>$K$2*Linear_Regression56[[#This Row],[Ice Cream Profits (USD)]]+(1-$K$2)*F212</f>
        <v>5321.4046053244692</v>
      </c>
      <c r="E212" s="6">
        <f t="shared" si="9"/>
        <v>-158.68004920168036</v>
      </c>
      <c r="F212" s="6">
        <f t="shared" si="10"/>
        <v>5245.7100204787266</v>
      </c>
      <c r="G212" s="6">
        <f>Linear_Regression56[[#This Row],[Ice Cream Profits (USD)]]-H211</f>
        <v>102.28997952127338</v>
      </c>
      <c r="H212" s="6">
        <f t="shared" si="11"/>
        <v>5162.7245561227892</v>
      </c>
    </row>
    <row r="213" spans="1:8" x14ac:dyDescent="0.3">
      <c r="A213">
        <v>76</v>
      </c>
      <c r="B213">
        <v>5994</v>
      </c>
      <c r="D213" s="6">
        <f>$K$2*Linear_Regression56[[#This Row],[Ice Cream Profits (USD)]]+(1-$K$2)*F213</f>
        <v>5777.868384591925</v>
      </c>
      <c r="E213" s="6">
        <f t="shared" si="9"/>
        <v>284.00974009587264</v>
      </c>
      <c r="F213" s="6">
        <f t="shared" si="10"/>
        <v>5162.7245561227892</v>
      </c>
      <c r="G213" s="6">
        <f>Linear_Regression56[[#This Row],[Ice Cream Profits (USD)]]-H212</f>
        <v>831.27544387721082</v>
      </c>
      <c r="H213" s="6">
        <f t="shared" si="11"/>
        <v>6061.8781246877979</v>
      </c>
    </row>
    <row r="214" spans="1:8" x14ac:dyDescent="0.3">
      <c r="A214">
        <v>76</v>
      </c>
      <c r="B214">
        <v>6031</v>
      </c>
      <c r="D214" s="6">
        <f>$K$2*Linear_Regression56[[#This Row],[Ice Cream Profits (USD)]]+(1-$K$2)*F214</f>
        <v>6039.0283124188272</v>
      </c>
      <c r="E214" s="6">
        <f t="shared" si="9"/>
        <v>267.56581574729785</v>
      </c>
      <c r="F214" s="6">
        <f t="shared" si="10"/>
        <v>6061.8781246877979</v>
      </c>
      <c r="G214" s="6">
        <f>Linear_Regression56[[#This Row],[Ice Cream Profits (USD)]]-H213</f>
        <v>-30.878124687797936</v>
      </c>
      <c r="H214" s="6">
        <f t="shared" si="11"/>
        <v>6306.5941281661253</v>
      </c>
    </row>
    <row r="215" spans="1:8" x14ac:dyDescent="0.3">
      <c r="A215">
        <v>76</v>
      </c>
      <c r="B215">
        <v>6033</v>
      </c>
      <c r="D215" s="6">
        <f>$K$2*Linear_Regression56[[#This Row],[Ice Cream Profits (USD)]]+(1-$K$2)*F215</f>
        <v>6104.1344733231927</v>
      </c>
      <c r="E215" s="6">
        <f t="shared" si="9"/>
        <v>121.86522054386251</v>
      </c>
      <c r="F215" s="6">
        <f t="shared" si="10"/>
        <v>6306.5941281661253</v>
      </c>
      <c r="G215" s="6">
        <f>Linear_Regression56[[#This Row],[Ice Cream Profits (USD)]]-H214</f>
        <v>-273.5941281661253</v>
      </c>
      <c r="H215" s="6">
        <f t="shared" si="11"/>
        <v>6225.9996938670556</v>
      </c>
    </row>
    <row r="216" spans="1:8" x14ac:dyDescent="0.3">
      <c r="A216">
        <v>77</v>
      </c>
      <c r="B216">
        <v>5382</v>
      </c>
      <c r="D216" s="6">
        <f>$K$2*Linear_Regression56[[#This Row],[Ice Cream Profits (USD)]]+(1-$K$2)*F216</f>
        <v>5601.4399204054343</v>
      </c>
      <c r="E216" s="6">
        <f t="shared" si="9"/>
        <v>-327.60077703514861</v>
      </c>
      <c r="F216" s="6">
        <f t="shared" si="10"/>
        <v>6225.9996938670556</v>
      </c>
      <c r="G216" s="6">
        <f>Linear_Regression56[[#This Row],[Ice Cream Profits (USD)]]-H215</f>
        <v>-843.99969386705561</v>
      </c>
      <c r="H216" s="6">
        <f t="shared" si="11"/>
        <v>5273.8391433702855</v>
      </c>
    </row>
    <row r="217" spans="1:8" x14ac:dyDescent="0.3">
      <c r="A217">
        <v>77</v>
      </c>
      <c r="B217">
        <v>5307</v>
      </c>
      <c r="D217" s="6">
        <f>$K$2*Linear_Regression56[[#This Row],[Ice Cream Profits (USD)]]+(1-$K$2)*F217</f>
        <v>5298.3781772762741</v>
      </c>
      <c r="E217" s="6">
        <f t="shared" si="9"/>
        <v>-309.94120012540071</v>
      </c>
      <c r="F217" s="6">
        <f t="shared" si="10"/>
        <v>5273.8391433702855</v>
      </c>
      <c r="G217" s="6">
        <f>Linear_Regression56[[#This Row],[Ice Cream Profits (USD)]]-H216</f>
        <v>33.160856629714544</v>
      </c>
      <c r="H217" s="6">
        <f t="shared" si="11"/>
        <v>4988.4369771508736</v>
      </c>
    </row>
    <row r="218" spans="1:8" x14ac:dyDescent="0.3">
      <c r="A218">
        <v>77</v>
      </c>
      <c r="B218">
        <v>5948</v>
      </c>
      <c r="D218" s="6">
        <f>$K$2*Linear_Regression56[[#This Row],[Ice Cream Profits (USD)]]+(1-$K$2)*F218</f>
        <v>5698.5136140592276</v>
      </c>
      <c r="E218" s="6">
        <f t="shared" si="9"/>
        <v>201.06722136906302</v>
      </c>
      <c r="F218" s="6">
        <f t="shared" si="10"/>
        <v>4988.4369771508736</v>
      </c>
      <c r="G218" s="6">
        <f>Linear_Regression56[[#This Row],[Ice Cream Profits (USD)]]-H217</f>
        <v>959.56302284912636</v>
      </c>
      <c r="H218" s="6">
        <f t="shared" si="11"/>
        <v>5899.5808354282908</v>
      </c>
    </row>
    <row r="219" spans="1:8" x14ac:dyDescent="0.3">
      <c r="A219">
        <v>77</v>
      </c>
      <c r="B219">
        <v>5410</v>
      </c>
      <c r="D219" s="6">
        <f>$K$2*Linear_Regression56[[#This Row],[Ice Cream Profits (USD)]]+(1-$K$2)*F219</f>
        <v>5537.2910172113552</v>
      </c>
      <c r="E219" s="6">
        <f t="shared" si="9"/>
        <v>-59.655549255548472</v>
      </c>
      <c r="F219" s="6">
        <f t="shared" si="10"/>
        <v>5899.5808354282908</v>
      </c>
      <c r="G219" s="6">
        <f>Linear_Regression56[[#This Row],[Ice Cream Profits (USD)]]-H218</f>
        <v>-489.58083542829081</v>
      </c>
      <c r="H219" s="6">
        <f t="shared" si="11"/>
        <v>5477.6354679558071</v>
      </c>
    </row>
    <row r="220" spans="1:8" x14ac:dyDescent="0.3">
      <c r="A220">
        <v>77</v>
      </c>
      <c r="B220">
        <v>5633</v>
      </c>
      <c r="D220" s="6">
        <f>$K$2*Linear_Regression56[[#This Row],[Ice Cream Profits (USD)]]+(1-$K$2)*F220</f>
        <v>5592.6052216685102</v>
      </c>
      <c r="E220" s="6">
        <f t="shared" si="9"/>
        <v>23.08272054605111</v>
      </c>
      <c r="F220" s="6">
        <f t="shared" si="10"/>
        <v>5477.6354679558071</v>
      </c>
      <c r="G220" s="6">
        <f>Linear_Regression56[[#This Row],[Ice Cream Profits (USD)]]-H219</f>
        <v>155.36453204419286</v>
      </c>
      <c r="H220" s="6">
        <f t="shared" si="11"/>
        <v>5615.6879422145612</v>
      </c>
    </row>
    <row r="221" spans="1:8" x14ac:dyDescent="0.3">
      <c r="A221">
        <v>77</v>
      </c>
      <c r="B221">
        <v>5987</v>
      </c>
      <c r="D221" s="6">
        <f>$K$2*Linear_Regression56[[#This Row],[Ice Cream Profits (USD)]]+(1-$K$2)*F221</f>
        <v>5890.4588649757861</v>
      </c>
      <c r="E221" s="6">
        <f t="shared" si="9"/>
        <v>220.82229993023057</v>
      </c>
      <c r="F221" s="6">
        <f t="shared" si="10"/>
        <v>5615.6879422145612</v>
      </c>
      <c r="G221" s="6">
        <f>Linear_Regression56[[#This Row],[Ice Cream Profits (USD)]]-H220</f>
        <v>371.31205778543881</v>
      </c>
      <c r="H221" s="6">
        <f t="shared" si="11"/>
        <v>6111.2811649060168</v>
      </c>
    </row>
    <row r="222" spans="1:8" x14ac:dyDescent="0.3">
      <c r="A222">
        <v>77</v>
      </c>
      <c r="B222">
        <v>6075</v>
      </c>
      <c r="D222" s="6">
        <f>$K$2*Linear_Regression56[[#This Row],[Ice Cream Profits (USD)]]+(1-$K$2)*F222</f>
        <v>6084.4331028755641</v>
      </c>
      <c r="E222" s="6">
        <f t="shared" si="9"/>
        <v>201.50102517585822</v>
      </c>
      <c r="F222" s="6">
        <f t="shared" si="10"/>
        <v>6111.2811649060168</v>
      </c>
      <c r="G222" s="6">
        <f>Linear_Regression56[[#This Row],[Ice Cream Profits (USD)]]-H221</f>
        <v>-36.281164906016784</v>
      </c>
      <c r="H222" s="6">
        <f t="shared" si="11"/>
        <v>6285.9341280514227</v>
      </c>
    </row>
    <row r="223" spans="1:8" x14ac:dyDescent="0.3">
      <c r="A223">
        <v>77</v>
      </c>
      <c r="B223">
        <v>5643</v>
      </c>
      <c r="D223" s="6">
        <f>$K$2*Linear_Regression56[[#This Row],[Ice Cream Profits (USD)]]+(1-$K$2)*F223</f>
        <v>5810.1628732933696</v>
      </c>
      <c r="E223" s="6">
        <f t="shared" si="9"/>
        <v>-140.88894408844743</v>
      </c>
      <c r="F223" s="6">
        <f t="shared" si="10"/>
        <v>6285.9341280514227</v>
      </c>
      <c r="G223" s="6">
        <f>Linear_Regression56[[#This Row],[Ice Cream Profits (USD)]]-H222</f>
        <v>-642.9341280514227</v>
      </c>
      <c r="H223" s="6">
        <f t="shared" si="11"/>
        <v>5669.2739292049218</v>
      </c>
    </row>
    <row r="224" spans="1:8" x14ac:dyDescent="0.3">
      <c r="A224">
        <v>77</v>
      </c>
      <c r="B224">
        <v>6086</v>
      </c>
      <c r="D224" s="6">
        <f>$K$2*Linear_Regression56[[#This Row],[Ice Cream Profits (USD)]]+(1-$K$2)*F224</f>
        <v>5977.6512215932798</v>
      </c>
      <c r="E224" s="6">
        <f t="shared" si="9"/>
        <v>81.03554295596976</v>
      </c>
      <c r="F224" s="6">
        <f t="shared" si="10"/>
        <v>5669.2739292049218</v>
      </c>
      <c r="G224" s="6">
        <f>Linear_Regression56[[#This Row],[Ice Cream Profits (USD)]]-H223</f>
        <v>416.72607079507816</v>
      </c>
      <c r="H224" s="6">
        <f t="shared" si="11"/>
        <v>6058.6867645492493</v>
      </c>
    </row>
    <row r="225" spans="1:8" x14ac:dyDescent="0.3">
      <c r="A225">
        <v>77</v>
      </c>
      <c r="B225">
        <v>5507</v>
      </c>
      <c r="D225" s="6">
        <f>$K$2*Linear_Regression56[[#This Row],[Ice Cream Profits (USD)]]+(1-$K$2)*F225</f>
        <v>5650.4385587828046</v>
      </c>
      <c r="E225" s="6">
        <f t="shared" si="9"/>
        <v>-212.76129581198887</v>
      </c>
      <c r="F225" s="6">
        <f t="shared" si="10"/>
        <v>6058.6867645492493</v>
      </c>
      <c r="G225" s="6">
        <f>Linear_Regression56[[#This Row],[Ice Cream Profits (USD)]]-H224</f>
        <v>-551.68676454924935</v>
      </c>
      <c r="H225" s="6">
        <f t="shared" si="11"/>
        <v>5437.6772629708157</v>
      </c>
    </row>
    <row r="226" spans="1:8" x14ac:dyDescent="0.3">
      <c r="A226">
        <v>77</v>
      </c>
      <c r="B226">
        <v>5839</v>
      </c>
      <c r="D226" s="6">
        <f>$K$2*Linear_Regression56[[#This Row],[Ice Cream Profits (USD)]]+(1-$K$2)*F226</f>
        <v>5734.6560883724123</v>
      </c>
      <c r="E226" s="6">
        <f t="shared" si="9"/>
        <v>0.9602560566955276</v>
      </c>
      <c r="F226" s="6">
        <f t="shared" si="10"/>
        <v>5437.6772629708157</v>
      </c>
      <c r="G226" s="6">
        <f>Linear_Regression56[[#This Row],[Ice Cream Profits (USD)]]-H225</f>
        <v>401.32273702918428</v>
      </c>
      <c r="H226" s="6">
        <f t="shared" si="11"/>
        <v>5735.6163444291078</v>
      </c>
    </row>
    <row r="227" spans="1:8" x14ac:dyDescent="0.3">
      <c r="A227">
        <v>77</v>
      </c>
      <c r="B227">
        <v>5872</v>
      </c>
      <c r="D227" s="6">
        <f>$K$2*Linear_Regression56[[#This Row],[Ice Cream Profits (USD)]]+(1-$K$2)*F227</f>
        <v>5836.5402495515682</v>
      </c>
      <c r="E227" s="6">
        <f t="shared" si="9"/>
        <v>73.59039591347512</v>
      </c>
      <c r="F227" s="6">
        <f t="shared" si="10"/>
        <v>5735.6163444291078</v>
      </c>
      <c r="G227" s="6">
        <f>Linear_Regression56[[#This Row],[Ice Cream Profits (USD)]]-H226</f>
        <v>136.38365557089219</v>
      </c>
      <c r="H227" s="6">
        <f t="shared" si="11"/>
        <v>5910.130645465043</v>
      </c>
    </row>
    <row r="228" spans="1:8" x14ac:dyDescent="0.3">
      <c r="A228">
        <v>77</v>
      </c>
      <c r="B228">
        <v>5752</v>
      </c>
      <c r="D228" s="6">
        <f>$K$2*Linear_Regression56[[#This Row],[Ice Cream Profits (USD)]]+(1-$K$2)*F228</f>
        <v>5793.1139678209111</v>
      </c>
      <c r="E228" s="6">
        <f t="shared" si="9"/>
        <v>-10.6209477969815</v>
      </c>
      <c r="F228" s="6">
        <f t="shared" si="10"/>
        <v>5910.130645465043</v>
      </c>
      <c r="G228" s="6">
        <f>Linear_Regression56[[#This Row],[Ice Cream Profits (USD)]]-H227</f>
        <v>-158.13064546504302</v>
      </c>
      <c r="H228" s="6">
        <f t="shared" si="11"/>
        <v>5782.4930200239296</v>
      </c>
    </row>
    <row r="229" spans="1:8" x14ac:dyDescent="0.3">
      <c r="A229">
        <v>77</v>
      </c>
      <c r="B229">
        <v>5633</v>
      </c>
      <c r="D229" s="6">
        <f>$K$2*Linear_Regression56[[#This Row],[Ice Cream Profits (USD)]]+(1-$K$2)*F229</f>
        <v>5671.8681852062218</v>
      </c>
      <c r="E229" s="6">
        <f t="shared" si="9"/>
        <v>-90.23238588683752</v>
      </c>
      <c r="F229" s="6">
        <f t="shared" si="10"/>
        <v>5782.4930200239296</v>
      </c>
      <c r="G229" s="6">
        <f>Linear_Regression56[[#This Row],[Ice Cream Profits (USD)]]-H228</f>
        <v>-149.4930200239296</v>
      </c>
      <c r="H229" s="6">
        <f t="shared" si="11"/>
        <v>5581.6357993193842</v>
      </c>
    </row>
    <row r="230" spans="1:8" x14ac:dyDescent="0.3">
      <c r="A230">
        <v>77</v>
      </c>
      <c r="B230">
        <v>5747</v>
      </c>
      <c r="D230" s="6">
        <f>$K$2*Linear_Regression56[[#This Row],[Ice Cream Profits (USD)]]+(1-$K$2)*F230</f>
        <v>5704.0053078230403</v>
      </c>
      <c r="E230" s="6">
        <f t="shared" si="9"/>
        <v>-2.1688641073183028</v>
      </c>
      <c r="F230" s="6">
        <f t="shared" si="10"/>
        <v>5581.6357993193842</v>
      </c>
      <c r="G230" s="6">
        <f>Linear_Regression56[[#This Row],[Ice Cream Profits (USD)]]-H229</f>
        <v>165.3642006806158</v>
      </c>
      <c r="H230" s="6">
        <f t="shared" si="11"/>
        <v>5701.8364437157225</v>
      </c>
    </row>
    <row r="231" spans="1:8" x14ac:dyDescent="0.3">
      <c r="A231">
        <v>78</v>
      </c>
      <c r="B231">
        <v>5813</v>
      </c>
      <c r="D231" s="6">
        <f>$K$2*Linear_Regression56[[#This Row],[Ice Cream Profits (USD)]]+(1-$K$2)*F231</f>
        <v>5784.0974753660885</v>
      </c>
      <c r="E231" s="6">
        <f t="shared" si="9"/>
        <v>57.030492341280443</v>
      </c>
      <c r="F231" s="6">
        <f t="shared" si="10"/>
        <v>5701.8364437157225</v>
      </c>
      <c r="G231" s="6">
        <f>Linear_Regression56[[#This Row],[Ice Cream Profits (USD)]]-H230</f>
        <v>111.16355628427755</v>
      </c>
      <c r="H231" s="6">
        <f t="shared" si="11"/>
        <v>5841.127967707369</v>
      </c>
    </row>
    <row r="232" spans="1:8" x14ac:dyDescent="0.3">
      <c r="A232">
        <v>78</v>
      </c>
      <c r="B232">
        <v>6046</v>
      </c>
      <c r="D232" s="6">
        <f>$K$2*Linear_Regression56[[#This Row],[Ice Cream Profits (USD)]]+(1-$K$2)*F232</f>
        <v>5992.7332716039164</v>
      </c>
      <c r="E232" s="6">
        <f t="shared" si="9"/>
        <v>166.13362714046411</v>
      </c>
      <c r="F232" s="6">
        <f t="shared" si="10"/>
        <v>5841.127967707369</v>
      </c>
      <c r="G232" s="6">
        <f>Linear_Regression56[[#This Row],[Ice Cream Profits (USD)]]-H231</f>
        <v>204.87203229263105</v>
      </c>
      <c r="H232" s="6">
        <f t="shared" si="11"/>
        <v>6158.8668987443807</v>
      </c>
    </row>
    <row r="233" spans="1:8" x14ac:dyDescent="0.3">
      <c r="A233">
        <v>78</v>
      </c>
      <c r="B233">
        <v>6033</v>
      </c>
      <c r="D233" s="6">
        <f>$K$2*Linear_Regression56[[#This Row],[Ice Cream Profits (USD)]]+(1-$K$2)*F233</f>
        <v>6065.7253936735397</v>
      </c>
      <c r="E233" s="6">
        <f t="shared" si="9"/>
        <v>99.104110877120377</v>
      </c>
      <c r="F233" s="6">
        <f t="shared" si="10"/>
        <v>6158.8668987443807</v>
      </c>
      <c r="G233" s="6">
        <f>Linear_Regression56[[#This Row],[Ice Cream Profits (USD)]]-H232</f>
        <v>-125.86689874438071</v>
      </c>
      <c r="H233" s="6">
        <f t="shared" si="11"/>
        <v>6164.8295045506602</v>
      </c>
    </row>
    <row r="234" spans="1:8" x14ac:dyDescent="0.3">
      <c r="A234">
        <v>78</v>
      </c>
      <c r="B234">
        <v>6089</v>
      </c>
      <c r="D234" s="6">
        <f>$K$2*Linear_Regression56[[#This Row],[Ice Cream Profits (USD)]]+(1-$K$2)*F234</f>
        <v>6108.7156711831722</v>
      </c>
      <c r="E234" s="6">
        <f t="shared" si="9"/>
        <v>58.721650840170554</v>
      </c>
      <c r="F234" s="6">
        <f t="shared" si="10"/>
        <v>6164.8295045506602</v>
      </c>
      <c r="G234" s="6">
        <f>Linear_Regression56[[#This Row],[Ice Cream Profits (USD)]]-H233</f>
        <v>-75.829504550660204</v>
      </c>
      <c r="H234" s="6">
        <f t="shared" si="11"/>
        <v>6167.4373220233429</v>
      </c>
    </row>
    <row r="235" spans="1:8" x14ac:dyDescent="0.3">
      <c r="A235">
        <v>78</v>
      </c>
      <c r="B235">
        <v>6258</v>
      </c>
      <c r="D235" s="6">
        <f>$K$2*Linear_Regression56[[#This Row],[Ice Cream Profits (USD)]]+(1-$K$2)*F235</f>
        <v>6234.4537037260698</v>
      </c>
      <c r="E235" s="6">
        <f t="shared" si="9"/>
        <v>106.95015695929379</v>
      </c>
      <c r="F235" s="6">
        <f t="shared" si="10"/>
        <v>6167.4373220233429</v>
      </c>
      <c r="G235" s="6">
        <f>Linear_Regression56[[#This Row],[Ice Cream Profits (USD)]]-H234</f>
        <v>90.562677976657142</v>
      </c>
      <c r="H235" s="6">
        <f t="shared" si="11"/>
        <v>6341.4038606853637</v>
      </c>
    </row>
    <row r="236" spans="1:8" x14ac:dyDescent="0.3">
      <c r="A236">
        <v>78</v>
      </c>
      <c r="B236">
        <v>6122</v>
      </c>
      <c r="D236" s="6">
        <f>$K$2*Linear_Regression56[[#This Row],[Ice Cream Profits (USD)]]+(1-$K$2)*F236</f>
        <v>6179.0450037781948</v>
      </c>
      <c r="E236" s="6">
        <f t="shared" si="9"/>
        <v>-9.8917990653569632</v>
      </c>
      <c r="F236" s="6">
        <f t="shared" si="10"/>
        <v>6341.4038606853637</v>
      </c>
      <c r="G236" s="6">
        <f>Linear_Regression56[[#This Row],[Ice Cream Profits (USD)]]-H235</f>
        <v>-219.40386068536372</v>
      </c>
      <c r="H236" s="6">
        <f t="shared" si="11"/>
        <v>6169.1532047128376</v>
      </c>
    </row>
    <row r="237" spans="1:8" x14ac:dyDescent="0.3">
      <c r="A237">
        <v>78</v>
      </c>
      <c r="B237">
        <v>5962</v>
      </c>
      <c r="D237" s="6">
        <f>$K$2*Linear_Regression56[[#This Row],[Ice Cream Profits (USD)]]+(1-$K$2)*F237</f>
        <v>6015.8598332253387</v>
      </c>
      <c r="E237" s="6">
        <f t="shared" si="9"/>
        <v>-120.20975591358594</v>
      </c>
      <c r="F237" s="6">
        <f t="shared" si="10"/>
        <v>6169.1532047128376</v>
      </c>
      <c r="G237" s="6">
        <f>Linear_Regression56[[#This Row],[Ice Cream Profits (USD)]]-H236</f>
        <v>-207.15320471283758</v>
      </c>
      <c r="H237" s="6">
        <f t="shared" si="11"/>
        <v>5895.6500773117523</v>
      </c>
    </row>
    <row r="238" spans="1:8" x14ac:dyDescent="0.3">
      <c r="A238">
        <v>78</v>
      </c>
      <c r="B238">
        <v>5831</v>
      </c>
      <c r="D238" s="6">
        <f>$K$2*Linear_Regression56[[#This Row],[Ice Cream Profits (USD)]]+(1-$K$2)*F238</f>
        <v>5847.8090201010555</v>
      </c>
      <c r="E238" s="6">
        <f t="shared" si="9"/>
        <v>-154.63869197083579</v>
      </c>
      <c r="F238" s="6">
        <f t="shared" si="10"/>
        <v>5895.6500773117523</v>
      </c>
      <c r="G238" s="6">
        <f>Linear_Regression56[[#This Row],[Ice Cream Profits (USD)]]-H237</f>
        <v>-64.650077311752284</v>
      </c>
      <c r="H238" s="6">
        <f t="shared" si="11"/>
        <v>5693.1703281302198</v>
      </c>
    </row>
    <row r="239" spans="1:8" x14ac:dyDescent="0.3">
      <c r="A239">
        <v>78</v>
      </c>
      <c r="B239">
        <v>5912</v>
      </c>
      <c r="D239" s="6">
        <f>$K$2*Linear_Regression56[[#This Row],[Ice Cream Profits (USD)]]+(1-$K$2)*F239</f>
        <v>5855.1042853138579</v>
      </c>
      <c r="E239" s="6">
        <f t="shared" si="9"/>
        <v>-38.102516091212991</v>
      </c>
      <c r="F239" s="6">
        <f t="shared" si="10"/>
        <v>5693.1703281302198</v>
      </c>
      <c r="G239" s="6">
        <f>Linear_Regression56[[#This Row],[Ice Cream Profits (USD)]]-H238</f>
        <v>218.82967186978021</v>
      </c>
      <c r="H239" s="6">
        <f t="shared" si="11"/>
        <v>5817.0017692226447</v>
      </c>
    </row>
    <row r="240" spans="1:8" x14ac:dyDescent="0.3">
      <c r="A240">
        <v>78</v>
      </c>
      <c r="B240">
        <v>5793</v>
      </c>
      <c r="D240" s="6">
        <f>$K$2*Linear_Regression56[[#This Row],[Ice Cream Profits (USD)]]+(1-$K$2)*F240</f>
        <v>5799.2404599978872</v>
      </c>
      <c r="E240" s="6">
        <f t="shared" si="9"/>
        <v>-50.884486541805188</v>
      </c>
      <c r="F240" s="6">
        <f t="shared" si="10"/>
        <v>5817.0017692226447</v>
      </c>
      <c r="G240" s="6">
        <f>Linear_Regression56[[#This Row],[Ice Cream Profits (USD)]]-H239</f>
        <v>-24.001769222644725</v>
      </c>
      <c r="H240" s="6">
        <f t="shared" si="11"/>
        <v>5748.3559734560822</v>
      </c>
    </row>
    <row r="241" spans="1:8" x14ac:dyDescent="0.3">
      <c r="A241">
        <v>78</v>
      </c>
      <c r="B241">
        <v>5725</v>
      </c>
      <c r="D241" s="6">
        <f>$K$2*Linear_Regression56[[#This Row],[Ice Cream Profits (USD)]]+(1-$K$2)*F241</f>
        <v>5731.0725530985819</v>
      </c>
      <c r="E241" s="6">
        <f t="shared" si="9"/>
        <v>-63.32254307802004</v>
      </c>
      <c r="F241" s="6">
        <f t="shared" si="10"/>
        <v>5748.3559734560822</v>
      </c>
      <c r="G241" s="6">
        <f>Linear_Regression56[[#This Row],[Ice Cream Profits (USD)]]-H240</f>
        <v>-23.355973456082211</v>
      </c>
      <c r="H241" s="6">
        <f t="shared" si="11"/>
        <v>5667.7500100205616</v>
      </c>
    </row>
    <row r="242" spans="1:8" x14ac:dyDescent="0.3">
      <c r="A242">
        <v>78</v>
      </c>
      <c r="B242">
        <v>6220</v>
      </c>
      <c r="D242" s="6">
        <f>$K$2*Linear_Regression56[[#This Row],[Ice Cream Profits (USD)]]+(1-$K$2)*F242</f>
        <v>6076.4150026053458</v>
      </c>
      <c r="E242" s="6">
        <f t="shared" si="9"/>
        <v>230.77423736252538</v>
      </c>
      <c r="F242" s="6">
        <f t="shared" si="10"/>
        <v>5667.7500100205616</v>
      </c>
      <c r="G242" s="6">
        <f>Linear_Regression56[[#This Row],[Ice Cream Profits (USD)]]-H241</f>
        <v>552.2499899794384</v>
      </c>
      <c r="H242" s="6">
        <f t="shared" si="11"/>
        <v>6307.1892399678709</v>
      </c>
    </row>
    <row r="243" spans="1:8" x14ac:dyDescent="0.3">
      <c r="A243">
        <v>79</v>
      </c>
      <c r="B243">
        <v>5970</v>
      </c>
      <c r="D243" s="6">
        <f>$K$2*Linear_Regression56[[#This Row],[Ice Cream Profits (USD)]]+(1-$K$2)*F243</f>
        <v>6057.6692023916457</v>
      </c>
      <c r="E243" s="6">
        <f t="shared" si="9"/>
        <v>51.206520435200474</v>
      </c>
      <c r="F243" s="6">
        <f t="shared" si="10"/>
        <v>6307.1892399678709</v>
      </c>
      <c r="G243" s="6">
        <f>Linear_Regression56[[#This Row],[Ice Cream Profits (USD)]]-H242</f>
        <v>-337.18923996787089</v>
      </c>
      <c r="H243" s="6">
        <f t="shared" si="11"/>
        <v>6108.875722826846</v>
      </c>
    </row>
    <row r="244" spans="1:8" x14ac:dyDescent="0.3">
      <c r="A244">
        <v>79</v>
      </c>
      <c r="B244">
        <v>6482</v>
      </c>
      <c r="D244" s="6">
        <f>$K$2*Linear_Regression56[[#This Row],[Ice Cream Profits (USD)]]+(1-$K$2)*F244</f>
        <v>6384.9876879349795</v>
      </c>
      <c r="E244" s="6">
        <f t="shared" si="9"/>
        <v>249.91118428664905</v>
      </c>
      <c r="F244" s="6">
        <f t="shared" si="10"/>
        <v>6108.875722826846</v>
      </c>
      <c r="G244" s="6">
        <f>Linear_Regression56[[#This Row],[Ice Cream Profits (USD)]]-H243</f>
        <v>373.12427717315404</v>
      </c>
      <c r="H244" s="6">
        <f t="shared" si="11"/>
        <v>6634.8988722216282</v>
      </c>
    </row>
    <row r="245" spans="1:8" x14ac:dyDescent="0.3">
      <c r="A245">
        <v>79</v>
      </c>
      <c r="B245">
        <v>5706</v>
      </c>
      <c r="D245" s="6">
        <f>$K$2*Linear_Regression56[[#This Row],[Ice Cream Profits (USD)]]+(1-$K$2)*F245</f>
        <v>5947.5137067776232</v>
      </c>
      <c r="E245" s="6">
        <f t="shared" si="9"/>
        <v>-244.76726321392289</v>
      </c>
      <c r="F245" s="6">
        <f t="shared" si="10"/>
        <v>6634.8988722216282</v>
      </c>
      <c r="G245" s="6">
        <f>Linear_Regression56[[#This Row],[Ice Cream Profits (USD)]]-H244</f>
        <v>-928.89887222162815</v>
      </c>
      <c r="H245" s="6">
        <f t="shared" si="11"/>
        <v>5702.7464435637003</v>
      </c>
    </row>
    <row r="246" spans="1:8" x14ac:dyDescent="0.3">
      <c r="A246">
        <v>79</v>
      </c>
      <c r="B246">
        <v>6252</v>
      </c>
      <c r="D246" s="6">
        <f>$K$2*Linear_Regression56[[#This Row],[Ice Cream Profits (USD)]]+(1-$K$2)*F246</f>
        <v>6109.1940753265617</v>
      </c>
      <c r="E246" s="6">
        <f t="shared" si="9"/>
        <v>47.733787984737162</v>
      </c>
      <c r="F246" s="6">
        <f t="shared" si="10"/>
        <v>5702.7464435637003</v>
      </c>
      <c r="G246" s="6">
        <f>Linear_Regression56[[#This Row],[Ice Cream Profits (USD)]]-H245</f>
        <v>549.25355643629973</v>
      </c>
      <c r="H246" s="6">
        <f t="shared" si="11"/>
        <v>6156.927863311299</v>
      </c>
    </row>
    <row r="247" spans="1:8" x14ac:dyDescent="0.3">
      <c r="A247">
        <v>79</v>
      </c>
      <c r="B247">
        <v>5993</v>
      </c>
      <c r="D247" s="6">
        <f>$K$2*Linear_Regression56[[#This Row],[Ice Cream Profits (USD)]]+(1-$K$2)*F247</f>
        <v>6035.6212444609373</v>
      </c>
      <c r="E247" s="6">
        <f t="shared" si="9"/>
        <v>-39.564822606719829</v>
      </c>
      <c r="F247" s="6">
        <f t="shared" si="10"/>
        <v>6156.927863311299</v>
      </c>
      <c r="G247" s="6">
        <f>Linear_Regression56[[#This Row],[Ice Cream Profits (USD)]]-H246</f>
        <v>-163.92786331129901</v>
      </c>
      <c r="H247" s="6">
        <f t="shared" si="11"/>
        <v>5996.0564218542177</v>
      </c>
    </row>
    <row r="248" spans="1:8" x14ac:dyDescent="0.3">
      <c r="A248">
        <v>79</v>
      </c>
      <c r="B248">
        <v>6171</v>
      </c>
      <c r="D248" s="6">
        <f>$K$2*Linear_Regression56[[#This Row],[Ice Cream Profits (USD)]]+(1-$K$2)*F248</f>
        <v>6125.5146696820966</v>
      </c>
      <c r="E248" s="6">
        <f t="shared" si="9"/>
        <v>53.600128094934895</v>
      </c>
      <c r="F248" s="6">
        <f t="shared" si="10"/>
        <v>5996.0564218542177</v>
      </c>
      <c r="G248" s="6">
        <f>Linear_Regression56[[#This Row],[Ice Cream Profits (USD)]]-H247</f>
        <v>174.94357814578234</v>
      </c>
      <c r="H248" s="6">
        <f t="shared" si="11"/>
        <v>6179.1147977770315</v>
      </c>
    </row>
    <row r="249" spans="1:8" x14ac:dyDescent="0.3">
      <c r="A249">
        <v>79</v>
      </c>
      <c r="B249">
        <v>5949</v>
      </c>
      <c r="D249" s="6">
        <f>$K$2*Linear_Regression56[[#This Row],[Ice Cream Profits (USD)]]+(1-$K$2)*F249</f>
        <v>6008.8298474220283</v>
      </c>
      <c r="E249" s="6">
        <f t="shared" si="9"/>
        <v>-68.945860833868792</v>
      </c>
      <c r="F249" s="6">
        <f t="shared" si="10"/>
        <v>6179.1147977770315</v>
      </c>
      <c r="G249" s="6">
        <f>Linear_Regression56[[#This Row],[Ice Cream Profits (USD)]]-H248</f>
        <v>-230.11479777703153</v>
      </c>
      <c r="H249" s="6">
        <f t="shared" si="11"/>
        <v>5939.8839865881591</v>
      </c>
    </row>
    <row r="250" spans="1:8" x14ac:dyDescent="0.3">
      <c r="A250">
        <v>79</v>
      </c>
      <c r="B250">
        <v>6742</v>
      </c>
      <c r="D250" s="6">
        <f>$K$2*Linear_Regression56[[#This Row],[Ice Cream Profits (USD)]]+(1-$K$2)*F250</f>
        <v>6533.449836512922</v>
      </c>
      <c r="E250" s="6">
        <f t="shared" si="9"/>
        <v>358.21528242484146</v>
      </c>
      <c r="F250" s="6">
        <f t="shared" si="10"/>
        <v>5939.8839865881591</v>
      </c>
      <c r="G250" s="6">
        <f>Linear_Regression56[[#This Row],[Ice Cream Profits (USD)]]-H249</f>
        <v>802.11601341184087</v>
      </c>
      <c r="H250" s="6">
        <f t="shared" si="11"/>
        <v>6891.6651189377635</v>
      </c>
    </row>
    <row r="251" spans="1:8" x14ac:dyDescent="0.3">
      <c r="A251">
        <v>79</v>
      </c>
      <c r="B251">
        <v>5634</v>
      </c>
      <c r="D251" s="6">
        <f>$K$2*Linear_Regression56[[#This Row],[Ice Cream Profits (USD)]]+(1-$K$2)*F251</f>
        <v>5960.9929309238187</v>
      </c>
      <c r="E251" s="6">
        <f t="shared" si="9"/>
        <v>-311.54527721906845</v>
      </c>
      <c r="F251" s="6">
        <f t="shared" si="10"/>
        <v>6891.6651189377635</v>
      </c>
      <c r="G251" s="6">
        <f>Linear_Regression56[[#This Row],[Ice Cream Profits (USD)]]-H250</f>
        <v>-1257.6651189377635</v>
      </c>
      <c r="H251" s="6">
        <f t="shared" si="11"/>
        <v>5649.4476537047503</v>
      </c>
    </row>
    <row r="252" spans="1:8" x14ac:dyDescent="0.3">
      <c r="A252">
        <v>79</v>
      </c>
      <c r="B252">
        <v>5969</v>
      </c>
      <c r="D252" s="6">
        <f>$K$2*Linear_Regression56[[#This Row],[Ice Cream Profits (USD)]]+(1-$K$2)*F252</f>
        <v>5885.9163899632349</v>
      </c>
      <c r="E252" s="6">
        <f t="shared" si="9"/>
        <v>-141.36996181316985</v>
      </c>
      <c r="F252" s="6">
        <f t="shared" si="10"/>
        <v>5649.4476537047503</v>
      </c>
      <c r="G252" s="6">
        <f>Linear_Regression56[[#This Row],[Ice Cream Profits (USD)]]-H251</f>
        <v>319.55234629524966</v>
      </c>
      <c r="H252" s="6">
        <f t="shared" si="11"/>
        <v>5744.5464281500654</v>
      </c>
    </row>
    <row r="253" spans="1:8" x14ac:dyDescent="0.3">
      <c r="A253">
        <v>79</v>
      </c>
      <c r="B253">
        <v>5744</v>
      </c>
      <c r="D253" s="6">
        <f>$K$2*Linear_Regression56[[#This Row],[Ice Cream Profits (USD)]]+(1-$K$2)*F253</f>
        <v>5744.1420713190164</v>
      </c>
      <c r="E253" s="6">
        <f t="shared" si="9"/>
        <v>-141.66095821442357</v>
      </c>
      <c r="F253" s="6">
        <f t="shared" si="10"/>
        <v>5744.5464281500654</v>
      </c>
      <c r="G253" s="6">
        <f>Linear_Regression56[[#This Row],[Ice Cream Profits (USD)]]-H252</f>
        <v>-0.54642815006536694</v>
      </c>
      <c r="H253" s="6">
        <f t="shared" si="11"/>
        <v>5602.4811131045926</v>
      </c>
    </row>
    <row r="254" spans="1:8" x14ac:dyDescent="0.3">
      <c r="A254">
        <v>79</v>
      </c>
      <c r="B254">
        <v>6463</v>
      </c>
      <c r="D254" s="6">
        <f>$K$2*Linear_Regression56[[#This Row],[Ice Cream Profits (USD)]]+(1-$K$2)*F254</f>
        <v>6239.265089407194</v>
      </c>
      <c r="E254" s="6">
        <f t="shared" si="9"/>
        <v>316.60221740581312</v>
      </c>
      <c r="F254" s="6">
        <f t="shared" si="10"/>
        <v>5602.4811131045926</v>
      </c>
      <c r="G254" s="6">
        <f>Linear_Regression56[[#This Row],[Ice Cream Profits (USD)]]-H253</f>
        <v>860.51888689540738</v>
      </c>
      <c r="H254" s="6">
        <f t="shared" si="11"/>
        <v>6555.8673068130074</v>
      </c>
    </row>
    <row r="255" spans="1:8" x14ac:dyDescent="0.3">
      <c r="A255">
        <v>80</v>
      </c>
      <c r="B255">
        <v>5547</v>
      </c>
      <c r="D255" s="6">
        <f>$K$2*Linear_Regression56[[#This Row],[Ice Cream Profits (USD)]]+(1-$K$2)*F255</f>
        <v>5809.3054997713816</v>
      </c>
      <c r="E255" s="6">
        <f t="shared" si="9"/>
        <v>-220.66284770804373</v>
      </c>
      <c r="F255" s="6">
        <f t="shared" si="10"/>
        <v>6555.8673068130074</v>
      </c>
      <c r="G255" s="6">
        <f>Linear_Regression56[[#This Row],[Ice Cream Profits (USD)]]-H254</f>
        <v>-1008.8673068130074</v>
      </c>
      <c r="H255" s="6">
        <f t="shared" si="11"/>
        <v>5588.6426520633377</v>
      </c>
    </row>
    <row r="256" spans="1:8" x14ac:dyDescent="0.3">
      <c r="A256">
        <v>80</v>
      </c>
      <c r="B256">
        <v>6122</v>
      </c>
      <c r="D256" s="6">
        <f>$K$2*Linear_Regression56[[#This Row],[Ice Cream Profits (USD)]]+(1-$K$2)*F256</f>
        <v>5983.3270895364676</v>
      </c>
      <c r="E256" s="6">
        <f t="shared" si="9"/>
        <v>63.372791402280995</v>
      </c>
      <c r="F256" s="6">
        <f t="shared" si="10"/>
        <v>5588.6426520633377</v>
      </c>
      <c r="G256" s="6">
        <f>Linear_Regression56[[#This Row],[Ice Cream Profits (USD)]]-H255</f>
        <v>533.35734793666234</v>
      </c>
      <c r="H256" s="6">
        <f t="shared" si="11"/>
        <v>6046.6998809387487</v>
      </c>
    </row>
    <row r="257" spans="1:8" x14ac:dyDescent="0.3">
      <c r="A257">
        <v>80</v>
      </c>
      <c r="B257">
        <v>6279</v>
      </c>
      <c r="D257" s="6">
        <f>$K$2*Linear_Regression56[[#This Row],[Ice Cream Profits (USD)]]+(1-$K$2)*F257</f>
        <v>6218.6019690440753</v>
      </c>
      <c r="E257" s="6">
        <f t="shared" si="9"/>
        <v>187.08255754354147</v>
      </c>
      <c r="F257" s="6">
        <f t="shared" si="10"/>
        <v>6046.6998809387487</v>
      </c>
      <c r="G257" s="6">
        <f>Linear_Regression56[[#This Row],[Ice Cream Profits (USD)]]-H256</f>
        <v>232.30011906125128</v>
      </c>
      <c r="H257" s="6">
        <f t="shared" si="11"/>
        <v>6405.6845265876163</v>
      </c>
    </row>
    <row r="258" spans="1:8" x14ac:dyDescent="0.3">
      <c r="A258">
        <v>80</v>
      </c>
      <c r="B258">
        <v>5991</v>
      </c>
      <c r="D258" s="6">
        <f>$K$2*Linear_Regression56[[#This Row],[Ice Cream Profits (USD)]]+(1-$K$2)*F258</f>
        <v>6098.817976912781</v>
      </c>
      <c r="E258" s="6">
        <f t="shared" si="9"/>
        <v>-33.754719741824402</v>
      </c>
      <c r="F258" s="6">
        <f t="shared" si="10"/>
        <v>6405.6845265876163</v>
      </c>
      <c r="G258" s="6">
        <f>Linear_Regression56[[#This Row],[Ice Cream Profits (USD)]]-H257</f>
        <v>-414.68452658761635</v>
      </c>
      <c r="H258" s="6">
        <f t="shared" si="11"/>
        <v>6065.0632571709566</v>
      </c>
    </row>
    <row r="259" spans="1:8" x14ac:dyDescent="0.3">
      <c r="A259">
        <v>80</v>
      </c>
      <c r="B259">
        <v>6159</v>
      </c>
      <c r="D259" s="6">
        <f>$K$2*Linear_Regression56[[#This Row],[Ice Cream Profits (USD)]]+(1-$K$2)*F259</f>
        <v>6134.5764468644484</v>
      </c>
      <c r="E259" s="6">
        <f t="shared" si="9"/>
        <v>16.270620470715329</v>
      </c>
      <c r="F259" s="6">
        <f t="shared" si="10"/>
        <v>6065.0632571709566</v>
      </c>
      <c r="G259" s="6">
        <f>Linear_Regression56[[#This Row],[Ice Cream Profits (USD)]]-H258</f>
        <v>93.936742829043396</v>
      </c>
      <c r="H259" s="6">
        <f t="shared" si="11"/>
        <v>6150.847067335164</v>
      </c>
    </row>
    <row r="260" spans="1:8" x14ac:dyDescent="0.3">
      <c r="A260">
        <v>80</v>
      </c>
      <c r="B260">
        <v>6346</v>
      </c>
      <c r="D260" s="6">
        <f>$K$2*Linear_Regression56[[#This Row],[Ice Cream Profits (USD)]]+(1-$K$2)*F260</f>
        <v>6295.2602375071428</v>
      </c>
      <c r="E260" s="6">
        <f t="shared" ref="E260:E323" si="12">$K$3*(D260-D259)+(1-$K$3)*E259</f>
        <v>120.19791830986243</v>
      </c>
      <c r="F260" s="6">
        <f t="shared" ref="F260:F323" si="13">D259+E259</f>
        <v>6150.847067335164</v>
      </c>
      <c r="G260" s="6">
        <f>Linear_Regression56[[#This Row],[Ice Cream Profits (USD)]]-H259</f>
        <v>195.15293266483604</v>
      </c>
      <c r="H260" s="6">
        <f t="shared" ref="H260:H323" si="14">D260+E260</f>
        <v>6415.4581558170057</v>
      </c>
    </row>
    <row r="261" spans="1:8" x14ac:dyDescent="0.3">
      <c r="A261">
        <v>80</v>
      </c>
      <c r="B261">
        <v>6445</v>
      </c>
      <c r="D261" s="6">
        <f>$K$2*Linear_Regression56[[#This Row],[Ice Cream Profits (USD)]]+(1-$K$2)*F261</f>
        <v>6437.3191205124222</v>
      </c>
      <c r="E261" s="6">
        <f t="shared" si="12"/>
        <v>135.93021603759769</v>
      </c>
      <c r="F261" s="6">
        <f t="shared" si="13"/>
        <v>6415.4581558170057</v>
      </c>
      <c r="G261" s="6">
        <f>Linear_Regression56[[#This Row],[Ice Cream Profits (USD)]]-H260</f>
        <v>29.541844182994282</v>
      </c>
      <c r="H261" s="6">
        <f t="shared" si="14"/>
        <v>6573.2493365500195</v>
      </c>
    </row>
    <row r="262" spans="1:8" x14ac:dyDescent="0.3">
      <c r="A262">
        <v>80</v>
      </c>
      <c r="B262">
        <v>6542</v>
      </c>
      <c r="D262" s="6">
        <f>$K$2*Linear_Regression56[[#This Row],[Ice Cream Profits (USD)]]+(1-$K$2)*F262</f>
        <v>6550.1248275030048</v>
      </c>
      <c r="E262" s="6">
        <f t="shared" si="12"/>
        <v>119.28860546806877</v>
      </c>
      <c r="F262" s="6">
        <f t="shared" si="13"/>
        <v>6573.2493365500195</v>
      </c>
      <c r="G262" s="6">
        <f>Linear_Regression56[[#This Row],[Ice Cream Profits (USD)]]-H261</f>
        <v>-31.249336550019507</v>
      </c>
      <c r="H262" s="6">
        <f t="shared" si="14"/>
        <v>6669.4134329710732</v>
      </c>
    </row>
    <row r="263" spans="1:8" x14ac:dyDescent="0.3">
      <c r="A263">
        <v>80</v>
      </c>
      <c r="B263">
        <v>6182</v>
      </c>
      <c r="D263" s="6">
        <f>$K$2*Linear_Regression56[[#This Row],[Ice Cream Profits (USD)]]+(1-$K$2)*F263</f>
        <v>6308.7274925724787</v>
      </c>
      <c r="E263" s="6">
        <f t="shared" si="12"/>
        <v>-140.27993048718551</v>
      </c>
      <c r="F263" s="6">
        <f t="shared" si="13"/>
        <v>6669.4134329710732</v>
      </c>
      <c r="G263" s="6">
        <f>Linear_Regression56[[#This Row],[Ice Cream Profits (USD)]]-H262</f>
        <v>-487.41343297107323</v>
      </c>
      <c r="H263" s="6">
        <f t="shared" si="14"/>
        <v>6168.4475620852936</v>
      </c>
    </row>
    <row r="264" spans="1:8" x14ac:dyDescent="0.3">
      <c r="A264">
        <v>81</v>
      </c>
      <c r="B264">
        <v>6436</v>
      </c>
      <c r="D264" s="6">
        <f>$K$2*Linear_Regression56[[#This Row],[Ice Cream Profits (USD)]]+(1-$K$2)*F264</f>
        <v>6366.4363661421758</v>
      </c>
      <c r="E264" s="6">
        <f t="shared" si="12"/>
        <v>2.203205805245716</v>
      </c>
      <c r="F264" s="6">
        <f t="shared" si="13"/>
        <v>6168.4475620852936</v>
      </c>
      <c r="G264" s="6">
        <f>Linear_Regression56[[#This Row],[Ice Cream Profits (USD)]]-H263</f>
        <v>267.55243791470639</v>
      </c>
      <c r="H264" s="6">
        <f t="shared" si="14"/>
        <v>6368.6395719474212</v>
      </c>
    </row>
    <row r="265" spans="1:8" x14ac:dyDescent="0.3">
      <c r="A265">
        <v>81</v>
      </c>
      <c r="B265">
        <v>5811</v>
      </c>
      <c r="D265" s="6">
        <f>$K$2*Linear_Regression56[[#This Row],[Ice Cream Profits (USD)]]+(1-$K$2)*F265</f>
        <v>5955.9862887063291</v>
      </c>
      <c r="E265" s="6">
        <f t="shared" si="12"/>
        <v>-294.76375794623766</v>
      </c>
      <c r="F265" s="6">
        <f t="shared" si="13"/>
        <v>6368.6395719474212</v>
      </c>
      <c r="G265" s="6">
        <f>Linear_Regression56[[#This Row],[Ice Cream Profits (USD)]]-H264</f>
        <v>-557.63957194742125</v>
      </c>
      <c r="H265" s="6">
        <f t="shared" si="14"/>
        <v>5661.2225307600911</v>
      </c>
    </row>
    <row r="266" spans="1:8" x14ac:dyDescent="0.3">
      <c r="A266">
        <v>81</v>
      </c>
      <c r="B266">
        <v>5947</v>
      </c>
      <c r="D266" s="6">
        <f>$K$2*Linear_Regression56[[#This Row],[Ice Cream Profits (USD)]]+(1-$K$2)*F266</f>
        <v>5872.6978579976239</v>
      </c>
      <c r="E266" s="6">
        <f t="shared" si="12"/>
        <v>-142.57501163402219</v>
      </c>
      <c r="F266" s="6">
        <f t="shared" si="13"/>
        <v>5661.2225307600911</v>
      </c>
      <c r="G266" s="6">
        <f>Linear_Regression56[[#This Row],[Ice Cream Profits (USD)]]-H265</f>
        <v>285.7774692399089</v>
      </c>
      <c r="H266" s="6">
        <f t="shared" si="14"/>
        <v>5730.1228463636016</v>
      </c>
    </row>
    <row r="267" spans="1:8" x14ac:dyDescent="0.3">
      <c r="A267">
        <v>81</v>
      </c>
      <c r="B267">
        <v>6586</v>
      </c>
      <c r="D267" s="6">
        <f>$K$2*Linear_Regression56[[#This Row],[Ice Cream Profits (USD)]]+(1-$K$2)*F267</f>
        <v>6363.4719400545364</v>
      </c>
      <c r="E267" s="6">
        <f t="shared" si="12"/>
        <v>313.21624215387715</v>
      </c>
      <c r="F267" s="6">
        <f t="shared" si="13"/>
        <v>5730.1228463636016</v>
      </c>
      <c r="G267" s="6">
        <f>Linear_Regression56[[#This Row],[Ice Cream Profits (USD)]]-H266</f>
        <v>855.87715363639836</v>
      </c>
      <c r="H267" s="6">
        <f t="shared" si="14"/>
        <v>6676.6881822084133</v>
      </c>
    </row>
    <row r="268" spans="1:8" x14ac:dyDescent="0.3">
      <c r="A268">
        <v>81</v>
      </c>
      <c r="B268">
        <v>6152</v>
      </c>
      <c r="D268" s="6">
        <f>$K$2*Linear_Regression56[[#This Row],[Ice Cream Profits (USD)]]+(1-$K$2)*F268</f>
        <v>6288.4189273741868</v>
      </c>
      <c r="E268" s="6">
        <f t="shared" si="12"/>
        <v>33.797305218373559</v>
      </c>
      <c r="F268" s="6">
        <f t="shared" si="13"/>
        <v>6676.6881822084133</v>
      </c>
      <c r="G268" s="6">
        <f>Linear_Regression56[[#This Row],[Ice Cream Profits (USD)]]-H267</f>
        <v>-524.68818220841331</v>
      </c>
      <c r="H268" s="6">
        <f t="shared" si="14"/>
        <v>6322.2162325925601</v>
      </c>
    </row>
    <row r="269" spans="1:8" x14ac:dyDescent="0.3">
      <c r="A269">
        <v>81</v>
      </c>
      <c r="B269">
        <v>6212</v>
      </c>
      <c r="D269" s="6">
        <f>$K$2*Linear_Regression56[[#This Row],[Ice Cream Profits (USD)]]+(1-$K$2)*F269</f>
        <v>6240.6562204740658</v>
      </c>
      <c r="E269" s="6">
        <f t="shared" si="12"/>
        <v>-24.897560776943454</v>
      </c>
      <c r="F269" s="6">
        <f t="shared" si="13"/>
        <v>6322.2162325925601</v>
      </c>
      <c r="G269" s="6">
        <f>Linear_Regression56[[#This Row],[Ice Cream Profits (USD)]]-H268</f>
        <v>-110.21623259256012</v>
      </c>
      <c r="H269" s="6">
        <f t="shared" si="14"/>
        <v>6215.7586596971223</v>
      </c>
    </row>
    <row r="270" spans="1:8" x14ac:dyDescent="0.3">
      <c r="A270">
        <v>81</v>
      </c>
      <c r="B270">
        <v>6423</v>
      </c>
      <c r="D270" s="6">
        <f>$K$2*Linear_Regression56[[#This Row],[Ice Cream Profits (USD)]]+(1-$K$2)*F270</f>
        <v>6369.1172515212511</v>
      </c>
      <c r="E270" s="6">
        <f t="shared" si="12"/>
        <v>85.467332049091439</v>
      </c>
      <c r="F270" s="6">
        <f t="shared" si="13"/>
        <v>6215.7586596971223</v>
      </c>
      <c r="G270" s="6">
        <f>Linear_Regression56[[#This Row],[Ice Cream Profits (USD)]]-H269</f>
        <v>207.24134030287769</v>
      </c>
      <c r="H270" s="6">
        <f t="shared" si="14"/>
        <v>6454.5845835703421</v>
      </c>
    </row>
    <row r="271" spans="1:8" x14ac:dyDescent="0.3">
      <c r="A271">
        <v>81</v>
      </c>
      <c r="B271">
        <v>6236</v>
      </c>
      <c r="D271" s="6">
        <f>$K$2*Linear_Regression56[[#This Row],[Ice Cream Profits (USD)]]+(1-$K$2)*F271</f>
        <v>6292.8319917282888</v>
      </c>
      <c r="E271" s="6">
        <f t="shared" si="12"/>
        <v>-30.938323810438309</v>
      </c>
      <c r="F271" s="6">
        <f t="shared" si="13"/>
        <v>6454.5845835703421</v>
      </c>
      <c r="G271" s="6">
        <f>Linear_Regression56[[#This Row],[Ice Cream Profits (USD)]]-H270</f>
        <v>-218.58458357034215</v>
      </c>
      <c r="H271" s="6">
        <f t="shared" si="14"/>
        <v>6261.8936679178505</v>
      </c>
    </row>
    <row r="272" spans="1:8" x14ac:dyDescent="0.3">
      <c r="A272">
        <v>81</v>
      </c>
      <c r="B272">
        <v>6232</v>
      </c>
      <c r="D272" s="6">
        <f>$K$2*Linear_Regression56[[#This Row],[Ice Cream Profits (USD)]]+(1-$K$2)*F272</f>
        <v>6239.7723536586409</v>
      </c>
      <c r="E272" s="6">
        <f t="shared" si="12"/>
        <v>-46.857982750633298</v>
      </c>
      <c r="F272" s="6">
        <f t="shared" si="13"/>
        <v>6261.8936679178505</v>
      </c>
      <c r="G272" s="6">
        <f>Linear_Regression56[[#This Row],[Ice Cream Profits (USD)]]-H271</f>
        <v>-29.893667917850507</v>
      </c>
      <c r="H272" s="6">
        <f t="shared" si="14"/>
        <v>6192.9143709080072</v>
      </c>
    </row>
    <row r="273" spans="1:8" x14ac:dyDescent="0.3">
      <c r="A273">
        <v>82</v>
      </c>
      <c r="B273">
        <v>6497</v>
      </c>
      <c r="D273" s="6">
        <f>$K$2*Linear_Regression56[[#This Row],[Ice Cream Profits (USD)]]+(1-$K$2)*F273</f>
        <v>6417.9377364360817</v>
      </c>
      <c r="E273" s="6">
        <f t="shared" si="12"/>
        <v>115.0806430835157</v>
      </c>
      <c r="F273" s="6">
        <f t="shared" si="13"/>
        <v>6192.9143709080072</v>
      </c>
      <c r="G273" s="6">
        <f>Linear_Regression56[[#This Row],[Ice Cream Profits (USD)]]-H272</f>
        <v>304.08562909199281</v>
      </c>
      <c r="H273" s="6">
        <f t="shared" si="14"/>
        <v>6533.0183795195971</v>
      </c>
    </row>
    <row r="274" spans="1:8" x14ac:dyDescent="0.3">
      <c r="A274">
        <v>82</v>
      </c>
      <c r="B274">
        <v>6615</v>
      </c>
      <c r="D274" s="6">
        <f>$K$2*Linear_Regression56[[#This Row],[Ice Cream Profits (USD)]]+(1-$K$2)*F274</f>
        <v>6593.684778675095</v>
      </c>
      <c r="E274" s="6">
        <f t="shared" si="12"/>
        <v>158.73936843629062</v>
      </c>
      <c r="F274" s="6">
        <f t="shared" si="13"/>
        <v>6533.0183795195971</v>
      </c>
      <c r="G274" s="6">
        <f>Linear_Regression56[[#This Row],[Ice Cream Profits (USD)]]-H273</f>
        <v>81.981620480402853</v>
      </c>
      <c r="H274" s="6">
        <f t="shared" si="14"/>
        <v>6752.4241471113855</v>
      </c>
    </row>
    <row r="275" spans="1:8" x14ac:dyDescent="0.3">
      <c r="A275">
        <v>82</v>
      </c>
      <c r="B275">
        <v>6402</v>
      </c>
      <c r="D275" s="6">
        <f>$K$2*Linear_Regression56[[#This Row],[Ice Cream Profits (USD)]]+(1-$K$2)*F275</f>
        <v>6493.1102782489597</v>
      </c>
      <c r="E275" s="6">
        <f t="shared" si="12"/>
        <v>-27.876503585581261</v>
      </c>
      <c r="F275" s="6">
        <f t="shared" si="13"/>
        <v>6752.4241471113855</v>
      </c>
      <c r="G275" s="6">
        <f>Linear_Regression56[[#This Row],[Ice Cream Profits (USD)]]-H274</f>
        <v>-350.42414711138554</v>
      </c>
      <c r="H275" s="6">
        <f t="shared" si="14"/>
        <v>6465.2337746633784</v>
      </c>
    </row>
    <row r="276" spans="1:8" x14ac:dyDescent="0.3">
      <c r="A276">
        <v>82</v>
      </c>
      <c r="B276">
        <v>6341</v>
      </c>
      <c r="D276" s="6">
        <f>$K$2*Linear_Regression56[[#This Row],[Ice Cream Profits (USD)]]+(1-$K$2)*F276</f>
        <v>6373.3007814124785</v>
      </c>
      <c r="E276" s="6">
        <f t="shared" si="12"/>
        <v>-94.036311305697609</v>
      </c>
      <c r="F276" s="6">
        <f t="shared" si="13"/>
        <v>6465.2337746633784</v>
      </c>
      <c r="G276" s="6">
        <f>Linear_Regression56[[#This Row],[Ice Cream Profits (USD)]]-H275</f>
        <v>-124.23377466337843</v>
      </c>
      <c r="H276" s="6">
        <f t="shared" si="14"/>
        <v>6279.2644701067811</v>
      </c>
    </row>
    <row r="277" spans="1:8" x14ac:dyDescent="0.3">
      <c r="A277">
        <v>82</v>
      </c>
      <c r="B277">
        <v>6185</v>
      </c>
      <c r="D277" s="6">
        <f>$K$2*Linear_Regression56[[#This Row],[Ice Cream Profits (USD)]]+(1-$K$2)*F277</f>
        <v>6209.5087622277633</v>
      </c>
      <c r="E277" s="6">
        <f t="shared" si="12"/>
        <v>-144.23618033488566</v>
      </c>
      <c r="F277" s="6">
        <f t="shared" si="13"/>
        <v>6279.2644701067811</v>
      </c>
      <c r="G277" s="6">
        <f>Linear_Regression56[[#This Row],[Ice Cream Profits (USD)]]-H276</f>
        <v>-94.264470106781118</v>
      </c>
      <c r="H277" s="6">
        <f t="shared" si="14"/>
        <v>6065.2725818928775</v>
      </c>
    </row>
    <row r="278" spans="1:8" x14ac:dyDescent="0.3">
      <c r="A278">
        <v>82</v>
      </c>
      <c r="B278">
        <v>6549</v>
      </c>
      <c r="D278" s="6">
        <f>$K$2*Linear_Regression56[[#This Row],[Ice Cream Profits (USD)]]+(1-$K$2)*F278</f>
        <v>6423.2308712921476</v>
      </c>
      <c r="E278" s="6">
        <f t="shared" si="12"/>
        <v>113.3693947805055</v>
      </c>
      <c r="F278" s="6">
        <f t="shared" si="13"/>
        <v>6065.2725818928775</v>
      </c>
      <c r="G278" s="6">
        <f>Linear_Regression56[[#This Row],[Ice Cream Profits (USD)]]-H277</f>
        <v>483.7274181071225</v>
      </c>
      <c r="H278" s="6">
        <f t="shared" si="14"/>
        <v>6536.6002660726535</v>
      </c>
    </row>
    <row r="279" spans="1:8" x14ac:dyDescent="0.3">
      <c r="A279">
        <v>82</v>
      </c>
      <c r="B279">
        <v>6439</v>
      </c>
      <c r="D279" s="6">
        <f>$K$2*Linear_Regression56[[#This Row],[Ice Cream Profits (USD)]]+(1-$K$2)*F279</f>
        <v>6464.3760691788902</v>
      </c>
      <c r="E279" s="6">
        <f t="shared" si="12"/>
        <v>61.393071479573493</v>
      </c>
      <c r="F279" s="6">
        <f t="shared" si="13"/>
        <v>6536.6002660726535</v>
      </c>
      <c r="G279" s="6">
        <f>Linear_Regression56[[#This Row],[Ice Cream Profits (USD)]]-H278</f>
        <v>-97.60026607265354</v>
      </c>
      <c r="H279" s="6">
        <f t="shared" si="14"/>
        <v>6525.7691406584636</v>
      </c>
    </row>
    <row r="280" spans="1:8" x14ac:dyDescent="0.3">
      <c r="A280">
        <v>82</v>
      </c>
      <c r="B280">
        <v>6606</v>
      </c>
      <c r="D280" s="6">
        <f>$K$2*Linear_Regression56[[#This Row],[Ice Cream Profits (USD)]]+(1-$K$2)*F280</f>
        <v>6585.1399765712004</v>
      </c>
      <c r="E280" s="6">
        <f t="shared" si="12"/>
        <v>104.11944151572784</v>
      </c>
      <c r="F280" s="6">
        <f t="shared" si="13"/>
        <v>6525.7691406584636</v>
      </c>
      <c r="G280" s="6">
        <f>Linear_Regression56[[#This Row],[Ice Cream Profits (USD)]]-H279</f>
        <v>80.230859341536416</v>
      </c>
      <c r="H280" s="6">
        <f t="shared" si="14"/>
        <v>6689.2594180869282</v>
      </c>
    </row>
    <row r="281" spans="1:8" x14ac:dyDescent="0.3">
      <c r="A281">
        <v>82</v>
      </c>
      <c r="B281">
        <v>6486</v>
      </c>
      <c r="D281" s="6">
        <f>$K$2*Linear_Regression56[[#This Row],[Ice Cream Profits (USD)]]+(1-$K$2)*F281</f>
        <v>6538.8474487026015</v>
      </c>
      <c r="E281" s="6">
        <f t="shared" si="12"/>
        <v>-4.1249071275560532</v>
      </c>
      <c r="F281" s="6">
        <f t="shared" si="13"/>
        <v>6689.2594180869282</v>
      </c>
      <c r="G281" s="6">
        <f>Linear_Regression56[[#This Row],[Ice Cream Profits (USD)]]-H280</f>
        <v>-203.25941808692824</v>
      </c>
      <c r="H281" s="6">
        <f t="shared" si="14"/>
        <v>6534.7225415750454</v>
      </c>
    </row>
    <row r="282" spans="1:8" x14ac:dyDescent="0.3">
      <c r="A282">
        <v>82</v>
      </c>
      <c r="B282">
        <v>6285</v>
      </c>
      <c r="D282" s="6">
        <f>$K$2*Linear_Regression56[[#This Row],[Ice Cream Profits (USD)]]+(1-$K$2)*F282</f>
        <v>6349.9278608095119</v>
      </c>
      <c r="E282" s="6">
        <f t="shared" si="12"/>
        <v>-137.11285970929461</v>
      </c>
      <c r="F282" s="6">
        <f t="shared" si="13"/>
        <v>6534.7225415750454</v>
      </c>
      <c r="G282" s="6">
        <f>Linear_Regression56[[#This Row],[Ice Cream Profits (USD)]]-H281</f>
        <v>-249.7225415750454</v>
      </c>
      <c r="H282" s="6">
        <f t="shared" si="14"/>
        <v>6212.8150011002172</v>
      </c>
    </row>
    <row r="283" spans="1:8" x14ac:dyDescent="0.3">
      <c r="A283">
        <v>82</v>
      </c>
      <c r="B283">
        <v>6657</v>
      </c>
      <c r="D283" s="6">
        <f>$K$2*Linear_Regression56[[#This Row],[Ice Cream Profits (USD)]]+(1-$K$2)*F283</f>
        <v>6541.5119002860556</v>
      </c>
      <c r="E283" s="6">
        <f t="shared" si="12"/>
        <v>99.434683010039635</v>
      </c>
      <c r="F283" s="6">
        <f t="shared" si="13"/>
        <v>6212.8150011002172</v>
      </c>
      <c r="G283" s="6">
        <f>Linear_Regression56[[#This Row],[Ice Cream Profits (USD)]]-H282</f>
        <v>444.18499889978284</v>
      </c>
      <c r="H283" s="6">
        <f t="shared" si="14"/>
        <v>6640.946583296095</v>
      </c>
    </row>
    <row r="284" spans="1:8" x14ac:dyDescent="0.3">
      <c r="A284">
        <v>83</v>
      </c>
      <c r="B284">
        <v>6554</v>
      </c>
      <c r="D284" s="6">
        <f>$K$2*Linear_Regression56[[#This Row],[Ice Cream Profits (USD)]]+(1-$K$2)*F284</f>
        <v>6576.6061116569854</v>
      </c>
      <c r="E284" s="6">
        <f t="shared" si="12"/>
        <v>53.131902237442134</v>
      </c>
      <c r="F284" s="6">
        <f t="shared" si="13"/>
        <v>6640.946583296095</v>
      </c>
      <c r="G284" s="6">
        <f>Linear_Regression56[[#This Row],[Ice Cream Profits (USD)]]-H283</f>
        <v>-86.946583296095014</v>
      </c>
      <c r="H284" s="6">
        <f t="shared" si="14"/>
        <v>6629.7380138944272</v>
      </c>
    </row>
    <row r="285" spans="1:8" x14ac:dyDescent="0.3">
      <c r="A285">
        <v>83</v>
      </c>
      <c r="B285">
        <v>6258</v>
      </c>
      <c r="D285" s="6">
        <f>$K$2*Linear_Regression56[[#This Row],[Ice Cream Profits (USD)]]+(1-$K$2)*F285</f>
        <v>6354.6518836125515</v>
      </c>
      <c r="E285" s="6">
        <f t="shared" si="12"/>
        <v>-144.8345170245743</v>
      </c>
      <c r="F285" s="6">
        <f t="shared" si="13"/>
        <v>6629.7380138944272</v>
      </c>
      <c r="G285" s="6">
        <f>Linear_Regression56[[#This Row],[Ice Cream Profits (USD)]]-H284</f>
        <v>-371.73801389442724</v>
      </c>
      <c r="H285" s="6">
        <f t="shared" si="14"/>
        <v>6209.8173665879776</v>
      </c>
    </row>
    <row r="286" spans="1:8" x14ac:dyDescent="0.3">
      <c r="A286">
        <v>83</v>
      </c>
      <c r="B286">
        <v>6329</v>
      </c>
      <c r="D286" s="6">
        <f>$K$2*Linear_Regression56[[#This Row],[Ice Cream Profits (USD)]]+(1-$K$2)*F286</f>
        <v>6298.0125153128747</v>
      </c>
      <c r="E286" s="6">
        <f t="shared" si="12"/>
        <v>-81.364658433527481</v>
      </c>
      <c r="F286" s="6">
        <f t="shared" si="13"/>
        <v>6209.8173665879776</v>
      </c>
      <c r="G286" s="6">
        <f>Linear_Regression56[[#This Row],[Ice Cream Profits (USD)]]-H285</f>
        <v>119.18263341202237</v>
      </c>
      <c r="H286" s="6">
        <f t="shared" si="14"/>
        <v>6216.6478568793473</v>
      </c>
    </row>
    <row r="287" spans="1:8" x14ac:dyDescent="0.3">
      <c r="A287">
        <v>83</v>
      </c>
      <c r="B287">
        <v>6438</v>
      </c>
      <c r="D287" s="6">
        <f>$K$2*Linear_Regression56[[#This Row],[Ice Cream Profits (USD)]]+(1-$K$2)*F287</f>
        <v>6380.4484427886309</v>
      </c>
      <c r="E287" s="6">
        <f t="shared" si="12"/>
        <v>36.51484146075579</v>
      </c>
      <c r="F287" s="6">
        <f t="shared" si="13"/>
        <v>6216.6478568793473</v>
      </c>
      <c r="G287" s="6">
        <f>Linear_Regression56[[#This Row],[Ice Cream Profits (USD)]]-H286</f>
        <v>221.35214312065273</v>
      </c>
      <c r="H287" s="6">
        <f t="shared" si="14"/>
        <v>6416.9632842493866</v>
      </c>
    </row>
    <row r="288" spans="1:8" x14ac:dyDescent="0.3">
      <c r="A288">
        <v>83</v>
      </c>
      <c r="B288">
        <v>6078</v>
      </c>
      <c r="D288" s="6">
        <f>$K$2*Linear_Regression56[[#This Row],[Ice Cream Profits (USD)]]+(1-$K$2)*F288</f>
        <v>6166.1304539048397</v>
      </c>
      <c r="E288" s="6">
        <f t="shared" si="12"/>
        <v>-143.99763005420101</v>
      </c>
      <c r="F288" s="6">
        <f t="shared" si="13"/>
        <v>6416.9632842493866</v>
      </c>
      <c r="G288" s="6">
        <f>Linear_Regression56[[#This Row],[Ice Cream Profits (USD)]]-H287</f>
        <v>-338.96328424938656</v>
      </c>
      <c r="H288" s="6">
        <f t="shared" si="14"/>
        <v>6022.1328238506385</v>
      </c>
    </row>
    <row r="289" spans="1:8" x14ac:dyDescent="0.3">
      <c r="A289">
        <v>83</v>
      </c>
      <c r="B289">
        <v>6566</v>
      </c>
      <c r="D289" s="6">
        <f>$K$2*Linear_Regression56[[#This Row],[Ice Cream Profits (USD)]]+(1-$K$2)*F289</f>
        <v>6424.5945342011664</v>
      </c>
      <c r="E289" s="6">
        <f t="shared" si="12"/>
        <v>145.63494286585251</v>
      </c>
      <c r="F289" s="6">
        <f t="shared" si="13"/>
        <v>6022.1328238506385</v>
      </c>
      <c r="G289" s="6">
        <f>Linear_Regression56[[#This Row],[Ice Cream Profits (USD)]]-H288</f>
        <v>543.86717614936151</v>
      </c>
      <c r="H289" s="6">
        <f t="shared" si="14"/>
        <v>6570.2294770670187</v>
      </c>
    </row>
    <row r="290" spans="1:8" x14ac:dyDescent="0.3">
      <c r="A290">
        <v>84</v>
      </c>
      <c r="B290">
        <v>6661</v>
      </c>
      <c r="D290" s="6">
        <f>$K$2*Linear_Regression56[[#This Row],[Ice Cream Profits (USD)]]+(1-$K$2)*F290</f>
        <v>6637.3996640374244</v>
      </c>
      <c r="E290" s="6">
        <f t="shared" si="12"/>
        <v>193.97413532919359</v>
      </c>
      <c r="F290" s="6">
        <f t="shared" si="13"/>
        <v>6570.2294770670187</v>
      </c>
      <c r="G290" s="6">
        <f>Linear_Regression56[[#This Row],[Ice Cream Profits (USD)]]-H289</f>
        <v>90.770522932981294</v>
      </c>
      <c r="H290" s="6">
        <f t="shared" si="14"/>
        <v>6831.3737993666182</v>
      </c>
    </row>
    <row r="291" spans="1:8" x14ac:dyDescent="0.3">
      <c r="A291">
        <v>84</v>
      </c>
      <c r="B291">
        <v>6512</v>
      </c>
      <c r="D291" s="6">
        <f>$K$2*Linear_Regression56[[#This Row],[Ice Cream Profits (USD)]]+(1-$K$2)*F291</f>
        <v>6595.0371878353208</v>
      </c>
      <c r="E291" s="6">
        <f t="shared" si="12"/>
        <v>23.893903812513528</v>
      </c>
      <c r="F291" s="6">
        <f t="shared" si="13"/>
        <v>6831.3737993666182</v>
      </c>
      <c r="G291" s="6">
        <f>Linear_Regression56[[#This Row],[Ice Cream Profits (USD)]]-H290</f>
        <v>-319.37379936661819</v>
      </c>
      <c r="H291" s="6">
        <f t="shared" si="14"/>
        <v>6618.9310916478344</v>
      </c>
    </row>
    <row r="292" spans="1:8" x14ac:dyDescent="0.3">
      <c r="A292">
        <v>84</v>
      </c>
      <c r="B292">
        <v>6313</v>
      </c>
      <c r="D292" s="6">
        <f>$K$2*Linear_Regression56[[#This Row],[Ice Cream Profits (USD)]]+(1-$K$2)*F292</f>
        <v>6392.5420838284372</v>
      </c>
      <c r="E292" s="6">
        <f t="shared" si="12"/>
        <v>-139.02750990021366</v>
      </c>
      <c r="F292" s="6">
        <f t="shared" si="13"/>
        <v>6618.9310916478344</v>
      </c>
      <c r="G292" s="6">
        <f>Linear_Regression56[[#This Row],[Ice Cream Profits (USD)]]-H291</f>
        <v>-305.93109164783436</v>
      </c>
      <c r="H292" s="6">
        <f t="shared" si="14"/>
        <v>6253.5145739282234</v>
      </c>
    </row>
    <row r="293" spans="1:8" x14ac:dyDescent="0.3">
      <c r="A293">
        <v>84</v>
      </c>
      <c r="B293">
        <v>6335</v>
      </c>
      <c r="D293" s="6">
        <f>$K$2*Linear_Regression56[[#This Row],[Ice Cream Profits (USD)]]+(1-$K$2)*F293</f>
        <v>6313.8137892213381</v>
      </c>
      <c r="E293" s="6">
        <f t="shared" si="12"/>
        <v>-95.633029329145074</v>
      </c>
      <c r="F293" s="6">
        <f t="shared" si="13"/>
        <v>6253.5145739282234</v>
      </c>
      <c r="G293" s="6">
        <f>Linear_Regression56[[#This Row],[Ice Cream Profits (USD)]]-H292</f>
        <v>81.485426071776601</v>
      </c>
      <c r="H293" s="6">
        <f t="shared" si="14"/>
        <v>6218.1807598921932</v>
      </c>
    </row>
    <row r="294" spans="1:8" x14ac:dyDescent="0.3">
      <c r="A294">
        <v>84</v>
      </c>
      <c r="B294">
        <v>6540</v>
      </c>
      <c r="D294" s="6">
        <f>$K$2*Linear_Regression56[[#This Row],[Ice Cream Profits (USD)]]+(1-$K$2)*F294</f>
        <v>6456.3269975719704</v>
      </c>
      <c r="E294" s="6">
        <f t="shared" si="12"/>
        <v>75.749504155469381</v>
      </c>
      <c r="F294" s="6">
        <f t="shared" si="13"/>
        <v>6218.1807598921932</v>
      </c>
      <c r="G294" s="6">
        <f>Linear_Regression56[[#This Row],[Ice Cream Profits (USD)]]-H293</f>
        <v>321.81924010780676</v>
      </c>
      <c r="H294" s="6">
        <f t="shared" si="14"/>
        <v>6532.0765017274398</v>
      </c>
    </row>
    <row r="295" spans="1:8" x14ac:dyDescent="0.3">
      <c r="A295">
        <v>84</v>
      </c>
      <c r="B295">
        <v>6541</v>
      </c>
      <c r="D295" s="6">
        <f>$K$2*Linear_Regression56[[#This Row],[Ice Cream Profits (USD)]]+(1-$K$2)*F295</f>
        <v>6538.6798904491352</v>
      </c>
      <c r="E295" s="6">
        <f t="shared" si="12"/>
        <v>80.501649306843262</v>
      </c>
      <c r="F295" s="6">
        <f t="shared" si="13"/>
        <v>6532.0765017274398</v>
      </c>
      <c r="G295" s="6">
        <f>Linear_Regression56[[#This Row],[Ice Cream Profits (USD)]]-H294</f>
        <v>8.9234982725602094</v>
      </c>
      <c r="H295" s="6">
        <f t="shared" si="14"/>
        <v>6619.1815397559785</v>
      </c>
    </row>
    <row r="296" spans="1:8" x14ac:dyDescent="0.3">
      <c r="A296">
        <v>84</v>
      </c>
      <c r="B296">
        <v>6828</v>
      </c>
      <c r="D296" s="6">
        <f>$K$2*Linear_Regression56[[#This Row],[Ice Cream Profits (USD)]]+(1-$K$2)*F296</f>
        <v>6773.7072003365538</v>
      </c>
      <c r="E296" s="6">
        <f t="shared" si="12"/>
        <v>191.70642607217223</v>
      </c>
      <c r="F296" s="6">
        <f t="shared" si="13"/>
        <v>6619.1815397559785</v>
      </c>
      <c r="G296" s="6">
        <f>Linear_Regression56[[#This Row],[Ice Cream Profits (USD)]]-H295</f>
        <v>208.81846024402148</v>
      </c>
      <c r="H296" s="6">
        <f t="shared" si="14"/>
        <v>6965.4136264087265</v>
      </c>
    </row>
    <row r="297" spans="1:8" x14ac:dyDescent="0.3">
      <c r="A297">
        <v>84</v>
      </c>
      <c r="B297">
        <v>6410</v>
      </c>
      <c r="D297" s="6">
        <f>$K$2*Linear_Regression56[[#This Row],[Ice Cream Profits (USD)]]+(1-$K$2)*F297</f>
        <v>6554.4075428662691</v>
      </c>
      <c r="E297" s="6">
        <f t="shared" si="12"/>
        <v>-104.07512631082744</v>
      </c>
      <c r="F297" s="6">
        <f t="shared" si="13"/>
        <v>6965.4136264087265</v>
      </c>
      <c r="G297" s="6">
        <f>Linear_Regression56[[#This Row],[Ice Cream Profits (USD)]]-H296</f>
        <v>-555.41362640872649</v>
      </c>
      <c r="H297" s="6">
        <f t="shared" si="14"/>
        <v>6450.3324165554413</v>
      </c>
    </row>
    <row r="298" spans="1:8" x14ac:dyDescent="0.3">
      <c r="A298">
        <v>84</v>
      </c>
      <c r="B298">
        <v>6626</v>
      </c>
      <c r="D298" s="6">
        <f>$K$2*Linear_Regression56[[#This Row],[Ice Cream Profits (USD)]]+(1-$K$2)*F298</f>
        <v>6580.3264283044145</v>
      </c>
      <c r="E298" s="6">
        <f t="shared" si="12"/>
        <v>-10.524611768058541</v>
      </c>
      <c r="F298" s="6">
        <f t="shared" si="13"/>
        <v>6450.3324165554413</v>
      </c>
      <c r="G298" s="6">
        <f>Linear_Regression56[[#This Row],[Ice Cream Profits (USD)]]-H297</f>
        <v>175.66758344455866</v>
      </c>
      <c r="H298" s="6">
        <f t="shared" si="14"/>
        <v>6569.8018165363565</v>
      </c>
    </row>
    <row r="299" spans="1:8" x14ac:dyDescent="0.3">
      <c r="A299">
        <v>84</v>
      </c>
      <c r="B299">
        <v>6363</v>
      </c>
      <c r="D299" s="6">
        <f>$K$2*Linear_Regression56[[#This Row],[Ice Cream Profits (USD)]]+(1-$K$2)*F299</f>
        <v>6416.7684722994527</v>
      </c>
      <c r="E299" s="6">
        <f t="shared" si="12"/>
        <v>-120.65543935732322</v>
      </c>
      <c r="F299" s="6">
        <f t="shared" si="13"/>
        <v>6569.8018165363565</v>
      </c>
      <c r="G299" s="6">
        <f>Linear_Regression56[[#This Row],[Ice Cream Profits (USD)]]-H298</f>
        <v>-206.80181653635645</v>
      </c>
      <c r="H299" s="6">
        <f t="shared" si="14"/>
        <v>6296.1130329421294</v>
      </c>
    </row>
    <row r="300" spans="1:8" x14ac:dyDescent="0.3">
      <c r="A300">
        <v>84</v>
      </c>
      <c r="B300">
        <v>6758</v>
      </c>
      <c r="D300" s="6">
        <f>$K$2*Linear_Regression56[[#This Row],[Ice Cream Profits (USD)]]+(1-$K$2)*F300</f>
        <v>6637.9093885649545</v>
      </c>
      <c r="E300" s="6">
        <f t="shared" si="12"/>
        <v>125.31915983502101</v>
      </c>
      <c r="F300" s="6">
        <f t="shared" si="13"/>
        <v>6296.1130329421294</v>
      </c>
      <c r="G300" s="6">
        <f>Linear_Regression56[[#This Row],[Ice Cream Profits (USD)]]-H299</f>
        <v>461.88696705787061</v>
      </c>
      <c r="H300" s="6">
        <f t="shared" si="14"/>
        <v>6763.2285483999758</v>
      </c>
    </row>
    <row r="301" spans="1:8" x14ac:dyDescent="0.3">
      <c r="A301">
        <v>84</v>
      </c>
      <c r="B301">
        <v>6854</v>
      </c>
      <c r="D301" s="6">
        <f>$K$2*Linear_Regression56[[#This Row],[Ice Cream Profits (USD)]]+(1-$K$2)*F301</f>
        <v>6830.3994225839942</v>
      </c>
      <c r="E301" s="6">
        <f t="shared" si="12"/>
        <v>173.65884685335163</v>
      </c>
      <c r="F301" s="6">
        <f t="shared" si="13"/>
        <v>6763.2285483999758</v>
      </c>
      <c r="G301" s="6">
        <f>Linear_Regression56[[#This Row],[Ice Cream Profits (USD)]]-H300</f>
        <v>90.771451600024193</v>
      </c>
      <c r="H301" s="6">
        <f t="shared" si="14"/>
        <v>7004.0582694373461</v>
      </c>
    </row>
    <row r="302" spans="1:8" x14ac:dyDescent="0.3">
      <c r="A302">
        <v>84</v>
      </c>
      <c r="B302">
        <v>6520</v>
      </c>
      <c r="D302" s="6">
        <f>$K$2*Linear_Regression56[[#This Row],[Ice Cream Profits (USD)]]+(1-$K$2)*F302</f>
        <v>6645.8551500537105</v>
      </c>
      <c r="E302" s="6">
        <f t="shared" si="12"/>
        <v>-84.122920770484512</v>
      </c>
      <c r="F302" s="6">
        <f t="shared" si="13"/>
        <v>7004.0582694373461</v>
      </c>
      <c r="G302" s="6">
        <f>Linear_Regression56[[#This Row],[Ice Cream Profits (USD)]]-H301</f>
        <v>-484.0582694373461</v>
      </c>
      <c r="H302" s="6">
        <f t="shared" si="14"/>
        <v>6561.7322292832259</v>
      </c>
    </row>
    <row r="303" spans="1:8" x14ac:dyDescent="0.3">
      <c r="A303">
        <v>85</v>
      </c>
      <c r="B303">
        <v>6793</v>
      </c>
      <c r="D303" s="6">
        <f>$K$2*Linear_Regression56[[#This Row],[Ice Cream Profits (USD)]]+(1-$K$2)*F303</f>
        <v>6732.8703796136388</v>
      </c>
      <c r="E303" s="6">
        <f t="shared" si="12"/>
        <v>39.037075647076179</v>
      </c>
      <c r="F303" s="6">
        <f t="shared" si="13"/>
        <v>6561.7322292832259</v>
      </c>
      <c r="G303" s="6">
        <f>Linear_Regression56[[#This Row],[Ice Cream Profits (USD)]]-H302</f>
        <v>231.26777071677407</v>
      </c>
      <c r="H303" s="6">
        <f t="shared" si="14"/>
        <v>6771.9074552607153</v>
      </c>
    </row>
    <row r="304" spans="1:8" x14ac:dyDescent="0.3">
      <c r="A304">
        <v>85</v>
      </c>
      <c r="B304">
        <v>6788</v>
      </c>
      <c r="D304" s="6">
        <f>$K$2*Linear_Regression56[[#This Row],[Ice Cream Profits (USD)]]+(1-$K$2)*F304</f>
        <v>6783.8159383677867</v>
      </c>
      <c r="E304" s="6">
        <f t="shared" si="12"/>
        <v>47.607045194917546</v>
      </c>
      <c r="F304" s="6">
        <f t="shared" si="13"/>
        <v>6771.9074552607153</v>
      </c>
      <c r="G304" s="6">
        <f>Linear_Regression56[[#This Row],[Ice Cream Profits (USD)]]-H303</f>
        <v>16.092544739284676</v>
      </c>
      <c r="H304" s="6">
        <f t="shared" si="14"/>
        <v>6831.4229835627038</v>
      </c>
    </row>
    <row r="305" spans="1:8" x14ac:dyDescent="0.3">
      <c r="A305">
        <v>85</v>
      </c>
      <c r="B305">
        <v>6971</v>
      </c>
      <c r="D305" s="6">
        <f>$K$2*Linear_Regression56[[#This Row],[Ice Cream Profits (USD)]]+(1-$K$2)*F305</f>
        <v>6934.7099757263031</v>
      </c>
      <c r="E305" s="6">
        <f t="shared" si="12"/>
        <v>121.93778653043881</v>
      </c>
      <c r="F305" s="6">
        <f t="shared" si="13"/>
        <v>6831.4229835627038</v>
      </c>
      <c r="G305" s="6">
        <f>Linear_Regression56[[#This Row],[Ice Cream Profits (USD)]]-H304</f>
        <v>139.57701643729615</v>
      </c>
      <c r="H305" s="6">
        <f t="shared" si="14"/>
        <v>7056.6477622567418</v>
      </c>
    </row>
    <row r="306" spans="1:8" x14ac:dyDescent="0.3">
      <c r="A306">
        <v>85</v>
      </c>
      <c r="B306">
        <v>6422</v>
      </c>
      <c r="D306" s="6">
        <f>$K$2*Linear_Regression56[[#This Row],[Ice Cream Profits (USD)]]+(1-$K$2)*F306</f>
        <v>6587.0084181867533</v>
      </c>
      <c r="E306" s="6">
        <f t="shared" si="12"/>
        <v>-216.03933792447327</v>
      </c>
      <c r="F306" s="6">
        <f t="shared" si="13"/>
        <v>7056.6477622567418</v>
      </c>
      <c r="G306" s="6">
        <f>Linear_Regression56[[#This Row],[Ice Cream Profits (USD)]]-H305</f>
        <v>-634.64776225674177</v>
      </c>
      <c r="H306" s="6">
        <f t="shared" si="14"/>
        <v>6370.9690802622799</v>
      </c>
    </row>
    <row r="307" spans="1:8" x14ac:dyDescent="0.3">
      <c r="A307">
        <v>85</v>
      </c>
      <c r="B307">
        <v>6182</v>
      </c>
      <c r="D307" s="6">
        <f>$K$2*Linear_Regression56[[#This Row],[Ice Cream Profits (USD)]]+(1-$K$2)*F307</f>
        <v>6231.1319608681924</v>
      </c>
      <c r="E307" s="6">
        <f t="shared" si="12"/>
        <v>-316.67346941629455</v>
      </c>
      <c r="F307" s="6">
        <f t="shared" si="13"/>
        <v>6370.9690802622799</v>
      </c>
      <c r="G307" s="6">
        <f>Linear_Regression56[[#This Row],[Ice Cream Profits (USD)]]-H306</f>
        <v>-188.96908026227993</v>
      </c>
      <c r="H307" s="6">
        <f t="shared" si="14"/>
        <v>5914.4584914518982</v>
      </c>
    </row>
    <row r="308" spans="1:8" x14ac:dyDescent="0.3">
      <c r="A308">
        <v>85</v>
      </c>
      <c r="B308">
        <v>6828</v>
      </c>
      <c r="D308" s="6">
        <f>$K$2*Linear_Regression56[[#This Row],[Ice Cream Profits (USD)]]+(1-$K$2)*F308</f>
        <v>6590.4792077774928</v>
      </c>
      <c r="E308" s="6">
        <f t="shared" si="12"/>
        <v>169.82652395228681</v>
      </c>
      <c r="F308" s="6">
        <f t="shared" si="13"/>
        <v>5914.4584914518982</v>
      </c>
      <c r="G308" s="6">
        <f>Linear_Regression56[[#This Row],[Ice Cream Profits (USD)]]-H307</f>
        <v>913.54150854810177</v>
      </c>
      <c r="H308" s="6">
        <f t="shared" si="14"/>
        <v>6760.3057317297798</v>
      </c>
    </row>
    <row r="309" spans="1:8" x14ac:dyDescent="0.3">
      <c r="A309">
        <v>85</v>
      </c>
      <c r="B309">
        <v>6299</v>
      </c>
      <c r="D309" s="6">
        <f>$K$2*Linear_Regression56[[#This Row],[Ice Cream Profits (USD)]]+(1-$K$2)*F309</f>
        <v>6418.9394902497424</v>
      </c>
      <c r="E309" s="6">
        <f t="shared" si="12"/>
        <v>-75.838542525214933</v>
      </c>
      <c r="F309" s="6">
        <f t="shared" si="13"/>
        <v>6760.3057317297798</v>
      </c>
      <c r="G309" s="6">
        <f>Linear_Regression56[[#This Row],[Ice Cream Profits (USD)]]-H308</f>
        <v>-461.30573172977984</v>
      </c>
      <c r="H309" s="6">
        <f t="shared" si="14"/>
        <v>6343.1009477245279</v>
      </c>
    </row>
    <row r="310" spans="1:8" x14ac:dyDescent="0.3">
      <c r="A310">
        <v>85</v>
      </c>
      <c r="B310">
        <v>6496</v>
      </c>
      <c r="D310" s="6">
        <f>$K$2*Linear_Regression56[[#This Row],[Ice Cream Profits (USD)]]+(1-$K$2)*F310</f>
        <v>6456.2462464083774</v>
      </c>
      <c r="E310" s="6">
        <f t="shared" si="12"/>
        <v>5.5867536677311023</v>
      </c>
      <c r="F310" s="6">
        <f t="shared" si="13"/>
        <v>6343.1009477245279</v>
      </c>
      <c r="G310" s="6">
        <f>Linear_Regression56[[#This Row],[Ice Cream Profits (USD)]]-H309</f>
        <v>152.89905227547206</v>
      </c>
      <c r="H310" s="6">
        <f t="shared" si="14"/>
        <v>6461.8330000761089</v>
      </c>
    </row>
    <row r="311" spans="1:8" x14ac:dyDescent="0.3">
      <c r="A311">
        <v>85</v>
      </c>
      <c r="B311">
        <v>6599</v>
      </c>
      <c r="D311" s="6">
        <f>$K$2*Linear_Regression56[[#This Row],[Ice Cream Profits (USD)]]+(1-$K$2)*F311</f>
        <v>6563.3365800197889</v>
      </c>
      <c r="E311" s="6">
        <f t="shared" si="12"/>
        <v>78.634057954341117</v>
      </c>
      <c r="F311" s="6">
        <f t="shared" si="13"/>
        <v>6461.8330000761089</v>
      </c>
      <c r="G311" s="6">
        <f>Linear_Regression56[[#This Row],[Ice Cream Profits (USD)]]-H310</f>
        <v>137.16699992389113</v>
      </c>
      <c r="H311" s="6">
        <f t="shared" si="14"/>
        <v>6641.9706379741301</v>
      </c>
    </row>
    <row r="312" spans="1:8" x14ac:dyDescent="0.3">
      <c r="A312">
        <v>85</v>
      </c>
      <c r="B312">
        <v>7030</v>
      </c>
      <c r="D312" s="6">
        <f>$K$2*Linear_Regression56[[#This Row],[Ice Cream Profits (USD)]]+(1-$K$2)*F312</f>
        <v>6929.112365873274</v>
      </c>
      <c r="E312" s="6">
        <f t="shared" si="12"/>
        <v>285.27631808811913</v>
      </c>
      <c r="F312" s="6">
        <f t="shared" si="13"/>
        <v>6641.9706379741301</v>
      </c>
      <c r="G312" s="6">
        <f>Linear_Regression56[[#This Row],[Ice Cream Profits (USD)]]-H311</f>
        <v>388.02936202586989</v>
      </c>
      <c r="H312" s="6">
        <f t="shared" si="14"/>
        <v>7214.3886839613933</v>
      </c>
    </row>
    <row r="313" spans="1:8" x14ac:dyDescent="0.3">
      <c r="A313">
        <v>85</v>
      </c>
      <c r="B313">
        <v>6431</v>
      </c>
      <c r="D313" s="6">
        <f>$K$2*Linear_Regression56[[#This Row],[Ice Cream Profits (USD)]]+(1-$K$2)*F313</f>
        <v>6634.6810578299619</v>
      </c>
      <c r="E313" s="6">
        <f t="shared" si="12"/>
        <v>-131.91171987849114</v>
      </c>
      <c r="F313" s="6">
        <f t="shared" si="13"/>
        <v>7214.3886839613933</v>
      </c>
      <c r="G313" s="6">
        <f>Linear_Regression56[[#This Row],[Ice Cream Profits (USD)]]-H312</f>
        <v>-783.38868396139333</v>
      </c>
      <c r="H313" s="6">
        <f t="shared" si="14"/>
        <v>6502.7693379514703</v>
      </c>
    </row>
    <row r="314" spans="1:8" x14ac:dyDescent="0.3">
      <c r="A314">
        <v>86</v>
      </c>
      <c r="B314">
        <v>6959</v>
      </c>
      <c r="D314" s="6">
        <f>$K$2*Linear_Regression56[[#This Row],[Ice Cream Profits (USD)]]+(1-$K$2)*F314</f>
        <v>6840.3800278673825</v>
      </c>
      <c r="E314" s="6">
        <f t="shared" si="12"/>
        <v>111.0506545558242</v>
      </c>
      <c r="F314" s="6">
        <f t="shared" si="13"/>
        <v>6502.7693379514703</v>
      </c>
      <c r="G314" s="6">
        <f>Linear_Regression56[[#This Row],[Ice Cream Profits (USD)]]-H313</f>
        <v>456.23066204852967</v>
      </c>
      <c r="H314" s="6">
        <f t="shared" si="14"/>
        <v>6951.4306824232071</v>
      </c>
    </row>
    <row r="315" spans="1:8" x14ac:dyDescent="0.3">
      <c r="A315">
        <v>86</v>
      </c>
      <c r="B315">
        <v>6835</v>
      </c>
      <c r="D315" s="6">
        <f>$K$2*Linear_Regression56[[#This Row],[Ice Cream Profits (USD)]]+(1-$K$2)*F315</f>
        <v>6865.271977430034</v>
      </c>
      <c r="E315" s="6">
        <f t="shared" si="12"/>
        <v>49.046327771797351</v>
      </c>
      <c r="F315" s="6">
        <f t="shared" si="13"/>
        <v>6951.4306824232071</v>
      </c>
      <c r="G315" s="6">
        <f>Linear_Regression56[[#This Row],[Ice Cream Profits (USD)]]-H314</f>
        <v>-116.43068242320714</v>
      </c>
      <c r="H315" s="6">
        <f t="shared" si="14"/>
        <v>6914.3183052018312</v>
      </c>
    </row>
    <row r="316" spans="1:8" x14ac:dyDescent="0.3">
      <c r="A316">
        <v>86</v>
      </c>
      <c r="B316">
        <v>6966</v>
      </c>
      <c r="D316" s="6">
        <f>$K$2*Linear_Regression56[[#This Row],[Ice Cream Profits (USD)]]+(1-$K$2)*F316</f>
        <v>6952.5627593524769</v>
      </c>
      <c r="E316" s="6">
        <f t="shared" si="12"/>
        <v>76.569044519005445</v>
      </c>
      <c r="F316" s="6">
        <f t="shared" si="13"/>
        <v>6914.3183052018312</v>
      </c>
      <c r="G316" s="6">
        <f>Linear_Regression56[[#This Row],[Ice Cream Profits (USD)]]-H315</f>
        <v>51.681694798168792</v>
      </c>
      <c r="H316" s="6">
        <f t="shared" si="14"/>
        <v>7029.1318038714826</v>
      </c>
    </row>
    <row r="317" spans="1:8" x14ac:dyDescent="0.3">
      <c r="A317">
        <v>86</v>
      </c>
      <c r="B317">
        <v>7146</v>
      </c>
      <c r="D317" s="6">
        <f>$K$2*Linear_Regression56[[#This Row],[Ice Cream Profits (USD)]]+(1-$K$2)*F317</f>
        <v>7115.6142690065853</v>
      </c>
      <c r="E317" s="6">
        <f t="shared" si="12"/>
        <v>138.80636609608865</v>
      </c>
      <c r="F317" s="6">
        <f t="shared" si="13"/>
        <v>7029.1318038714826</v>
      </c>
      <c r="G317" s="6">
        <f>Linear_Regression56[[#This Row],[Ice Cream Profits (USD)]]-H316</f>
        <v>116.86819612851741</v>
      </c>
      <c r="H317" s="6">
        <f t="shared" si="14"/>
        <v>7254.4206351026742</v>
      </c>
    </row>
    <row r="318" spans="1:8" x14ac:dyDescent="0.3">
      <c r="A318">
        <v>86</v>
      </c>
      <c r="B318">
        <v>6990</v>
      </c>
      <c r="D318" s="6">
        <f>$K$2*Linear_Regression56[[#This Row],[Ice Cream Profits (USD)]]+(1-$K$2)*F318</f>
        <v>7058.749365126695</v>
      </c>
      <c r="E318" s="6">
        <f t="shared" si="12"/>
        <v>-2.0089510189669255</v>
      </c>
      <c r="F318" s="6">
        <f t="shared" si="13"/>
        <v>7254.4206351026742</v>
      </c>
      <c r="G318" s="6">
        <f>Linear_Regression56[[#This Row],[Ice Cream Profits (USD)]]-H317</f>
        <v>-264.42063510267417</v>
      </c>
      <c r="H318" s="6">
        <f t="shared" si="14"/>
        <v>7056.7404141077277</v>
      </c>
    </row>
    <row r="319" spans="1:8" x14ac:dyDescent="0.3">
      <c r="A319">
        <v>86</v>
      </c>
      <c r="B319">
        <v>6919</v>
      </c>
      <c r="D319" s="6">
        <f>$K$2*Linear_Regression56[[#This Row],[Ice Cream Profits (USD)]]+(1-$K$2)*F319</f>
        <v>6954.8125076680089</v>
      </c>
      <c r="E319" s="6">
        <f t="shared" si="12"/>
        <v>-75.361622926011691</v>
      </c>
      <c r="F319" s="6">
        <f t="shared" si="13"/>
        <v>7056.7404141077277</v>
      </c>
      <c r="G319" s="6">
        <f>Linear_Regression56[[#This Row],[Ice Cream Profits (USD)]]-H318</f>
        <v>-137.7404141077277</v>
      </c>
      <c r="H319" s="6">
        <f t="shared" si="14"/>
        <v>6879.4508847419975</v>
      </c>
    </row>
    <row r="320" spans="1:8" x14ac:dyDescent="0.3">
      <c r="A320">
        <v>86</v>
      </c>
      <c r="B320">
        <v>6797</v>
      </c>
      <c r="D320" s="6">
        <f>$K$2*Linear_Regression56[[#This Row],[Ice Cream Profits (USD)]]+(1-$K$2)*F320</f>
        <v>6818.4372300329196</v>
      </c>
      <c r="E320" s="6">
        <f t="shared" si="12"/>
        <v>-119.27025160339494</v>
      </c>
      <c r="F320" s="6">
        <f t="shared" si="13"/>
        <v>6879.4508847419975</v>
      </c>
      <c r="G320" s="6">
        <f>Linear_Regression56[[#This Row],[Ice Cream Profits (USD)]]-H319</f>
        <v>-82.45088474199747</v>
      </c>
      <c r="H320" s="6">
        <f t="shared" si="14"/>
        <v>6699.1669784295245</v>
      </c>
    </row>
    <row r="321" spans="1:8" x14ac:dyDescent="0.3">
      <c r="A321">
        <v>86</v>
      </c>
      <c r="B321">
        <v>6485</v>
      </c>
      <c r="D321" s="6">
        <f>$K$2*Linear_Regression56[[#This Row],[Ice Cream Profits (USD)]]+(1-$K$2)*F321</f>
        <v>6540.6834143916767</v>
      </c>
      <c r="E321" s="6">
        <f t="shared" si="12"/>
        <v>-233.32334345614086</v>
      </c>
      <c r="F321" s="6">
        <f t="shared" si="13"/>
        <v>6699.1669784295245</v>
      </c>
      <c r="G321" s="6">
        <f>Linear_Regression56[[#This Row],[Ice Cream Profits (USD)]]-H320</f>
        <v>-214.16697842952453</v>
      </c>
      <c r="H321" s="6">
        <f t="shared" si="14"/>
        <v>6307.360070935536</v>
      </c>
    </row>
    <row r="322" spans="1:8" x14ac:dyDescent="0.3">
      <c r="A322">
        <v>87</v>
      </c>
      <c r="B322">
        <v>7043</v>
      </c>
      <c r="D322" s="6">
        <f>$K$2*Linear_Regression56[[#This Row],[Ice Cream Profits (USD)]]+(1-$K$2)*F322</f>
        <v>6851.7336184432388</v>
      </c>
      <c r="E322" s="6">
        <f t="shared" si="12"/>
        <v>158.4364367648156</v>
      </c>
      <c r="F322" s="6">
        <f t="shared" si="13"/>
        <v>6307.360070935536</v>
      </c>
      <c r="G322" s="6">
        <f>Linear_Regression56[[#This Row],[Ice Cream Profits (USD)]]-H321</f>
        <v>735.63992906446401</v>
      </c>
      <c r="H322" s="6">
        <f t="shared" si="14"/>
        <v>7010.1700552080547</v>
      </c>
    </row>
    <row r="323" spans="1:8" x14ac:dyDescent="0.3">
      <c r="A323">
        <v>87</v>
      </c>
      <c r="B323">
        <v>6848</v>
      </c>
      <c r="D323" s="6">
        <f>$K$2*Linear_Regression56[[#This Row],[Ice Cream Profits (USD)]]+(1-$K$2)*F323</f>
        <v>6890.1642143540939</v>
      </c>
      <c r="E323" s="6">
        <f t="shared" si="12"/>
        <v>72.073934300433109</v>
      </c>
      <c r="F323" s="6">
        <f t="shared" si="13"/>
        <v>7010.1700552080547</v>
      </c>
      <c r="G323" s="6">
        <f>Linear_Regression56[[#This Row],[Ice Cream Profits (USD)]]-H322</f>
        <v>-162.17005520805469</v>
      </c>
      <c r="H323" s="6">
        <f t="shared" si="14"/>
        <v>6962.2381486545273</v>
      </c>
    </row>
    <row r="324" spans="1:8" x14ac:dyDescent="0.3">
      <c r="A324">
        <v>87</v>
      </c>
      <c r="B324">
        <v>7029</v>
      </c>
      <c r="D324" s="6">
        <f>$K$2*Linear_Regression56[[#This Row],[Ice Cream Profits (USD)]]+(1-$K$2)*F324</f>
        <v>7011.6419186501771</v>
      </c>
      <c r="E324" s="6">
        <f t="shared" ref="E324:E366" si="15">$K$3*(D324-D323)+(1-$K$3)*E323</f>
        <v>107.62748050816592</v>
      </c>
      <c r="F324" s="6">
        <f t="shared" ref="F324:F366" si="16">D323+E323</f>
        <v>6962.2381486545273</v>
      </c>
      <c r="G324" s="6">
        <f>Linear_Regression56[[#This Row],[Ice Cream Profits (USD)]]-H323</f>
        <v>66.761851345472678</v>
      </c>
      <c r="H324" s="6">
        <f t="shared" ref="H324:H366" si="17">D324+E324</f>
        <v>7119.2693991583428</v>
      </c>
    </row>
    <row r="325" spans="1:8" x14ac:dyDescent="0.3">
      <c r="A325">
        <v>87</v>
      </c>
      <c r="B325">
        <v>6519</v>
      </c>
      <c r="D325" s="6">
        <f>$K$2*Linear_Regression56[[#This Row],[Ice Cream Profits (USD)]]+(1-$K$2)*F325</f>
        <v>6675.0700437811684</v>
      </c>
      <c r="E325" s="6">
        <f t="shared" si="15"/>
        <v>-212.04169267918496</v>
      </c>
      <c r="F325" s="6">
        <f t="shared" si="16"/>
        <v>7119.2693991583428</v>
      </c>
      <c r="G325" s="6">
        <f>Linear_Regression56[[#This Row],[Ice Cream Profits (USD)]]-H324</f>
        <v>-600.26939915834282</v>
      </c>
      <c r="H325" s="6">
        <f t="shared" si="17"/>
        <v>6463.0283511019834</v>
      </c>
    </row>
    <row r="326" spans="1:8" x14ac:dyDescent="0.3">
      <c r="A326">
        <v>87</v>
      </c>
      <c r="B326">
        <v>6800</v>
      </c>
      <c r="D326" s="6">
        <f>$K$2*Linear_Regression56[[#This Row],[Ice Cream Profits (USD)]]+(1-$K$2)*F326</f>
        <v>6712.3873712865161</v>
      </c>
      <c r="E326" s="6">
        <f t="shared" si="15"/>
        <v>-32.589852319099748</v>
      </c>
      <c r="F326" s="6">
        <f t="shared" si="16"/>
        <v>6463.0283511019834</v>
      </c>
      <c r="G326" s="6">
        <f>Linear_Regression56[[#This Row],[Ice Cream Profits (USD)]]-H325</f>
        <v>336.97164889801661</v>
      </c>
      <c r="H326" s="6">
        <f t="shared" si="17"/>
        <v>6679.7975189674162</v>
      </c>
    </row>
    <row r="327" spans="1:8" x14ac:dyDescent="0.3">
      <c r="A327">
        <v>87</v>
      </c>
      <c r="B327">
        <v>7064</v>
      </c>
      <c r="D327" s="6">
        <f>$K$2*Linear_Regression56[[#This Row],[Ice Cream Profits (USD)]]+(1-$K$2)*F327</f>
        <v>6964.1073549315279</v>
      </c>
      <c r="E327" s="6">
        <f t="shared" si="15"/>
        <v>172.01442972563069</v>
      </c>
      <c r="F327" s="6">
        <f t="shared" si="16"/>
        <v>6679.7975189674162</v>
      </c>
      <c r="G327" s="6">
        <f>Linear_Regression56[[#This Row],[Ice Cream Profits (USD)]]-H326</f>
        <v>384.20248103258382</v>
      </c>
      <c r="H327" s="6">
        <f t="shared" si="17"/>
        <v>7136.121784657159</v>
      </c>
    </row>
    <row r="328" spans="1:8" x14ac:dyDescent="0.3">
      <c r="A328">
        <v>88</v>
      </c>
      <c r="B328">
        <v>6967</v>
      </c>
      <c r="D328" s="6">
        <f>$K$2*Linear_Regression56[[#This Row],[Ice Cream Profits (USD)]]+(1-$K$2)*F328</f>
        <v>7010.9716640108618</v>
      </c>
      <c r="E328" s="6">
        <f t="shared" si="15"/>
        <v>81.949833487464559</v>
      </c>
      <c r="F328" s="6">
        <f t="shared" si="16"/>
        <v>7136.121784657159</v>
      </c>
      <c r="G328" s="6">
        <f>Linear_Regression56[[#This Row],[Ice Cream Profits (USD)]]-H327</f>
        <v>-169.12178465715897</v>
      </c>
      <c r="H328" s="6">
        <f t="shared" si="17"/>
        <v>7092.9214974983261</v>
      </c>
    </row>
    <row r="329" spans="1:8" x14ac:dyDescent="0.3">
      <c r="A329">
        <v>88</v>
      </c>
      <c r="B329">
        <v>7469</v>
      </c>
      <c r="D329" s="6">
        <f>$K$2*Linear_Regression56[[#This Row],[Ice Cream Profits (USD)]]+(1-$K$2)*F329</f>
        <v>7371.2195893495646</v>
      </c>
      <c r="E329" s="6">
        <f t="shared" si="15"/>
        <v>282.22774889813189</v>
      </c>
      <c r="F329" s="6">
        <f t="shared" si="16"/>
        <v>7092.9214974983261</v>
      </c>
      <c r="G329" s="6">
        <f>Linear_Regression56[[#This Row],[Ice Cream Profits (USD)]]-H328</f>
        <v>376.07850250167394</v>
      </c>
      <c r="H329" s="6">
        <f t="shared" si="17"/>
        <v>7653.4473382476963</v>
      </c>
    </row>
    <row r="330" spans="1:8" x14ac:dyDescent="0.3">
      <c r="A330">
        <v>88</v>
      </c>
      <c r="B330">
        <v>6978</v>
      </c>
      <c r="D330" s="6">
        <f>$K$2*Linear_Regression56[[#This Row],[Ice Cream Profits (USD)]]+(1-$K$2)*F330</f>
        <v>7153.6163079444013</v>
      </c>
      <c r="E330" s="6">
        <f t="shared" si="15"/>
        <v>-77.476897802142105</v>
      </c>
      <c r="F330" s="6">
        <f t="shared" si="16"/>
        <v>7653.4473382476963</v>
      </c>
      <c r="G330" s="6">
        <f>Linear_Regression56[[#This Row],[Ice Cream Profits (USD)]]-H329</f>
        <v>-675.44733824769628</v>
      </c>
      <c r="H330" s="6">
        <f t="shared" si="17"/>
        <v>7076.1394101422593</v>
      </c>
    </row>
    <row r="331" spans="1:8" x14ac:dyDescent="0.3">
      <c r="A331">
        <v>89</v>
      </c>
      <c r="B331">
        <v>7316</v>
      </c>
      <c r="D331" s="6">
        <f>$K$2*Linear_Regression56[[#This Row],[Ice Cream Profits (USD)]]+(1-$K$2)*F331</f>
        <v>7253.6362466369883</v>
      </c>
      <c r="E331" s="6">
        <f t="shared" si="15"/>
        <v>50.259142961495755</v>
      </c>
      <c r="F331" s="6">
        <f t="shared" si="16"/>
        <v>7076.1394101422593</v>
      </c>
      <c r="G331" s="6">
        <f>Linear_Regression56[[#This Row],[Ice Cream Profits (USD)]]-H330</f>
        <v>239.86058985774071</v>
      </c>
      <c r="H331" s="6">
        <f t="shared" si="17"/>
        <v>7303.8953895984841</v>
      </c>
    </row>
    <row r="332" spans="1:8" x14ac:dyDescent="0.3">
      <c r="A332">
        <v>89</v>
      </c>
      <c r="B332">
        <v>7151</v>
      </c>
      <c r="D332" s="6">
        <f>$K$2*Linear_Regression56[[#This Row],[Ice Cream Profits (USD)]]+(1-$K$2)*F332</f>
        <v>7190.7528012956063</v>
      </c>
      <c r="E332" s="6">
        <f t="shared" si="15"/>
        <v>-31.164202699028522</v>
      </c>
      <c r="F332" s="6">
        <f t="shared" si="16"/>
        <v>7303.8953895984841</v>
      </c>
      <c r="G332" s="6">
        <f>Linear_Regression56[[#This Row],[Ice Cream Profits (USD)]]-H331</f>
        <v>-152.89538959848414</v>
      </c>
      <c r="H332" s="6">
        <f t="shared" si="17"/>
        <v>7159.5885985965779</v>
      </c>
    </row>
    <row r="333" spans="1:8" x14ac:dyDescent="0.3">
      <c r="A333">
        <v>89</v>
      </c>
      <c r="B333">
        <v>7332</v>
      </c>
      <c r="D333" s="6">
        <f>$K$2*Linear_Regression56[[#This Row],[Ice Cream Profits (USD)]]+(1-$K$2)*F333</f>
        <v>7287.1730356351109</v>
      </c>
      <c r="E333" s="6">
        <f t="shared" si="15"/>
        <v>60.652255397923568</v>
      </c>
      <c r="F333" s="6">
        <f t="shared" si="16"/>
        <v>7159.5885985965779</v>
      </c>
      <c r="G333" s="6">
        <f>Linear_Regression56[[#This Row],[Ice Cream Profits (USD)]]-H332</f>
        <v>172.41140140342213</v>
      </c>
      <c r="H333" s="6">
        <f t="shared" si="17"/>
        <v>7347.8252910330348</v>
      </c>
    </row>
    <row r="334" spans="1:8" x14ac:dyDescent="0.3">
      <c r="A334">
        <v>89</v>
      </c>
      <c r="B334">
        <v>7409</v>
      </c>
      <c r="D334" s="6">
        <f>$K$2*Linear_Regression56[[#This Row],[Ice Cream Profits (USD)]]+(1-$K$2)*F334</f>
        <v>7393.0945756685887</v>
      </c>
      <c r="E334" s="6">
        <f t="shared" si="15"/>
        <v>93.230408911772855</v>
      </c>
      <c r="F334" s="6">
        <f t="shared" si="16"/>
        <v>7347.8252910330348</v>
      </c>
      <c r="G334" s="6">
        <f>Linear_Regression56[[#This Row],[Ice Cream Profits (USD)]]-H333</f>
        <v>61.174708966965227</v>
      </c>
      <c r="H334" s="6">
        <f t="shared" si="17"/>
        <v>7486.3249845803612</v>
      </c>
    </row>
    <row r="335" spans="1:8" x14ac:dyDescent="0.3">
      <c r="A335">
        <v>90</v>
      </c>
      <c r="B335">
        <v>7112</v>
      </c>
      <c r="D335" s="6">
        <f>$K$2*Linear_Regression56[[#This Row],[Ice Cream Profits (USD)]]+(1-$K$2)*F335</f>
        <v>7209.3244959908943</v>
      </c>
      <c r="E335" s="6">
        <f t="shared" si="15"/>
        <v>-106.11368307750902</v>
      </c>
      <c r="F335" s="6">
        <f t="shared" si="16"/>
        <v>7486.3249845803612</v>
      </c>
      <c r="G335" s="6">
        <f>Linear_Regression56[[#This Row],[Ice Cream Profits (USD)]]-H334</f>
        <v>-374.32498458036116</v>
      </c>
      <c r="H335" s="6">
        <f t="shared" si="17"/>
        <v>7103.2108129133849</v>
      </c>
    </row>
    <row r="336" spans="1:8" x14ac:dyDescent="0.3">
      <c r="A336">
        <v>90</v>
      </c>
      <c r="B336">
        <v>6758</v>
      </c>
      <c r="D336" s="6">
        <f>$K$2*Linear_Regression56[[#This Row],[Ice Cream Profits (USD)]]+(1-$K$2)*F336</f>
        <v>6847.7548113574803</v>
      </c>
      <c r="E336" s="6">
        <f t="shared" si="15"/>
        <v>-289.95323127717523</v>
      </c>
      <c r="F336" s="6">
        <f t="shared" si="16"/>
        <v>7103.2108129133849</v>
      </c>
      <c r="G336" s="6">
        <f>Linear_Regression56[[#This Row],[Ice Cream Profits (USD)]]-H335</f>
        <v>-345.21081291338487</v>
      </c>
      <c r="H336" s="6">
        <f t="shared" si="17"/>
        <v>6557.801580080305</v>
      </c>
    </row>
    <row r="337" spans="1:8" x14ac:dyDescent="0.3">
      <c r="A337">
        <v>90</v>
      </c>
      <c r="B337">
        <v>7739</v>
      </c>
      <c r="D337" s="6">
        <f>$K$2*Linear_Regression56[[#This Row],[Ice Cream Profits (USD)]]+(1-$K$2)*F337</f>
        <v>7431.8884108208795</v>
      </c>
      <c r="E337" s="6">
        <f t="shared" si="15"/>
        <v>339.0855349757245</v>
      </c>
      <c r="F337" s="6">
        <f t="shared" si="16"/>
        <v>6557.801580080305</v>
      </c>
      <c r="G337" s="6">
        <f>Linear_Regression56[[#This Row],[Ice Cream Profits (USD)]]-H336</f>
        <v>1181.198419919695</v>
      </c>
      <c r="H337" s="6">
        <f t="shared" si="17"/>
        <v>7770.9739457966043</v>
      </c>
    </row>
    <row r="338" spans="1:8" x14ac:dyDescent="0.3">
      <c r="A338">
        <v>90</v>
      </c>
      <c r="B338">
        <v>7511</v>
      </c>
      <c r="D338" s="6">
        <f>$K$2*Linear_Regression56[[#This Row],[Ice Cream Profits (USD)]]+(1-$K$2)*F338</f>
        <v>7578.5932259071169</v>
      </c>
      <c r="E338" s="6">
        <f t="shared" si="15"/>
        <v>200.63827043154055</v>
      </c>
      <c r="F338" s="6">
        <f t="shared" si="16"/>
        <v>7770.9739457966043</v>
      </c>
      <c r="G338" s="6">
        <f>Linear_Regression56[[#This Row],[Ice Cream Profits (USD)]]-H337</f>
        <v>-259.97394579660431</v>
      </c>
      <c r="H338" s="6">
        <f t="shared" si="17"/>
        <v>7779.2314963386571</v>
      </c>
    </row>
    <row r="339" spans="1:8" x14ac:dyDescent="0.3">
      <c r="A339">
        <v>90</v>
      </c>
      <c r="B339">
        <v>7480</v>
      </c>
      <c r="D339" s="6">
        <f>$K$2*Linear_Regression56[[#This Row],[Ice Cream Profits (USD)]]+(1-$K$2)*F339</f>
        <v>7557.8001890480509</v>
      </c>
      <c r="E339" s="6">
        <f t="shared" si="15"/>
        <v>41.284678260569763</v>
      </c>
      <c r="F339" s="6">
        <f t="shared" si="16"/>
        <v>7779.2314963386571</v>
      </c>
      <c r="G339" s="6">
        <f>Linear_Regression56[[#This Row],[Ice Cream Profits (USD)]]-H338</f>
        <v>-299.23149633865705</v>
      </c>
      <c r="H339" s="6">
        <f t="shared" si="17"/>
        <v>7599.0848673086202</v>
      </c>
    </row>
    <row r="340" spans="1:8" x14ac:dyDescent="0.3">
      <c r="A340">
        <v>90</v>
      </c>
      <c r="B340">
        <v>7394</v>
      </c>
      <c r="D340" s="6">
        <f>$K$2*Linear_Regression56[[#This Row],[Ice Cream Profits (USD)]]+(1-$K$2)*F340</f>
        <v>7447.3220655002406</v>
      </c>
      <c r="E340" s="6">
        <f t="shared" si="15"/>
        <v>-67.931800303400649</v>
      </c>
      <c r="F340" s="6">
        <f t="shared" si="16"/>
        <v>7599.0848673086202</v>
      </c>
      <c r="G340" s="6">
        <f>Linear_Regression56[[#This Row],[Ice Cream Profits (USD)]]-H339</f>
        <v>-205.08486730862023</v>
      </c>
      <c r="H340" s="6">
        <f t="shared" si="17"/>
        <v>7379.3902651968401</v>
      </c>
    </row>
    <row r="341" spans="1:8" x14ac:dyDescent="0.3">
      <c r="A341">
        <v>90</v>
      </c>
      <c r="B341">
        <v>7594</v>
      </c>
      <c r="D341" s="6">
        <f>$K$2*Linear_Regression56[[#This Row],[Ice Cream Profits (USD)]]+(1-$K$2)*F341</f>
        <v>7538.201468951178</v>
      </c>
      <c r="E341" s="6">
        <f t="shared" si="15"/>
        <v>46.357078287902759</v>
      </c>
      <c r="F341" s="6">
        <f t="shared" si="16"/>
        <v>7379.3902651968401</v>
      </c>
      <c r="G341" s="6">
        <f>Linear_Regression56[[#This Row],[Ice Cream Profits (USD)]]-H340</f>
        <v>214.60973480315988</v>
      </c>
      <c r="H341" s="6">
        <f t="shared" si="17"/>
        <v>7584.5585472390803</v>
      </c>
    </row>
    <row r="342" spans="1:8" x14ac:dyDescent="0.3">
      <c r="A342">
        <v>91</v>
      </c>
      <c r="B342">
        <v>7931</v>
      </c>
      <c r="D342" s="6">
        <f>$K$2*Linear_Regression56[[#This Row],[Ice Cream Profits (USD)]]+(1-$K$2)*F342</f>
        <v>7840.9252222821606</v>
      </c>
      <c r="E342" s="6">
        <f t="shared" si="15"/>
        <v>230.85199493231073</v>
      </c>
      <c r="F342" s="6">
        <f t="shared" si="16"/>
        <v>7584.5585472390803</v>
      </c>
      <c r="G342" s="6">
        <f>Linear_Regression56[[#This Row],[Ice Cream Profits (USD)]]-H341</f>
        <v>346.44145276091967</v>
      </c>
      <c r="H342" s="6">
        <f t="shared" si="17"/>
        <v>8071.7772172144714</v>
      </c>
    </row>
    <row r="343" spans="1:8" x14ac:dyDescent="0.3">
      <c r="A343">
        <v>91</v>
      </c>
      <c r="B343">
        <v>8181</v>
      </c>
      <c r="D343" s="6">
        <f>$K$2*Linear_Regression56[[#This Row],[Ice Cream Profits (USD)]]+(1-$K$2)*F343</f>
        <v>8152.6020764757623</v>
      </c>
      <c r="E343" s="6">
        <f t="shared" si="15"/>
        <v>289.01780634169967</v>
      </c>
      <c r="F343" s="6">
        <f t="shared" si="16"/>
        <v>8071.7772172144714</v>
      </c>
      <c r="G343" s="6">
        <f>Linear_Regression56[[#This Row],[Ice Cream Profits (USD)]]-H342</f>
        <v>109.22278278552858</v>
      </c>
      <c r="H343" s="6">
        <f t="shared" si="17"/>
        <v>8441.619882817462</v>
      </c>
    </row>
    <row r="344" spans="1:8" x14ac:dyDescent="0.3">
      <c r="A344">
        <v>91</v>
      </c>
      <c r="B344">
        <v>7558</v>
      </c>
      <c r="D344" s="6">
        <f>$K$2*Linear_Regression56[[#This Row],[Ice Cream Profits (USD)]]+(1-$K$2)*F344</f>
        <v>7787.7411695325409</v>
      </c>
      <c r="E344" s="6">
        <f t="shared" si="15"/>
        <v>-181.54763935354276</v>
      </c>
      <c r="F344" s="6">
        <f t="shared" si="16"/>
        <v>8441.619882817462</v>
      </c>
      <c r="G344" s="6">
        <f>Linear_Regression56[[#This Row],[Ice Cream Profits (USD)]]-H343</f>
        <v>-883.61988281746198</v>
      </c>
      <c r="H344" s="6">
        <f t="shared" si="17"/>
        <v>7606.1935301789981</v>
      </c>
    </row>
    <row r="345" spans="1:8" x14ac:dyDescent="0.3">
      <c r="A345">
        <v>92</v>
      </c>
      <c r="B345">
        <v>7820</v>
      </c>
      <c r="D345" s="6">
        <f>$K$2*Linear_Regression56[[#This Row],[Ice Cream Profits (USD)]]+(1-$K$2)*F345</f>
        <v>7764.4103178465393</v>
      </c>
      <c r="E345" s="6">
        <f t="shared" si="15"/>
        <v>-67.68653378058211</v>
      </c>
      <c r="F345" s="6">
        <f t="shared" si="16"/>
        <v>7606.1935301789981</v>
      </c>
      <c r="G345" s="6">
        <f>Linear_Regression56[[#This Row],[Ice Cream Profits (USD)]]-H344</f>
        <v>213.80646982100188</v>
      </c>
      <c r="H345" s="6">
        <f t="shared" si="17"/>
        <v>7696.7237840659573</v>
      </c>
    </row>
    <row r="346" spans="1:8" x14ac:dyDescent="0.3">
      <c r="A346">
        <v>92</v>
      </c>
      <c r="B346">
        <v>7560</v>
      </c>
      <c r="D346" s="6">
        <f>$K$2*Linear_Regression56[[#This Row],[Ice Cream Profits (USD)]]+(1-$K$2)*F346</f>
        <v>7595.5481838571486</v>
      </c>
      <c r="E346" s="6">
        <f t="shared" si="15"/>
        <v>-140.49780663355878</v>
      </c>
      <c r="F346" s="6">
        <f t="shared" si="16"/>
        <v>7696.7237840659573</v>
      </c>
      <c r="G346" s="6">
        <f>Linear_Regression56[[#This Row],[Ice Cream Profits (USD)]]-H345</f>
        <v>-136.72378406595726</v>
      </c>
      <c r="H346" s="6">
        <f t="shared" si="17"/>
        <v>7455.0503772235897</v>
      </c>
    </row>
    <row r="347" spans="1:8" x14ac:dyDescent="0.3">
      <c r="A347">
        <v>92</v>
      </c>
      <c r="B347">
        <v>7504</v>
      </c>
      <c r="D347" s="6">
        <f>$K$2*Linear_Regression56[[#This Row],[Ice Cream Profits (USD)]]+(1-$K$2)*F347</f>
        <v>7491.2730980781334</v>
      </c>
      <c r="E347" s="6">
        <f t="shared" si="15"/>
        <v>-114.43003529171145</v>
      </c>
      <c r="F347" s="6">
        <f t="shared" si="16"/>
        <v>7455.0503772235897</v>
      </c>
      <c r="G347" s="6">
        <f>Linear_Regression56[[#This Row],[Ice Cream Profits (USD)]]-H346</f>
        <v>48.949622776410251</v>
      </c>
      <c r="H347" s="6">
        <f t="shared" si="17"/>
        <v>7376.8430627864218</v>
      </c>
    </row>
    <row r="348" spans="1:8" x14ac:dyDescent="0.3">
      <c r="A348">
        <v>92</v>
      </c>
      <c r="B348">
        <v>7741</v>
      </c>
      <c r="D348" s="6">
        <f>$K$2*Linear_Regression56[[#This Row],[Ice Cream Profits (USD)]]+(1-$K$2)*F348</f>
        <v>7646.3191963244699</v>
      </c>
      <c r="E348" s="6">
        <f t="shared" si="15"/>
        <v>79.499135831661192</v>
      </c>
      <c r="F348" s="6">
        <f t="shared" si="16"/>
        <v>7376.8430627864218</v>
      </c>
      <c r="G348" s="6">
        <f>Linear_Regression56[[#This Row],[Ice Cream Profits (USD)]]-H347</f>
        <v>364.1569372135782</v>
      </c>
      <c r="H348" s="6">
        <f t="shared" si="17"/>
        <v>7725.818332156131</v>
      </c>
    </row>
    <row r="349" spans="1:8" x14ac:dyDescent="0.3">
      <c r="A349">
        <v>93</v>
      </c>
      <c r="B349">
        <v>7976</v>
      </c>
      <c r="D349" s="6">
        <f>$K$2*Linear_Regression56[[#This Row],[Ice Cream Profits (USD)]]+(1-$K$2)*F349</f>
        <v>7910.9527663605941</v>
      </c>
      <c r="E349" s="6">
        <f t="shared" si="15"/>
        <v>212.73159282250214</v>
      </c>
      <c r="F349" s="6">
        <f t="shared" si="16"/>
        <v>7725.818332156131</v>
      </c>
      <c r="G349" s="6">
        <f>Linear_Regression56[[#This Row],[Ice Cream Profits (USD)]]-H348</f>
        <v>250.18166784386904</v>
      </c>
      <c r="H349" s="6">
        <f t="shared" si="17"/>
        <v>8123.6843591830966</v>
      </c>
    </row>
    <row r="350" spans="1:8" x14ac:dyDescent="0.3">
      <c r="A350">
        <v>93</v>
      </c>
      <c r="B350">
        <v>7718</v>
      </c>
      <c r="D350" s="6">
        <f>$K$2*Linear_Regression56[[#This Row],[Ice Cream Profits (USD)]]+(1-$K$2)*F350</f>
        <v>7823.4779333876049</v>
      </c>
      <c r="E350" s="6">
        <f t="shared" si="15"/>
        <v>-3.3127097138850701</v>
      </c>
      <c r="F350" s="6">
        <f t="shared" si="16"/>
        <v>8123.6843591830966</v>
      </c>
      <c r="G350" s="6">
        <f>Linear_Regression56[[#This Row],[Ice Cream Profits (USD)]]-H349</f>
        <v>-405.6843591830966</v>
      </c>
      <c r="H350" s="6">
        <f t="shared" si="17"/>
        <v>7820.16522367372</v>
      </c>
    </row>
    <row r="351" spans="1:8" x14ac:dyDescent="0.3">
      <c r="A351">
        <v>94</v>
      </c>
      <c r="B351">
        <v>8094</v>
      </c>
      <c r="D351" s="6">
        <f>$K$2*Linear_Regression56[[#This Row],[Ice Cream Profits (USD)]]+(1-$K$2)*F351</f>
        <v>8022.8029581551673</v>
      </c>
      <c r="E351" s="6">
        <f t="shared" si="15"/>
        <v>142.51604094524032</v>
      </c>
      <c r="F351" s="6">
        <f t="shared" si="16"/>
        <v>7820.16522367372</v>
      </c>
      <c r="G351" s="6">
        <f>Linear_Regression56[[#This Row],[Ice Cream Profits (USD)]]-H350</f>
        <v>273.83477632628001</v>
      </c>
      <c r="H351" s="6">
        <f t="shared" si="17"/>
        <v>8165.3189991004074</v>
      </c>
    </row>
    <row r="352" spans="1:8" x14ac:dyDescent="0.3">
      <c r="A352">
        <v>94</v>
      </c>
      <c r="B352">
        <v>7570</v>
      </c>
      <c r="D352" s="6">
        <f>$K$2*Linear_Regression56[[#This Row],[Ice Cream Profits (USD)]]+(1-$K$2)*F352</f>
        <v>7724.7829397661062</v>
      </c>
      <c r="E352" s="6">
        <f t="shared" si="15"/>
        <v>-174.5168321147242</v>
      </c>
      <c r="F352" s="6">
        <f t="shared" si="16"/>
        <v>8165.3189991004074</v>
      </c>
      <c r="G352" s="6">
        <f>Linear_Regression56[[#This Row],[Ice Cream Profits (USD)]]-H351</f>
        <v>-595.31899910040738</v>
      </c>
      <c r="H352" s="6">
        <f t="shared" si="17"/>
        <v>7550.2661076513823</v>
      </c>
    </row>
    <row r="353" spans="1:8" x14ac:dyDescent="0.3">
      <c r="A353">
        <v>95</v>
      </c>
      <c r="B353">
        <v>7820</v>
      </c>
      <c r="D353" s="6">
        <f>$K$2*Linear_Regression56[[#This Row],[Ice Cream Profits (USD)]]+(1-$K$2)*F353</f>
        <v>7749.8691879893595</v>
      </c>
      <c r="E353" s="6">
        <f t="shared" si="15"/>
        <v>-30.871977873298221</v>
      </c>
      <c r="F353" s="6">
        <f t="shared" si="16"/>
        <v>7550.2661076513823</v>
      </c>
      <c r="G353" s="6">
        <f>Linear_Regression56[[#This Row],[Ice Cream Profits (USD)]]-H352</f>
        <v>269.7338923486177</v>
      </c>
      <c r="H353" s="6">
        <f t="shared" si="17"/>
        <v>7718.9972101160611</v>
      </c>
    </row>
    <row r="354" spans="1:8" x14ac:dyDescent="0.3">
      <c r="A354">
        <v>95</v>
      </c>
      <c r="B354">
        <v>8075</v>
      </c>
      <c r="D354" s="6">
        <f>$K$2*Linear_Regression56[[#This Row],[Ice Cream Profits (USD)]]+(1-$K$2)*F354</f>
        <v>7982.4392746301764</v>
      </c>
      <c r="E354" s="6">
        <f t="shared" si="15"/>
        <v>158.71476043812646</v>
      </c>
      <c r="F354" s="6">
        <f t="shared" si="16"/>
        <v>7718.9972101160611</v>
      </c>
      <c r="G354" s="6">
        <f>Linear_Regression56[[#This Row],[Ice Cream Profits (USD)]]-H353</f>
        <v>356.00278988393893</v>
      </c>
      <c r="H354" s="6">
        <f t="shared" si="17"/>
        <v>8141.1540350683026</v>
      </c>
    </row>
    <row r="355" spans="1:8" x14ac:dyDescent="0.3">
      <c r="A355">
        <v>95</v>
      </c>
      <c r="B355">
        <v>8097</v>
      </c>
      <c r="D355" s="6">
        <f>$K$2*Linear_Regression56[[#This Row],[Ice Cream Profits (USD)]]+(1-$K$2)*F355</f>
        <v>8108.4800491177584</v>
      </c>
      <c r="E355" s="6">
        <f t="shared" si="15"/>
        <v>135.20084501455091</v>
      </c>
      <c r="F355" s="6">
        <f t="shared" si="16"/>
        <v>8141.1540350683026</v>
      </c>
      <c r="G355" s="6">
        <f>Linear_Regression56[[#This Row],[Ice Cream Profits (USD)]]-H354</f>
        <v>-44.154035068302619</v>
      </c>
      <c r="H355" s="6">
        <f t="shared" si="17"/>
        <v>8243.6808941323088</v>
      </c>
    </row>
    <row r="356" spans="1:8" x14ac:dyDescent="0.3">
      <c r="A356">
        <v>95</v>
      </c>
      <c r="B356">
        <v>8098</v>
      </c>
      <c r="D356" s="6">
        <f>$K$2*Linear_Regression56[[#This Row],[Ice Cream Profits (USD)]]+(1-$K$2)*F356</f>
        <v>8135.8770324744</v>
      </c>
      <c r="E356" s="6">
        <f t="shared" si="15"/>
        <v>57.619527289932165</v>
      </c>
      <c r="F356" s="6">
        <f t="shared" si="16"/>
        <v>8243.6808941323088</v>
      </c>
      <c r="G356" s="6">
        <f>Linear_Regression56[[#This Row],[Ice Cream Profits (USD)]]-H355</f>
        <v>-145.68089413230882</v>
      </c>
      <c r="H356" s="6">
        <f t="shared" si="17"/>
        <v>8193.4965597643313</v>
      </c>
    </row>
    <row r="357" spans="1:8" x14ac:dyDescent="0.3">
      <c r="A357">
        <v>96</v>
      </c>
      <c r="B357">
        <v>8002</v>
      </c>
      <c r="D357" s="6">
        <f>$K$2*Linear_Regression56[[#This Row],[Ice Cream Profits (USD)]]+(1-$K$2)*F357</f>
        <v>8051.7891055387263</v>
      </c>
      <c r="E357" s="6">
        <f t="shared" si="15"/>
        <v>-44.360595324877785</v>
      </c>
      <c r="F357" s="6">
        <f t="shared" si="16"/>
        <v>8193.4965597643313</v>
      </c>
      <c r="G357" s="6">
        <f>Linear_Regression56[[#This Row],[Ice Cream Profits (USD)]]-H356</f>
        <v>-191.49655976433132</v>
      </c>
      <c r="H357" s="6">
        <f t="shared" si="17"/>
        <v>8007.4285102138483</v>
      </c>
    </row>
    <row r="358" spans="1:8" x14ac:dyDescent="0.3">
      <c r="A358">
        <v>96</v>
      </c>
      <c r="B358">
        <v>8283</v>
      </c>
      <c r="D358" s="6">
        <f>$K$2*Linear_Regression56[[#This Row],[Ice Cream Profits (USD)]]+(1-$K$2)*F358</f>
        <v>8211.3514126556001</v>
      </c>
      <c r="E358" s="6">
        <f t="shared" si="15"/>
        <v>102.3930296599397</v>
      </c>
      <c r="F358" s="6">
        <f t="shared" si="16"/>
        <v>8007.4285102138483</v>
      </c>
      <c r="G358" s="6">
        <f>Linear_Regression56[[#This Row],[Ice Cream Profits (USD)]]-H357</f>
        <v>275.57148978615169</v>
      </c>
      <c r="H358" s="6">
        <f t="shared" si="17"/>
        <v>8313.7444423155393</v>
      </c>
    </row>
    <row r="359" spans="1:8" x14ac:dyDescent="0.3">
      <c r="A359">
        <v>96</v>
      </c>
      <c r="B359">
        <v>8095</v>
      </c>
      <c r="D359" s="6">
        <f>$K$2*Linear_Regression56[[#This Row],[Ice Cream Profits (USD)]]+(1-$K$2)*F359</f>
        <v>8151.873555002041</v>
      </c>
      <c r="E359" s="6">
        <f t="shared" si="15"/>
        <v>-14.097757830446536</v>
      </c>
      <c r="F359" s="6">
        <f t="shared" si="16"/>
        <v>8313.7444423155393</v>
      </c>
      <c r="G359" s="6">
        <f>Linear_Regression56[[#This Row],[Ice Cream Profits (USD)]]-H358</f>
        <v>-218.74444231553935</v>
      </c>
      <c r="H359" s="6">
        <f t="shared" si="17"/>
        <v>8137.7757971715946</v>
      </c>
    </row>
    <row r="360" spans="1:8" x14ac:dyDescent="0.3">
      <c r="A360">
        <v>97</v>
      </c>
      <c r="B360">
        <v>8250</v>
      </c>
      <c r="D360" s="6">
        <f>$K$2*Linear_Regression56[[#This Row],[Ice Cream Profits (USD)]]+(1-$K$2)*F360</f>
        <v>8220.8217072646148</v>
      </c>
      <c r="E360" s="6">
        <f t="shared" si="15"/>
        <v>45.666438345582002</v>
      </c>
      <c r="F360" s="6">
        <f t="shared" si="16"/>
        <v>8137.7757971715946</v>
      </c>
      <c r="G360" s="6">
        <f>Linear_Regression56[[#This Row],[Ice Cream Profits (USD)]]-H359</f>
        <v>112.2242028284054</v>
      </c>
      <c r="H360" s="6">
        <f t="shared" si="17"/>
        <v>8266.4881456101975</v>
      </c>
    </row>
    <row r="361" spans="1:8" x14ac:dyDescent="0.3">
      <c r="A361">
        <v>98</v>
      </c>
      <c r="B361">
        <v>8412</v>
      </c>
      <c r="D361" s="6">
        <f>$K$2*Linear_Regression56[[#This Row],[Ice Cream Profits (USD)]]+(1-$K$2)*F361</f>
        <v>8374.1669178586526</v>
      </c>
      <c r="E361" s="6">
        <f t="shared" si="15"/>
        <v>123.15773516492378</v>
      </c>
      <c r="F361" s="6">
        <f t="shared" si="16"/>
        <v>8266.4881456101975</v>
      </c>
      <c r="G361" s="6">
        <f>Linear_Regression56[[#This Row],[Ice Cream Profits (USD)]]-H360</f>
        <v>145.51185438980247</v>
      </c>
      <c r="H361" s="6">
        <f t="shared" si="17"/>
        <v>8497.3246530235756</v>
      </c>
    </row>
    <row r="362" spans="1:8" x14ac:dyDescent="0.3">
      <c r="A362">
        <v>99</v>
      </c>
      <c r="B362">
        <v>8513</v>
      </c>
      <c r="D362" s="6">
        <f>$K$2*Linear_Regression56[[#This Row],[Ice Cream Profits (USD)]]+(1-$K$2)*F362</f>
        <v>8508.9244097861301</v>
      </c>
      <c r="E362" s="6">
        <f t="shared" si="15"/>
        <v>131.5055290294857</v>
      </c>
      <c r="F362" s="6">
        <f t="shared" si="16"/>
        <v>8497.3246530235756</v>
      </c>
      <c r="G362" s="6">
        <f>Linear_Regression56[[#This Row],[Ice Cream Profits (USD)]]-H361</f>
        <v>15.675346976424407</v>
      </c>
      <c r="H362" s="6">
        <f t="shared" si="17"/>
        <v>8640.429938815616</v>
      </c>
    </row>
    <row r="363" spans="1:8" x14ac:dyDescent="0.3">
      <c r="A363">
        <v>99</v>
      </c>
      <c r="B363">
        <v>8708</v>
      </c>
      <c r="D363" s="6">
        <f>$K$2*Linear_Regression56[[#This Row],[Ice Cream Profits (USD)]]+(1-$K$2)*F363</f>
        <v>8690.4317840920594</v>
      </c>
      <c r="E363" s="6">
        <f t="shared" si="15"/>
        <v>167.48948160364088</v>
      </c>
      <c r="F363" s="6">
        <f t="shared" si="16"/>
        <v>8640.429938815616</v>
      </c>
      <c r="G363" s="6">
        <f>Linear_Regression56[[#This Row],[Ice Cream Profits (USD)]]-H362</f>
        <v>67.570061184384031</v>
      </c>
      <c r="H363" s="6">
        <f t="shared" si="17"/>
        <v>8857.9212656957006</v>
      </c>
    </row>
    <row r="364" spans="1:8" x14ac:dyDescent="0.3">
      <c r="A364">
        <v>99</v>
      </c>
      <c r="B364">
        <v>8929</v>
      </c>
      <c r="D364" s="6">
        <f>$K$2*Linear_Regression56[[#This Row],[Ice Cream Profits (USD)]]+(1-$K$2)*F364</f>
        <v>8910.5195290808824</v>
      </c>
      <c r="E364" s="6">
        <f t="shared" si="15"/>
        <v>205.34195294087345</v>
      </c>
      <c r="F364" s="6">
        <f t="shared" si="16"/>
        <v>8857.9212656957006</v>
      </c>
      <c r="G364" s="6">
        <f>Linear_Regression56[[#This Row],[Ice Cream Profits (USD)]]-H363</f>
        <v>71.07873430429936</v>
      </c>
      <c r="H364" s="6">
        <f t="shared" si="17"/>
        <v>9115.8614820217554</v>
      </c>
    </row>
    <row r="365" spans="1:8" x14ac:dyDescent="0.3">
      <c r="A365">
        <v>101</v>
      </c>
      <c r="B365">
        <v>8191</v>
      </c>
      <c r="D365" s="6">
        <f>$K$2*Linear_Regression56[[#This Row],[Ice Cream Profits (USD)]]+(1-$K$2)*F365</f>
        <v>8431.4639853256558</v>
      </c>
      <c r="E365" s="6">
        <f t="shared" si="15"/>
        <v>-287.18641129902016</v>
      </c>
      <c r="F365" s="6">
        <f t="shared" si="16"/>
        <v>9115.8614820217554</v>
      </c>
      <c r="G365" s="6">
        <f>Linear_Regression56[[#This Row],[Ice Cream Profits (USD)]]-H364</f>
        <v>-924.86148202175536</v>
      </c>
      <c r="H365" s="6">
        <f t="shared" si="17"/>
        <v>8144.2775740266352</v>
      </c>
    </row>
    <row r="366" spans="1:8" x14ac:dyDescent="0.3">
      <c r="A366">
        <v>101</v>
      </c>
      <c r="B366">
        <v>8502</v>
      </c>
      <c r="D366" s="6">
        <f>$K$2*Linear_Regression56[[#This Row],[Ice Cream Profits (USD)]]+(1-$K$2)*F366</f>
        <v>8408.9921692469252</v>
      </c>
      <c r="E366" s="6">
        <f t="shared" si="15"/>
        <v>-96.68389309333412</v>
      </c>
      <c r="F366" s="6">
        <f t="shared" si="16"/>
        <v>8144.2775740266352</v>
      </c>
      <c r="G366" s="6">
        <f>Linear_Regression56[[#This Row],[Ice Cream Profits (USD)]]-H365</f>
        <v>357.72242597336481</v>
      </c>
      <c r="H366" s="6">
        <f t="shared" si="17"/>
        <v>8312.3082761535916</v>
      </c>
    </row>
    <row r="367" spans="1:8" x14ac:dyDescent="0.3">
      <c r="D367" s="48" t="s">
        <v>19</v>
      </c>
      <c r="E367" s="49"/>
      <c r="F367" s="6">
        <f t="shared" ref="F367" si="18">D366+E366</f>
        <v>8312.3082761535916</v>
      </c>
      <c r="G367" s="48" t="s">
        <v>19</v>
      </c>
      <c r="H367" s="49"/>
    </row>
  </sheetData>
  <mergeCells count="3">
    <mergeCell ref="D367:E367"/>
    <mergeCell ref="G367:H367"/>
    <mergeCell ref="M2:M3"/>
  </mergeCells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D13EB-E299-4DD6-B7B8-E7335438901A}">
  <sheetPr codeName="Sheet7"/>
  <dimension ref="A1:O450"/>
  <sheetViews>
    <sheetView workbookViewId="0">
      <selection activeCell="J10" sqref="J10"/>
    </sheetView>
  </sheetViews>
  <sheetFormatPr defaultRowHeight="14.4" x14ac:dyDescent="0.3"/>
  <cols>
    <col min="1" max="1" width="16.77734375" customWidth="1"/>
    <col min="2" max="2" width="18.109375" customWidth="1"/>
    <col min="3" max="3" width="21.33203125" customWidth="1"/>
    <col min="5" max="5" width="12.21875" customWidth="1"/>
    <col min="6" max="6" width="22.109375" customWidth="1"/>
    <col min="7" max="7" width="24.21875" customWidth="1"/>
    <col min="8" max="8" width="15.6640625" customWidth="1"/>
    <col min="10" max="10" width="27.6640625" customWidth="1"/>
    <col min="11" max="11" width="13.109375" customWidth="1"/>
    <col min="12" max="12" width="10.44140625" customWidth="1"/>
    <col min="13" max="13" width="17.5546875" customWidth="1"/>
    <col min="14" max="14" width="13.88671875" customWidth="1"/>
  </cols>
  <sheetData>
    <row r="1" spans="1:15" x14ac:dyDescent="0.3">
      <c r="A1" s="6" t="s">
        <v>10</v>
      </c>
      <c r="B1" s="6" t="s">
        <v>13</v>
      </c>
      <c r="C1" s="18" t="s">
        <v>66</v>
      </c>
      <c r="E1" s="19" t="s">
        <v>67</v>
      </c>
      <c r="F1" s="19" t="s">
        <v>68</v>
      </c>
      <c r="G1" s="19" t="s">
        <v>70</v>
      </c>
      <c r="H1" s="19" t="s">
        <v>69</v>
      </c>
    </row>
    <row r="2" spans="1:15" x14ac:dyDescent="0.3">
      <c r="A2" s="6">
        <v>7</v>
      </c>
      <c r="B2" s="6">
        <v>9</v>
      </c>
      <c r="C2" s="6">
        <v>1</v>
      </c>
      <c r="E2" s="6">
        <f>$L$4+$L$5*Student_Performance__28[[#This Row],[Hours Studied]]+$L$6*Student_Performance__28[[#This Row],[Sleep Hours]]</f>
        <v>1.169986917227404</v>
      </c>
      <c r="F2" s="6">
        <f>EXP(E2)</f>
        <v>3.2219504862072395</v>
      </c>
      <c r="G2" s="6">
        <f>F2/(1+F2)</f>
        <v>0.76314265094606948</v>
      </c>
      <c r="H2" s="6">
        <f>C2*LN(G2)+(1-C2)*LN(1-G2)</f>
        <v>-0.27031030456179889</v>
      </c>
    </row>
    <row r="3" spans="1:15" x14ac:dyDescent="0.3">
      <c r="A3" s="6">
        <v>4</v>
      </c>
      <c r="B3" s="6">
        <v>4</v>
      </c>
      <c r="C3" s="6">
        <v>1</v>
      </c>
      <c r="E3" s="6">
        <f>$L$4+$L$5*Student_Performance__28[[#This Row],[Hours Studied]]+$L$6*Student_Performance__28[[#This Row],[Sleep Hours]]</f>
        <v>-0.23770460287564676</v>
      </c>
      <c r="F3" s="6">
        <f t="shared" ref="F3:F66" si="0">EXP(E3)</f>
        <v>0.78843555829458445</v>
      </c>
      <c r="G3" s="6">
        <f t="shared" ref="G3:G66" si="1">F3/(1+F3)</f>
        <v>0.44085209256654484</v>
      </c>
      <c r="H3" s="6">
        <f t="shared" ref="H3:H66" si="2">C3*LN(G3)+(1-C3)*LN(1-G3)</f>
        <v>-0.81904585079700054</v>
      </c>
    </row>
    <row r="4" spans="1:15" x14ac:dyDescent="0.3">
      <c r="A4" s="6">
        <v>8</v>
      </c>
      <c r="B4" s="6">
        <v>7</v>
      </c>
      <c r="C4" s="6">
        <v>0</v>
      </c>
      <c r="E4" s="6">
        <f>$L$4+$L$5*Student_Performance__28[[#This Row],[Hours Studied]]+$L$6*Student_Performance__28[[#This Row],[Sleep Hours]]</f>
        <v>1.1027315983852435</v>
      </c>
      <c r="F4" s="6">
        <f t="shared" si="0"/>
        <v>3.0123834172059332</v>
      </c>
      <c r="G4" s="6">
        <f t="shared" si="1"/>
        <v>0.7507715748919227</v>
      </c>
      <c r="H4" s="6">
        <f t="shared" si="2"/>
        <v>-1.3893854331320841</v>
      </c>
      <c r="J4" s="43" t="s">
        <v>71</v>
      </c>
      <c r="K4" s="1" t="s">
        <v>72</v>
      </c>
      <c r="L4" s="6">
        <v>-1.7244551201937672</v>
      </c>
    </row>
    <row r="5" spans="1:15" x14ac:dyDescent="0.3">
      <c r="A5" s="6">
        <v>5</v>
      </c>
      <c r="B5" s="6">
        <v>5</v>
      </c>
      <c r="C5" s="6">
        <v>0</v>
      </c>
      <c r="E5" s="6">
        <f>$L$4+$L$5*Student_Performance__28[[#This Row],[Hours Studied]]+$L$6*Student_Performance__28[[#This Row],[Sleep Hours]]</f>
        <v>0.13398302645388338</v>
      </c>
      <c r="F5" s="6">
        <f t="shared" si="0"/>
        <v>1.1433734123785988</v>
      </c>
      <c r="G5" s="6">
        <f t="shared" si="1"/>
        <v>0.53344573828120101</v>
      </c>
      <c r="H5" s="6">
        <f t="shared" si="2"/>
        <v>-0.76238094880562191</v>
      </c>
      <c r="J5" s="54"/>
      <c r="K5" s="1" t="s">
        <v>73</v>
      </c>
      <c r="L5" s="6">
        <v>0.22537331327229987</v>
      </c>
    </row>
    <row r="6" spans="1:15" x14ac:dyDescent="0.3">
      <c r="A6" s="6">
        <v>7</v>
      </c>
      <c r="B6" s="6">
        <v>8</v>
      </c>
      <c r="C6" s="6">
        <v>1</v>
      </c>
      <c r="E6" s="6">
        <f>$L$4+$L$5*Student_Performance__28[[#This Row],[Hours Studied]]+$L$6*Student_Performance__28[[#This Row],[Sleep Hours]]</f>
        <v>1.0236726011701738</v>
      </c>
      <c r="F6" s="6">
        <f t="shared" si="0"/>
        <v>2.7833983276406995</v>
      </c>
      <c r="G6" s="6">
        <f t="shared" si="1"/>
        <v>0.73568736003972568</v>
      </c>
      <c r="H6" s="6">
        <f t="shared" si="2"/>
        <v>-0.30695003305364821</v>
      </c>
      <c r="J6" s="44"/>
      <c r="K6" s="1" t="s">
        <v>74</v>
      </c>
      <c r="L6" s="6">
        <v>0.14631431605723025</v>
      </c>
    </row>
    <row r="7" spans="1:15" x14ac:dyDescent="0.3">
      <c r="A7" s="6">
        <v>3</v>
      </c>
      <c r="B7" s="6">
        <v>9</v>
      </c>
      <c r="C7" s="6">
        <v>1</v>
      </c>
      <c r="E7" s="6">
        <f>$L$4+$L$5*Student_Performance__28[[#This Row],[Hours Studied]]+$L$6*Student_Performance__28[[#This Row],[Sleep Hours]]</f>
        <v>0.26849366413820452</v>
      </c>
      <c r="F7" s="6">
        <f t="shared" si="0"/>
        <v>1.3079926897434107</v>
      </c>
      <c r="G7" s="6">
        <f t="shared" si="1"/>
        <v>0.56672306439966491</v>
      </c>
      <c r="H7" s="6">
        <f t="shared" si="2"/>
        <v>-0.56788451714709109</v>
      </c>
      <c r="J7" s="12" t="s">
        <v>75</v>
      </c>
      <c r="K7" s="52">
        <f>SUM(H2:H450)</f>
        <v>-286.97732879555457</v>
      </c>
      <c r="L7" s="53"/>
    </row>
    <row r="8" spans="1:15" x14ac:dyDescent="0.3">
      <c r="A8" s="6">
        <v>7</v>
      </c>
      <c r="B8" s="6">
        <v>5</v>
      </c>
      <c r="C8" s="6">
        <v>1</v>
      </c>
      <c r="E8" s="6">
        <f>$L$4+$L$5*Student_Performance__28[[#This Row],[Hours Studied]]+$L$6*Student_Performance__28[[#This Row],[Sleep Hours]]</f>
        <v>0.58472965299848301</v>
      </c>
      <c r="F8" s="6">
        <f t="shared" si="0"/>
        <v>1.7945057807989744</v>
      </c>
      <c r="G8" s="6">
        <f t="shared" si="1"/>
        <v>0.64215497177676584</v>
      </c>
      <c r="H8" s="6">
        <f t="shared" si="2"/>
        <v>-0.44292561536144459</v>
      </c>
    </row>
    <row r="9" spans="1:15" x14ac:dyDescent="0.3">
      <c r="A9" s="6">
        <v>8</v>
      </c>
      <c r="B9" s="6">
        <v>4</v>
      </c>
      <c r="C9" s="6">
        <v>0</v>
      </c>
      <c r="E9" s="6">
        <f>$L$4+$L$5*Student_Performance__28[[#This Row],[Hours Studied]]+$L$6*Student_Performance__28[[#This Row],[Sleep Hours]]</f>
        <v>0.66378865021355271</v>
      </c>
      <c r="F9" s="6">
        <f t="shared" si="0"/>
        <v>1.9421364892250614</v>
      </c>
      <c r="G9" s="6">
        <f t="shared" si="1"/>
        <v>0.66011094194226416</v>
      </c>
      <c r="H9" s="6">
        <f t="shared" si="2"/>
        <v>-1.0791360144494917</v>
      </c>
    </row>
    <row r="10" spans="1:15" x14ac:dyDescent="0.3">
      <c r="A10" s="6">
        <v>5</v>
      </c>
      <c r="B10" s="6">
        <v>8</v>
      </c>
      <c r="C10" s="6">
        <v>1</v>
      </c>
      <c r="E10" s="6">
        <f>$L$4+$L$5*Student_Performance__28[[#This Row],[Hours Studied]]+$L$6*Student_Performance__28[[#This Row],[Sleep Hours]]</f>
        <v>0.57292597462557415</v>
      </c>
      <c r="F10" s="6">
        <f t="shared" si="0"/>
        <v>1.7734485327021301</v>
      </c>
      <c r="G10" s="6">
        <f t="shared" si="1"/>
        <v>0.6394380540295389</v>
      </c>
      <c r="H10" s="6">
        <f t="shared" si="2"/>
        <v>-0.44716552891068606</v>
      </c>
    </row>
    <row r="11" spans="1:15" x14ac:dyDescent="0.3">
      <c r="A11" s="6">
        <v>4</v>
      </c>
      <c r="B11" s="6">
        <v>4</v>
      </c>
      <c r="C11" s="6">
        <v>1</v>
      </c>
      <c r="E11" s="6">
        <f>$L$4+$L$5*Student_Performance__28[[#This Row],[Hours Studied]]+$L$6*Student_Performance__28[[#This Row],[Sleep Hours]]</f>
        <v>-0.23770460287564676</v>
      </c>
      <c r="F11" s="6">
        <f t="shared" si="0"/>
        <v>0.78843555829458445</v>
      </c>
      <c r="G11" s="6">
        <f t="shared" si="1"/>
        <v>0.44085209256654484</v>
      </c>
      <c r="H11" s="6">
        <f t="shared" si="2"/>
        <v>-0.81904585079700054</v>
      </c>
    </row>
    <row r="12" spans="1:15" x14ac:dyDescent="0.3">
      <c r="A12" s="6">
        <v>8</v>
      </c>
      <c r="B12" s="6">
        <v>4</v>
      </c>
      <c r="C12" s="6">
        <v>1</v>
      </c>
      <c r="E12" s="6">
        <f>$L$4+$L$5*Student_Performance__28[[#This Row],[Hours Studied]]+$L$6*Student_Performance__28[[#This Row],[Sleep Hours]]</f>
        <v>0.66378865021355271</v>
      </c>
      <c r="F12" s="6">
        <f t="shared" si="0"/>
        <v>1.9421364892250614</v>
      </c>
      <c r="G12" s="6">
        <f t="shared" si="1"/>
        <v>0.66011094194226416</v>
      </c>
      <c r="H12" s="6">
        <f t="shared" si="2"/>
        <v>-0.41534736423593893</v>
      </c>
    </row>
    <row r="13" spans="1:15" x14ac:dyDescent="0.3">
      <c r="A13" s="6">
        <v>8</v>
      </c>
      <c r="B13" s="6">
        <v>6</v>
      </c>
      <c r="C13" s="6">
        <v>1</v>
      </c>
      <c r="E13" s="6">
        <f>$L$4+$L$5*Student_Performance__28[[#This Row],[Hours Studied]]+$L$6*Student_Performance__28[[#This Row],[Sleep Hours]]</f>
        <v>0.95641728232801326</v>
      </c>
      <c r="F13" s="6">
        <f t="shared" si="0"/>
        <v>2.6023562440072392</v>
      </c>
      <c r="G13" s="6">
        <f t="shared" si="1"/>
        <v>0.72240391225505063</v>
      </c>
      <c r="H13" s="6">
        <f t="shared" si="2"/>
        <v>-0.32517086125857375</v>
      </c>
    </row>
    <row r="14" spans="1:15" x14ac:dyDescent="0.3">
      <c r="A14" s="6">
        <v>3</v>
      </c>
      <c r="B14" s="6">
        <v>9</v>
      </c>
      <c r="C14" s="6">
        <v>0</v>
      </c>
      <c r="E14" s="6">
        <f>$L$4+$L$5*Student_Performance__28[[#This Row],[Hours Studied]]+$L$6*Student_Performance__28[[#This Row],[Sleep Hours]]</f>
        <v>0.26849366413820452</v>
      </c>
      <c r="F14" s="6">
        <f t="shared" si="0"/>
        <v>1.3079926897434107</v>
      </c>
      <c r="G14" s="6">
        <f t="shared" si="1"/>
        <v>0.56672306439966491</v>
      </c>
      <c r="H14" s="6">
        <f t="shared" si="2"/>
        <v>-0.83637818128529584</v>
      </c>
      <c r="J14" s="55" t="s">
        <v>134</v>
      </c>
      <c r="K14" s="56"/>
      <c r="L14" s="56"/>
      <c r="M14" s="56"/>
      <c r="N14" s="56"/>
      <c r="O14" s="56"/>
    </row>
    <row r="15" spans="1:15" x14ac:dyDescent="0.3">
      <c r="A15" s="6">
        <v>6</v>
      </c>
      <c r="B15" s="6">
        <v>4</v>
      </c>
      <c r="C15" s="6">
        <v>0</v>
      </c>
      <c r="E15" s="6">
        <f>$L$4+$L$5*Student_Performance__28[[#This Row],[Hours Studied]]+$L$6*Student_Performance__28[[#This Row],[Sleep Hours]]</f>
        <v>0.21304202366895286</v>
      </c>
      <c r="F15" s="6">
        <f t="shared" si="0"/>
        <v>1.2374366517791708</v>
      </c>
      <c r="G15" s="6">
        <f t="shared" si="1"/>
        <v>0.55305997190811307</v>
      </c>
      <c r="H15" s="6">
        <f t="shared" si="2"/>
        <v>-0.80533085871207766</v>
      </c>
      <c r="J15" s="57"/>
      <c r="K15" s="58"/>
      <c r="L15" s="58"/>
      <c r="M15" s="58"/>
      <c r="N15" s="58"/>
      <c r="O15" s="58"/>
    </row>
    <row r="16" spans="1:15" x14ac:dyDescent="0.3">
      <c r="A16" s="6">
        <v>5</v>
      </c>
      <c r="B16" s="6">
        <v>7</v>
      </c>
      <c r="C16" s="6">
        <v>1</v>
      </c>
      <c r="E16" s="6">
        <f>$L$4+$L$5*Student_Performance__28[[#This Row],[Hours Studied]]+$L$6*Student_Performance__28[[#This Row],[Sleep Hours]]</f>
        <v>0.42661165856834393</v>
      </c>
      <c r="F16" s="6">
        <f t="shared" si="0"/>
        <v>1.5320575847491342</v>
      </c>
      <c r="G16" s="6">
        <f t="shared" si="1"/>
        <v>0.60506427420011621</v>
      </c>
      <c r="H16" s="6">
        <f t="shared" si="2"/>
        <v>-0.50242058824688962</v>
      </c>
      <c r="J16" s="21" t="s">
        <v>10</v>
      </c>
      <c r="K16" s="21" t="s">
        <v>13</v>
      </c>
      <c r="L16" s="20" t="s">
        <v>67</v>
      </c>
      <c r="M16" s="20" t="s">
        <v>68</v>
      </c>
      <c r="N16" s="20" t="s">
        <v>76</v>
      </c>
      <c r="O16" s="22" t="s">
        <v>77</v>
      </c>
    </row>
    <row r="17" spans="1:15" x14ac:dyDescent="0.3">
      <c r="A17" s="6">
        <v>2</v>
      </c>
      <c r="B17" s="6">
        <v>4</v>
      </c>
      <c r="C17" s="6">
        <v>0</v>
      </c>
      <c r="E17" s="6">
        <f>$L$4+$L$5*Student_Performance__28[[#This Row],[Hours Studied]]+$L$6*Student_Performance__28[[#This Row],[Sleep Hours]]</f>
        <v>-0.68845122942024639</v>
      </c>
      <c r="F17" s="6">
        <f t="shared" si="0"/>
        <v>0.5023534971988427</v>
      </c>
      <c r="G17" s="6">
        <f t="shared" si="1"/>
        <v>0.33437769348924018</v>
      </c>
      <c r="H17" s="6">
        <f t="shared" si="2"/>
        <v>-0.4070328766491394</v>
      </c>
      <c r="J17" s="1">
        <v>1</v>
      </c>
      <c r="K17" s="1">
        <v>10</v>
      </c>
      <c r="L17" s="1">
        <f>$L$4+$L$5*J17+$L$6*K17</f>
        <v>-3.5938646349164882E-2</v>
      </c>
      <c r="M17" s="1">
        <f>EXP(L17)</f>
        <v>0.96469947950249146</v>
      </c>
      <c r="N17" s="1">
        <f>M17/(1+M17)</f>
        <v>0.49101630532664275</v>
      </c>
      <c r="O17" s="1">
        <v>1</v>
      </c>
    </row>
    <row r="18" spans="1:15" x14ac:dyDescent="0.3">
      <c r="A18" s="6">
        <v>8</v>
      </c>
      <c r="B18" s="6">
        <v>8</v>
      </c>
      <c r="C18" s="6">
        <v>1</v>
      </c>
      <c r="E18" s="6">
        <f>$L$4+$L$5*Student_Performance__28[[#This Row],[Hours Studied]]+$L$6*Student_Performance__28[[#This Row],[Sleep Hours]]</f>
        <v>1.2490459144424737</v>
      </c>
      <c r="F18" s="6">
        <f t="shared" si="0"/>
        <v>3.4870144597436026</v>
      </c>
      <c r="G18" s="6">
        <f t="shared" si="1"/>
        <v>0.7771346607032904</v>
      </c>
      <c r="H18" s="6">
        <f t="shared" si="2"/>
        <v>-0.25214163513222926</v>
      </c>
      <c r="J18" s="1">
        <v>2</v>
      </c>
      <c r="K18" s="1">
        <v>8</v>
      </c>
      <c r="L18" s="1">
        <f t="shared" ref="L18:L26" si="3">$L$4+$L$5*J18+$L$6*K18</f>
        <v>-0.1031939651913254</v>
      </c>
      <c r="M18" s="1">
        <f t="shared" ref="M18:M26" si="4">EXP(L18)</f>
        <v>0.90195200921954211</v>
      </c>
      <c r="N18" s="1">
        <f t="shared" ref="N18:N26" si="5">M18/(1+M18)</f>
        <v>0.47422437834782921</v>
      </c>
      <c r="O18" s="1">
        <f>1+O17</f>
        <v>2</v>
      </c>
    </row>
    <row r="19" spans="1:15" x14ac:dyDescent="0.3">
      <c r="A19" s="6">
        <v>6</v>
      </c>
      <c r="B19" s="6">
        <v>7</v>
      </c>
      <c r="C19" s="6">
        <v>1</v>
      </c>
      <c r="E19" s="6">
        <f>$L$4+$L$5*Student_Performance__28[[#This Row],[Hours Studied]]+$L$6*Student_Performance__28[[#This Row],[Sleep Hours]]</f>
        <v>0.65198497184064363</v>
      </c>
      <c r="F19" s="6">
        <f t="shared" si="0"/>
        <v>1.9193468998411038</v>
      </c>
      <c r="G19" s="6">
        <f t="shared" si="1"/>
        <v>0.65745763202912655</v>
      </c>
      <c r="H19" s="6">
        <f t="shared" si="2"/>
        <v>-0.41937495498494792</v>
      </c>
      <c r="J19" s="1">
        <v>5</v>
      </c>
      <c r="K19" s="1">
        <v>6</v>
      </c>
      <c r="L19" s="1">
        <f t="shared" si="3"/>
        <v>0.28029734251111371</v>
      </c>
      <c r="M19" s="1">
        <f t="shared" si="4"/>
        <v>1.3235232935748173</v>
      </c>
      <c r="N19" s="1">
        <f t="shared" si="5"/>
        <v>0.56961911990928782</v>
      </c>
      <c r="O19" s="1">
        <f t="shared" ref="O19:O25" si="6">1+O18</f>
        <v>3</v>
      </c>
    </row>
    <row r="20" spans="1:15" x14ac:dyDescent="0.3">
      <c r="A20" s="6">
        <v>2</v>
      </c>
      <c r="B20" s="6">
        <v>4</v>
      </c>
      <c r="C20" s="6">
        <v>0</v>
      </c>
      <c r="E20" s="6">
        <f>$L$4+$L$5*Student_Performance__28[[#This Row],[Hours Studied]]+$L$6*Student_Performance__28[[#This Row],[Sleep Hours]]</f>
        <v>-0.68845122942024639</v>
      </c>
      <c r="F20" s="6">
        <f t="shared" si="0"/>
        <v>0.5023534971988427</v>
      </c>
      <c r="G20" s="6">
        <f t="shared" si="1"/>
        <v>0.33437769348924018</v>
      </c>
      <c r="H20" s="6">
        <f t="shared" si="2"/>
        <v>-0.4070328766491394</v>
      </c>
      <c r="J20" s="1">
        <v>8</v>
      </c>
      <c r="K20" s="1">
        <v>8</v>
      </c>
      <c r="L20" s="1">
        <f t="shared" si="3"/>
        <v>1.2490459144424737</v>
      </c>
      <c r="M20" s="1">
        <f t="shared" si="4"/>
        <v>3.4870144597436026</v>
      </c>
      <c r="N20" s="1">
        <f t="shared" si="5"/>
        <v>0.7771346607032904</v>
      </c>
      <c r="O20" s="1">
        <f t="shared" si="6"/>
        <v>4</v>
      </c>
    </row>
    <row r="21" spans="1:15" x14ac:dyDescent="0.3">
      <c r="A21" s="6">
        <v>5</v>
      </c>
      <c r="B21" s="6">
        <v>7</v>
      </c>
      <c r="C21" s="6">
        <v>1</v>
      </c>
      <c r="E21" s="6">
        <f>$L$4+$L$5*Student_Performance__28[[#This Row],[Hours Studied]]+$L$6*Student_Performance__28[[#This Row],[Sleep Hours]]</f>
        <v>0.42661165856834393</v>
      </c>
      <c r="F21" s="6">
        <f t="shared" si="0"/>
        <v>1.5320575847491342</v>
      </c>
      <c r="G21" s="6">
        <f t="shared" si="1"/>
        <v>0.60506427420011621</v>
      </c>
      <c r="H21" s="6">
        <f t="shared" si="2"/>
        <v>-0.50242058824688962</v>
      </c>
      <c r="J21" s="1">
        <v>10</v>
      </c>
      <c r="K21" s="1">
        <v>1</v>
      </c>
      <c r="L21" s="1">
        <f t="shared" si="3"/>
        <v>0.67559232858646179</v>
      </c>
      <c r="M21" s="1">
        <f t="shared" si="4"/>
        <v>1.9651966734578878</v>
      </c>
      <c r="N21" s="1">
        <f t="shared" si="5"/>
        <v>0.66275424191885324</v>
      </c>
      <c r="O21" s="1">
        <f t="shared" si="6"/>
        <v>5</v>
      </c>
    </row>
    <row r="22" spans="1:15" x14ac:dyDescent="0.3">
      <c r="A22" s="6">
        <v>1</v>
      </c>
      <c r="B22" s="6">
        <v>4</v>
      </c>
      <c r="C22" s="6">
        <v>1</v>
      </c>
      <c r="E22" s="6">
        <f>$L$4+$L$5*Student_Performance__28[[#This Row],[Hours Studied]]+$L$6*Student_Performance__28[[#This Row],[Sleep Hours]]</f>
        <v>-0.91382454269254632</v>
      </c>
      <c r="F22" s="6">
        <f t="shared" si="0"/>
        <v>0.40098769309104837</v>
      </c>
      <c r="G22" s="6">
        <f t="shared" si="1"/>
        <v>0.28621785549474399</v>
      </c>
      <c r="H22" s="6">
        <f t="shared" si="2"/>
        <v>-1.2510020256341354</v>
      </c>
      <c r="J22" s="1">
        <v>12</v>
      </c>
      <c r="K22" s="1">
        <v>2</v>
      </c>
      <c r="L22" s="1">
        <f t="shared" si="3"/>
        <v>1.2726532711882914</v>
      </c>
      <c r="M22" s="1">
        <f t="shared" si="4"/>
        <v>3.5703130148880269</v>
      </c>
      <c r="N22" s="1">
        <f t="shared" si="5"/>
        <v>0.78119660584680972</v>
      </c>
      <c r="O22" s="1">
        <f t="shared" si="6"/>
        <v>6</v>
      </c>
    </row>
    <row r="23" spans="1:15" x14ac:dyDescent="0.3">
      <c r="A23" s="6">
        <v>6</v>
      </c>
      <c r="B23" s="6">
        <v>9</v>
      </c>
      <c r="C23" s="6">
        <v>1</v>
      </c>
      <c r="E23" s="6">
        <f>$L$4+$L$5*Student_Performance__28[[#This Row],[Hours Studied]]+$L$6*Student_Performance__28[[#This Row],[Sleep Hours]]</f>
        <v>0.94461360395510408</v>
      </c>
      <c r="F23" s="6">
        <f t="shared" si="0"/>
        <v>2.5718194457128165</v>
      </c>
      <c r="G23" s="6">
        <f t="shared" si="1"/>
        <v>0.72003064119036586</v>
      </c>
      <c r="H23" s="6">
        <f>C23*LN(G23)+(1-C23)*LN(1-G23)</f>
        <v>-0.32846151066872692</v>
      </c>
      <c r="J23" s="1">
        <v>5</v>
      </c>
      <c r="K23" s="1">
        <v>8</v>
      </c>
      <c r="L23" s="1">
        <f t="shared" si="3"/>
        <v>0.57292597462557415</v>
      </c>
      <c r="M23" s="1">
        <f t="shared" si="4"/>
        <v>1.7734485327021301</v>
      </c>
      <c r="N23" s="1">
        <f t="shared" si="5"/>
        <v>0.6394380540295389</v>
      </c>
      <c r="O23" s="1">
        <f t="shared" si="6"/>
        <v>7</v>
      </c>
    </row>
    <row r="24" spans="1:15" x14ac:dyDescent="0.3">
      <c r="A24" s="6">
        <v>9</v>
      </c>
      <c r="B24" s="6">
        <v>7</v>
      </c>
      <c r="C24" s="6">
        <v>1</v>
      </c>
      <c r="E24" s="6">
        <f>$L$4+$L$5*Student_Performance__28[[#This Row],[Hours Studied]]+$L$6*Student_Performance__28[[#This Row],[Sleep Hours]]</f>
        <v>1.3281049116575434</v>
      </c>
      <c r="F24" s="6">
        <f t="shared" si="0"/>
        <v>3.7738847615794402</v>
      </c>
      <c r="G24" s="6">
        <f t="shared" si="1"/>
        <v>0.79052699217876599</v>
      </c>
      <c r="H24" s="6">
        <f t="shared" si="2"/>
        <v>-0.23505547721187284</v>
      </c>
      <c r="J24" s="1">
        <v>4</v>
      </c>
      <c r="K24" s="1">
        <v>6</v>
      </c>
      <c r="L24" s="1">
        <f t="shared" si="3"/>
        <v>5.4924029238813787E-2</v>
      </c>
      <c r="M24" s="1">
        <f t="shared" si="4"/>
        <v>1.056460351529638</v>
      </c>
      <c r="N24" s="1">
        <f t="shared" si="5"/>
        <v>0.51372755654823155</v>
      </c>
      <c r="O24" s="1">
        <f t="shared" si="6"/>
        <v>8</v>
      </c>
    </row>
    <row r="25" spans="1:15" x14ac:dyDescent="0.3">
      <c r="A25" s="6">
        <v>1</v>
      </c>
      <c r="B25" s="6">
        <v>5</v>
      </c>
      <c r="C25" s="6">
        <v>1</v>
      </c>
      <c r="E25" s="6">
        <f>$L$4+$L$5*Student_Performance__28[[#This Row],[Hours Studied]]+$L$6*Student_Performance__28[[#This Row],[Sleep Hours]]</f>
        <v>-0.7675102266353161</v>
      </c>
      <c r="F25" s="6">
        <f t="shared" si="0"/>
        <v>0.46416730221036412</v>
      </c>
      <c r="G25" s="6">
        <f t="shared" si="1"/>
        <v>0.3170179401695688</v>
      </c>
      <c r="H25" s="6">
        <f t="shared" si="2"/>
        <v>-1.1487969131113593</v>
      </c>
      <c r="J25" s="1">
        <v>20</v>
      </c>
      <c r="K25" s="1">
        <v>20</v>
      </c>
      <c r="L25" s="1">
        <f t="shared" si="3"/>
        <v>5.7092974663968352</v>
      </c>
      <c r="M25" s="1">
        <f t="shared" si="4"/>
        <v>301.65906819081204</v>
      </c>
      <c r="N25" s="1">
        <f t="shared" si="5"/>
        <v>0.99669595229385444</v>
      </c>
      <c r="O25" s="1">
        <f t="shared" si="6"/>
        <v>9</v>
      </c>
    </row>
    <row r="26" spans="1:15" x14ac:dyDescent="0.3">
      <c r="A26" s="6">
        <v>3</v>
      </c>
      <c r="B26" s="6">
        <v>6</v>
      </c>
      <c r="C26" s="6">
        <v>0</v>
      </c>
      <c r="E26" s="6">
        <f>$L$4+$L$5*Student_Performance__28[[#This Row],[Hours Studied]]+$L$6*Student_Performance__28[[#This Row],[Sleep Hours]]</f>
        <v>-0.17044928403348614</v>
      </c>
      <c r="F26" s="6">
        <f t="shared" si="0"/>
        <v>0.84328585660138511</v>
      </c>
      <c r="G26" s="6">
        <f t="shared" si="1"/>
        <v>0.45749054796971061</v>
      </c>
      <c r="H26" s="6">
        <f t="shared" si="2"/>
        <v>-0.61154977062199534</v>
      </c>
      <c r="J26" s="1">
        <v>15</v>
      </c>
      <c r="K26" s="1">
        <v>0</v>
      </c>
      <c r="L26" s="1">
        <f t="shared" si="3"/>
        <v>1.6561445788907307</v>
      </c>
      <c r="M26" s="1">
        <f t="shared" si="4"/>
        <v>5.2390730241252124</v>
      </c>
      <c r="N26" s="1">
        <f t="shared" si="5"/>
        <v>0.83971977950358878</v>
      </c>
      <c r="O26" s="1">
        <f t="shared" ref="O26" si="7">1+O25</f>
        <v>10</v>
      </c>
    </row>
    <row r="27" spans="1:15" x14ac:dyDescent="0.3">
      <c r="A27" s="6">
        <v>7</v>
      </c>
      <c r="B27" s="6">
        <v>7</v>
      </c>
      <c r="C27" s="6">
        <v>0</v>
      </c>
      <c r="E27" s="6">
        <f>$L$4+$L$5*Student_Performance__28[[#This Row],[Hours Studied]]+$L$6*Student_Performance__28[[#This Row],[Sleep Hours]]</f>
        <v>0.87735828511294356</v>
      </c>
      <c r="F27" s="6">
        <f t="shared" si="0"/>
        <v>2.4045392017904299</v>
      </c>
      <c r="G27" s="6">
        <f t="shared" si="1"/>
        <v>0.70627449392443331</v>
      </c>
      <c r="H27" s="6">
        <f t="shared" si="2"/>
        <v>-1.2251096005729105</v>
      </c>
    </row>
    <row r="28" spans="1:15" x14ac:dyDescent="0.3">
      <c r="A28" s="6">
        <v>4</v>
      </c>
      <c r="B28" s="6">
        <v>8</v>
      </c>
      <c r="C28" s="6">
        <v>1</v>
      </c>
      <c r="E28" s="6">
        <f>$L$4+$L$5*Student_Performance__28[[#This Row],[Hours Studied]]+$L$6*Student_Performance__28[[#This Row],[Sleep Hours]]</f>
        <v>0.34755266135327423</v>
      </c>
      <c r="F28" s="6">
        <f t="shared" si="0"/>
        <v>1.4155988560032864</v>
      </c>
      <c r="G28" s="6">
        <f t="shared" si="1"/>
        <v>0.58602398013445678</v>
      </c>
      <c r="H28" s="6">
        <f t="shared" si="2"/>
        <v>-0.53439456851124068</v>
      </c>
    </row>
    <row r="29" spans="1:15" x14ac:dyDescent="0.3">
      <c r="A29" s="6">
        <v>9</v>
      </c>
      <c r="B29" s="6">
        <v>6</v>
      </c>
      <c r="C29" s="6">
        <v>1</v>
      </c>
      <c r="E29" s="6">
        <f>$L$4+$L$5*Student_Performance__28[[#This Row],[Hours Studied]]+$L$6*Student_Performance__28[[#This Row],[Sleep Hours]]</f>
        <v>1.1817905956003132</v>
      </c>
      <c r="F29" s="6">
        <f t="shared" si="0"/>
        <v>3.2602066912747989</v>
      </c>
      <c r="G29" s="6">
        <f t="shared" si="1"/>
        <v>0.76526960486493056</v>
      </c>
      <c r="H29" s="6">
        <f t="shared" si="2"/>
        <v>-0.26752708258254487</v>
      </c>
    </row>
    <row r="30" spans="1:15" x14ac:dyDescent="0.3">
      <c r="A30" s="6">
        <v>3</v>
      </c>
      <c r="B30" s="6">
        <v>6</v>
      </c>
      <c r="C30" s="6">
        <v>1</v>
      </c>
      <c r="E30" s="6">
        <f>$L$4+$L$5*Student_Performance__28[[#This Row],[Hours Studied]]+$L$6*Student_Performance__28[[#This Row],[Sleep Hours]]</f>
        <v>-0.17044928403348614</v>
      </c>
      <c r="F30" s="6">
        <f t="shared" si="0"/>
        <v>0.84328585660138511</v>
      </c>
      <c r="G30" s="6">
        <f t="shared" si="1"/>
        <v>0.45749054796971061</v>
      </c>
      <c r="H30" s="6">
        <f t="shared" si="2"/>
        <v>-0.78199905465548136</v>
      </c>
    </row>
    <row r="31" spans="1:15" x14ac:dyDescent="0.3">
      <c r="A31" s="6">
        <v>5</v>
      </c>
      <c r="B31" s="6">
        <v>4</v>
      </c>
      <c r="C31" s="6">
        <v>1</v>
      </c>
      <c r="E31" s="6">
        <f>$L$4+$L$5*Student_Performance__28[[#This Row],[Hours Studied]]+$L$6*Student_Performance__28[[#This Row],[Sleep Hours]]</f>
        <v>-1.233128960334684E-2</v>
      </c>
      <c r="F31" s="6">
        <f t="shared" si="0"/>
        <v>0.98774442919193028</v>
      </c>
      <c r="G31" s="6">
        <f t="shared" si="1"/>
        <v>0.49691721666324784</v>
      </c>
      <c r="H31" s="6">
        <f t="shared" si="2"/>
        <v>-0.69933183282910061</v>
      </c>
    </row>
    <row r="32" spans="1:15" x14ac:dyDescent="0.3">
      <c r="A32" s="6">
        <v>3</v>
      </c>
      <c r="B32" s="6">
        <v>7</v>
      </c>
      <c r="C32" s="6">
        <v>0</v>
      </c>
      <c r="E32" s="6">
        <f>$L$4+$L$5*Student_Performance__28[[#This Row],[Hours Studied]]+$L$6*Student_Performance__28[[#This Row],[Sleep Hours]]</f>
        <v>-2.4134967976255917E-2</v>
      </c>
      <c r="F32" s="6">
        <f t="shared" si="0"/>
        <v>0.97615395134319904</v>
      </c>
      <c r="G32" s="6">
        <f t="shared" si="1"/>
        <v>0.49396655087509944</v>
      </c>
      <c r="H32" s="6">
        <f t="shared" si="2"/>
        <v>-0.68115250688958806</v>
      </c>
    </row>
    <row r="33" spans="1:8" x14ac:dyDescent="0.3">
      <c r="A33" s="6">
        <v>7</v>
      </c>
      <c r="B33" s="6">
        <v>9</v>
      </c>
      <c r="C33" s="6">
        <v>0</v>
      </c>
      <c r="E33" s="6">
        <f>$L$4+$L$5*Student_Performance__28[[#This Row],[Hours Studied]]+$L$6*Student_Performance__28[[#This Row],[Sleep Hours]]</f>
        <v>1.169986917227404</v>
      </c>
      <c r="F33" s="6">
        <f t="shared" si="0"/>
        <v>3.2219504862072395</v>
      </c>
      <c r="G33" s="6">
        <f t="shared" si="1"/>
        <v>0.76314265094606948</v>
      </c>
      <c r="H33" s="6">
        <f t="shared" si="2"/>
        <v>-1.4402972217892032</v>
      </c>
    </row>
    <row r="34" spans="1:8" x14ac:dyDescent="0.3">
      <c r="A34" s="6">
        <v>5</v>
      </c>
      <c r="B34" s="6">
        <v>6</v>
      </c>
      <c r="C34" s="6">
        <v>1</v>
      </c>
      <c r="E34" s="6">
        <f>$L$4+$L$5*Student_Performance__28[[#This Row],[Hours Studied]]+$L$6*Student_Performance__28[[#This Row],[Sleep Hours]]</f>
        <v>0.28029734251111371</v>
      </c>
      <c r="F34" s="6">
        <f t="shared" si="0"/>
        <v>1.3235232935748173</v>
      </c>
      <c r="G34" s="6">
        <f t="shared" si="1"/>
        <v>0.56961911990928782</v>
      </c>
      <c r="H34" s="6">
        <f t="shared" si="2"/>
        <v>-0.56278735219126441</v>
      </c>
    </row>
    <row r="35" spans="1:8" x14ac:dyDescent="0.3">
      <c r="A35" s="6">
        <v>9</v>
      </c>
      <c r="B35" s="6">
        <v>8</v>
      </c>
      <c r="C35" s="6">
        <v>0</v>
      </c>
      <c r="E35" s="6">
        <f>$L$4+$L$5*Student_Performance__28[[#This Row],[Hours Studied]]+$L$6*Student_Performance__28[[#This Row],[Sleep Hours]]</f>
        <v>1.4744192277147736</v>
      </c>
      <c r="F35" s="6">
        <f t="shared" si="0"/>
        <v>4.368497933519838</v>
      </c>
      <c r="G35" s="6">
        <f t="shared" si="1"/>
        <v>0.81372815778577501</v>
      </c>
      <c r="H35" s="6">
        <f t="shared" si="2"/>
        <v>-1.6805481549650603</v>
      </c>
    </row>
    <row r="36" spans="1:8" x14ac:dyDescent="0.3">
      <c r="A36" s="6">
        <v>7</v>
      </c>
      <c r="B36" s="6">
        <v>9</v>
      </c>
      <c r="C36" s="6">
        <v>1</v>
      </c>
      <c r="E36" s="6">
        <f>$L$4+$L$5*Student_Performance__28[[#This Row],[Hours Studied]]+$L$6*Student_Performance__28[[#This Row],[Sleep Hours]]</f>
        <v>1.169986917227404</v>
      </c>
      <c r="F36" s="6">
        <f t="shared" si="0"/>
        <v>3.2219504862072395</v>
      </c>
      <c r="G36" s="6">
        <f t="shared" si="1"/>
        <v>0.76314265094606948</v>
      </c>
      <c r="H36" s="6">
        <f t="shared" si="2"/>
        <v>-0.27031030456179889</v>
      </c>
    </row>
    <row r="37" spans="1:8" x14ac:dyDescent="0.3">
      <c r="A37" s="6">
        <v>2</v>
      </c>
      <c r="B37" s="6">
        <v>9</v>
      </c>
      <c r="C37" s="6">
        <v>1</v>
      </c>
      <c r="E37" s="6">
        <f>$L$4+$L$5*Student_Performance__28[[#This Row],[Hours Studied]]+$L$6*Student_Performance__28[[#This Row],[Sleep Hours]]</f>
        <v>4.3120350865904822E-2</v>
      </c>
      <c r="F37" s="6">
        <f t="shared" si="0"/>
        <v>1.044063541240883</v>
      </c>
      <c r="G37" s="6">
        <f t="shared" si="1"/>
        <v>0.51077841768415222</v>
      </c>
      <c r="H37" s="6">
        <f t="shared" si="2"/>
        <v>-0.67181940770513204</v>
      </c>
    </row>
    <row r="38" spans="1:8" x14ac:dyDescent="0.3">
      <c r="A38" s="6">
        <v>4</v>
      </c>
      <c r="B38" s="6">
        <v>8</v>
      </c>
      <c r="C38" s="6">
        <v>0</v>
      </c>
      <c r="E38" s="6">
        <f>$L$4+$L$5*Student_Performance__28[[#This Row],[Hours Studied]]+$L$6*Student_Performance__28[[#This Row],[Sleep Hours]]</f>
        <v>0.34755266135327423</v>
      </c>
      <c r="F38" s="6">
        <f t="shared" si="0"/>
        <v>1.4155988560032864</v>
      </c>
      <c r="G38" s="6">
        <f t="shared" si="1"/>
        <v>0.58602398013445678</v>
      </c>
      <c r="H38" s="6">
        <f t="shared" si="2"/>
        <v>-0.88194722986451501</v>
      </c>
    </row>
    <row r="39" spans="1:8" x14ac:dyDescent="0.3">
      <c r="A39" s="6">
        <v>9</v>
      </c>
      <c r="B39" s="6">
        <v>8</v>
      </c>
      <c r="C39" s="6">
        <v>1</v>
      </c>
      <c r="E39" s="6">
        <f>$L$4+$L$5*Student_Performance__28[[#This Row],[Hours Studied]]+$L$6*Student_Performance__28[[#This Row],[Sleep Hours]]</f>
        <v>1.4744192277147736</v>
      </c>
      <c r="F39" s="6">
        <f t="shared" si="0"/>
        <v>4.368497933519838</v>
      </c>
      <c r="G39" s="6">
        <f t="shared" si="1"/>
        <v>0.81372815778577501</v>
      </c>
      <c r="H39" s="6">
        <f t="shared" si="2"/>
        <v>-0.20612892725028695</v>
      </c>
    </row>
    <row r="40" spans="1:8" x14ac:dyDescent="0.3">
      <c r="A40" s="6">
        <v>2</v>
      </c>
      <c r="B40" s="6">
        <v>4</v>
      </c>
      <c r="C40" s="6">
        <v>0</v>
      </c>
      <c r="E40" s="6">
        <f>$L$4+$L$5*Student_Performance__28[[#This Row],[Hours Studied]]+$L$6*Student_Performance__28[[#This Row],[Sleep Hours]]</f>
        <v>-0.68845122942024639</v>
      </c>
      <c r="F40" s="6">
        <f t="shared" si="0"/>
        <v>0.5023534971988427</v>
      </c>
      <c r="G40" s="6">
        <f t="shared" si="1"/>
        <v>0.33437769348924018</v>
      </c>
      <c r="H40" s="6">
        <f t="shared" si="2"/>
        <v>-0.4070328766491394</v>
      </c>
    </row>
    <row r="41" spans="1:8" x14ac:dyDescent="0.3">
      <c r="A41" s="6">
        <v>9</v>
      </c>
      <c r="B41" s="6">
        <v>5</v>
      </c>
      <c r="C41" s="6">
        <v>1</v>
      </c>
      <c r="E41" s="6">
        <f>$L$4+$L$5*Student_Performance__28[[#This Row],[Hours Studied]]+$L$6*Student_Performance__28[[#This Row],[Sleep Hours]]</f>
        <v>1.035476279543083</v>
      </c>
      <c r="F41" s="6">
        <f t="shared" si="0"/>
        <v>2.8164473324788442</v>
      </c>
      <c r="G41" s="6">
        <f t="shared" si="1"/>
        <v>0.73797620853043877</v>
      </c>
      <c r="H41" s="6">
        <f t="shared" si="2"/>
        <v>-0.30384369266494554</v>
      </c>
    </row>
    <row r="42" spans="1:8" x14ac:dyDescent="0.3">
      <c r="A42" s="6">
        <v>5</v>
      </c>
      <c r="B42" s="6">
        <v>7</v>
      </c>
      <c r="C42" s="6">
        <v>0</v>
      </c>
      <c r="E42" s="6">
        <f>$L$4+$L$5*Student_Performance__28[[#This Row],[Hours Studied]]+$L$6*Student_Performance__28[[#This Row],[Sleep Hours]]</f>
        <v>0.42661165856834393</v>
      </c>
      <c r="F42" s="6">
        <f t="shared" si="0"/>
        <v>1.5320575847491342</v>
      </c>
      <c r="G42" s="6">
        <f t="shared" si="1"/>
        <v>0.60506427420011621</v>
      </c>
      <c r="H42" s="6">
        <f t="shared" si="2"/>
        <v>-0.92903224681523344</v>
      </c>
    </row>
    <row r="43" spans="1:8" x14ac:dyDescent="0.3">
      <c r="A43" s="6">
        <v>2</v>
      </c>
      <c r="B43" s="6">
        <v>6</v>
      </c>
      <c r="C43" s="6">
        <v>0</v>
      </c>
      <c r="E43" s="6">
        <f>$L$4+$L$5*Student_Performance__28[[#This Row],[Hours Studied]]+$L$6*Student_Performance__28[[#This Row],[Sleep Hours]]</f>
        <v>-0.39582259730578584</v>
      </c>
      <c r="F43" s="6">
        <f t="shared" si="0"/>
        <v>0.67312609972943394</v>
      </c>
      <c r="G43" s="6">
        <f t="shared" si="1"/>
        <v>0.40231641825340425</v>
      </c>
      <c r="H43" s="6">
        <f t="shared" si="2"/>
        <v>-0.51469379258292292</v>
      </c>
    </row>
    <row r="44" spans="1:8" x14ac:dyDescent="0.3">
      <c r="A44" s="6">
        <v>4</v>
      </c>
      <c r="B44" s="6">
        <v>7</v>
      </c>
      <c r="C44" s="6">
        <v>1</v>
      </c>
      <c r="E44" s="6">
        <f>$L$4+$L$5*Student_Performance__28[[#This Row],[Hours Studied]]+$L$6*Student_Performance__28[[#This Row],[Sleep Hours]]</f>
        <v>0.20123834529604401</v>
      </c>
      <c r="F44" s="6">
        <f t="shared" si="0"/>
        <v>1.2229162134170048</v>
      </c>
      <c r="G44" s="6">
        <f t="shared" si="1"/>
        <v>0.55014048934267845</v>
      </c>
      <c r="H44" s="6">
        <f t="shared" si="2"/>
        <v>-0.59758159820512247</v>
      </c>
    </row>
    <row r="45" spans="1:8" x14ac:dyDescent="0.3">
      <c r="A45" s="6">
        <v>7</v>
      </c>
      <c r="B45" s="6">
        <v>9</v>
      </c>
      <c r="C45" s="6">
        <v>0</v>
      </c>
      <c r="E45" s="6">
        <f>$L$4+$L$5*Student_Performance__28[[#This Row],[Hours Studied]]+$L$6*Student_Performance__28[[#This Row],[Sleep Hours]]</f>
        <v>1.169986917227404</v>
      </c>
      <c r="F45" s="6">
        <f t="shared" si="0"/>
        <v>3.2219504862072395</v>
      </c>
      <c r="G45" s="6">
        <f t="shared" si="1"/>
        <v>0.76314265094606948</v>
      </c>
      <c r="H45" s="6">
        <f t="shared" si="2"/>
        <v>-1.4402972217892032</v>
      </c>
    </row>
    <row r="46" spans="1:8" x14ac:dyDescent="0.3">
      <c r="A46" s="6">
        <v>8</v>
      </c>
      <c r="B46" s="6">
        <v>6</v>
      </c>
      <c r="C46" s="6">
        <v>1</v>
      </c>
      <c r="E46" s="6">
        <f>$L$4+$L$5*Student_Performance__28[[#This Row],[Hours Studied]]+$L$6*Student_Performance__28[[#This Row],[Sleep Hours]]</f>
        <v>0.95641728232801326</v>
      </c>
      <c r="F46" s="6">
        <f t="shared" si="0"/>
        <v>2.6023562440072392</v>
      </c>
      <c r="G46" s="6">
        <f t="shared" si="1"/>
        <v>0.72240391225505063</v>
      </c>
      <c r="H46" s="6">
        <f t="shared" si="2"/>
        <v>-0.32517086125857375</v>
      </c>
    </row>
    <row r="47" spans="1:8" x14ac:dyDescent="0.3">
      <c r="A47" s="6">
        <v>3</v>
      </c>
      <c r="B47" s="6">
        <v>4</v>
      </c>
      <c r="C47" s="6">
        <v>1</v>
      </c>
      <c r="E47" s="6">
        <f>$L$4+$L$5*Student_Performance__28[[#This Row],[Hours Studied]]+$L$6*Student_Performance__28[[#This Row],[Sleep Hours]]</f>
        <v>-0.46307791614794669</v>
      </c>
      <c r="F47" s="6">
        <f t="shared" si="0"/>
        <v>0.62934359456914024</v>
      </c>
      <c r="G47" s="6">
        <f t="shared" si="1"/>
        <v>0.38625591107169904</v>
      </c>
      <c r="H47" s="6">
        <f t="shared" si="2"/>
        <v>-0.95125514714178383</v>
      </c>
    </row>
    <row r="48" spans="1:8" x14ac:dyDescent="0.3">
      <c r="A48" s="6">
        <v>1</v>
      </c>
      <c r="B48" s="6">
        <v>7</v>
      </c>
      <c r="C48" s="6">
        <v>0</v>
      </c>
      <c r="E48" s="6">
        <f>$L$4+$L$5*Student_Performance__28[[#This Row],[Hours Studied]]+$L$6*Student_Performance__28[[#This Row],[Sleep Hours]]</f>
        <v>-0.47488159452085554</v>
      </c>
      <c r="F48" s="6">
        <f t="shared" si="0"/>
        <v>0.62195869542264559</v>
      </c>
      <c r="G48" s="6">
        <f t="shared" si="1"/>
        <v>0.38346148837074878</v>
      </c>
      <c r="H48" s="6">
        <f t="shared" si="2"/>
        <v>-0.48363449015482529</v>
      </c>
    </row>
    <row r="49" spans="1:8" x14ac:dyDescent="0.3">
      <c r="A49" s="6">
        <v>4</v>
      </c>
      <c r="B49" s="6">
        <v>4</v>
      </c>
      <c r="C49" s="6">
        <v>1</v>
      </c>
      <c r="E49" s="6">
        <f>$L$4+$L$5*Student_Performance__28[[#This Row],[Hours Studied]]+$L$6*Student_Performance__28[[#This Row],[Sleep Hours]]</f>
        <v>-0.23770460287564676</v>
      </c>
      <c r="F49" s="6">
        <f t="shared" si="0"/>
        <v>0.78843555829458445</v>
      </c>
      <c r="G49" s="6">
        <f t="shared" si="1"/>
        <v>0.44085209256654484</v>
      </c>
      <c r="H49" s="6">
        <f t="shared" si="2"/>
        <v>-0.81904585079700054</v>
      </c>
    </row>
    <row r="50" spans="1:8" x14ac:dyDescent="0.3">
      <c r="A50" s="6">
        <v>2</v>
      </c>
      <c r="B50" s="6">
        <v>4</v>
      </c>
      <c r="C50" s="6">
        <v>1</v>
      </c>
      <c r="E50" s="6">
        <f>$L$4+$L$5*Student_Performance__28[[#This Row],[Hours Studied]]+$L$6*Student_Performance__28[[#This Row],[Sleep Hours]]</f>
        <v>-0.68845122942024639</v>
      </c>
      <c r="F50" s="6">
        <f t="shared" si="0"/>
        <v>0.5023534971988427</v>
      </c>
      <c r="G50" s="6">
        <f t="shared" si="1"/>
        <v>0.33437769348924018</v>
      </c>
      <c r="H50" s="6">
        <f t="shared" si="2"/>
        <v>-1.0954841060693858</v>
      </c>
    </row>
    <row r="51" spans="1:8" x14ac:dyDescent="0.3">
      <c r="A51" s="6">
        <v>8</v>
      </c>
      <c r="B51" s="6">
        <v>7</v>
      </c>
      <c r="C51" s="6">
        <v>1</v>
      </c>
      <c r="E51" s="6">
        <f>$L$4+$L$5*Student_Performance__28[[#This Row],[Hours Studied]]+$L$6*Student_Performance__28[[#This Row],[Sleep Hours]]</f>
        <v>1.1027315983852435</v>
      </c>
      <c r="F51" s="6">
        <f t="shared" si="0"/>
        <v>3.0123834172059332</v>
      </c>
      <c r="G51" s="6">
        <f t="shared" si="1"/>
        <v>0.7507715748919227</v>
      </c>
      <c r="H51" s="6">
        <f t="shared" si="2"/>
        <v>-0.28665383474684081</v>
      </c>
    </row>
    <row r="52" spans="1:8" x14ac:dyDescent="0.3">
      <c r="A52" s="6">
        <v>4</v>
      </c>
      <c r="B52" s="6">
        <v>7</v>
      </c>
      <c r="C52" s="6">
        <v>0</v>
      </c>
      <c r="E52" s="6">
        <f>$L$4+$L$5*Student_Performance__28[[#This Row],[Hours Studied]]+$L$6*Student_Performance__28[[#This Row],[Sleep Hours]]</f>
        <v>0.20123834529604401</v>
      </c>
      <c r="F52" s="6">
        <f t="shared" si="0"/>
        <v>1.2229162134170048</v>
      </c>
      <c r="G52" s="6">
        <f t="shared" si="1"/>
        <v>0.55014048934267845</v>
      </c>
      <c r="H52" s="6">
        <f t="shared" si="2"/>
        <v>-0.79881994350116647</v>
      </c>
    </row>
    <row r="53" spans="1:8" x14ac:dyDescent="0.3">
      <c r="A53" s="6">
        <v>2</v>
      </c>
      <c r="B53" s="6">
        <v>6</v>
      </c>
      <c r="C53" s="6">
        <v>1</v>
      </c>
      <c r="E53" s="6">
        <f>$L$4+$L$5*Student_Performance__28[[#This Row],[Hours Studied]]+$L$6*Student_Performance__28[[#This Row],[Sleep Hours]]</f>
        <v>-0.39582259730578584</v>
      </c>
      <c r="F53" s="6">
        <f t="shared" si="0"/>
        <v>0.67312609972943394</v>
      </c>
      <c r="G53" s="6">
        <f t="shared" si="1"/>
        <v>0.40231641825340425</v>
      </c>
      <c r="H53" s="6">
        <f t="shared" si="2"/>
        <v>-0.91051638988870887</v>
      </c>
    </row>
    <row r="54" spans="1:8" x14ac:dyDescent="0.3">
      <c r="A54" s="6">
        <v>6</v>
      </c>
      <c r="B54" s="6">
        <v>9</v>
      </c>
      <c r="C54" s="6">
        <v>1</v>
      </c>
      <c r="E54" s="6">
        <f>$L$4+$L$5*Student_Performance__28[[#This Row],[Hours Studied]]+$L$6*Student_Performance__28[[#This Row],[Sleep Hours]]</f>
        <v>0.94461360395510408</v>
      </c>
      <c r="F54" s="6">
        <f t="shared" si="0"/>
        <v>2.5718194457128165</v>
      </c>
      <c r="G54" s="6">
        <f t="shared" si="1"/>
        <v>0.72003064119036586</v>
      </c>
      <c r="H54" s="6">
        <f t="shared" si="2"/>
        <v>-0.32846151066872692</v>
      </c>
    </row>
    <row r="55" spans="1:8" x14ac:dyDescent="0.3">
      <c r="A55" s="6">
        <v>6</v>
      </c>
      <c r="B55" s="6">
        <v>9</v>
      </c>
      <c r="C55" s="6">
        <v>1</v>
      </c>
      <c r="E55" s="6">
        <f>$L$4+$L$5*Student_Performance__28[[#This Row],[Hours Studied]]+$L$6*Student_Performance__28[[#This Row],[Sleep Hours]]</f>
        <v>0.94461360395510408</v>
      </c>
      <c r="F55" s="6">
        <f t="shared" si="0"/>
        <v>2.5718194457128165</v>
      </c>
      <c r="G55" s="6">
        <f t="shared" si="1"/>
        <v>0.72003064119036586</v>
      </c>
      <c r="H55" s="6">
        <f t="shared" si="2"/>
        <v>-0.32846151066872692</v>
      </c>
    </row>
    <row r="56" spans="1:8" x14ac:dyDescent="0.3">
      <c r="A56" s="6">
        <v>4</v>
      </c>
      <c r="B56" s="6">
        <v>8</v>
      </c>
      <c r="C56" s="6">
        <v>1</v>
      </c>
      <c r="E56" s="6">
        <f>$L$4+$L$5*Student_Performance__28[[#This Row],[Hours Studied]]+$L$6*Student_Performance__28[[#This Row],[Sleep Hours]]</f>
        <v>0.34755266135327423</v>
      </c>
      <c r="F56" s="6">
        <f t="shared" si="0"/>
        <v>1.4155988560032864</v>
      </c>
      <c r="G56" s="6">
        <f t="shared" si="1"/>
        <v>0.58602398013445678</v>
      </c>
      <c r="H56" s="6">
        <f t="shared" si="2"/>
        <v>-0.53439456851124068</v>
      </c>
    </row>
    <row r="57" spans="1:8" x14ac:dyDescent="0.3">
      <c r="A57" s="6">
        <v>6</v>
      </c>
      <c r="B57" s="6">
        <v>4</v>
      </c>
      <c r="C57" s="6">
        <v>1</v>
      </c>
      <c r="E57" s="6">
        <f>$L$4+$L$5*Student_Performance__28[[#This Row],[Hours Studied]]+$L$6*Student_Performance__28[[#This Row],[Sleep Hours]]</f>
        <v>0.21304202366895286</v>
      </c>
      <c r="F57" s="6">
        <f t="shared" si="0"/>
        <v>1.2374366517791708</v>
      </c>
      <c r="G57" s="6">
        <f t="shared" si="1"/>
        <v>0.55305997190811307</v>
      </c>
      <c r="H57" s="6">
        <f t="shared" si="2"/>
        <v>-0.59228883504312502</v>
      </c>
    </row>
    <row r="58" spans="1:8" x14ac:dyDescent="0.3">
      <c r="A58" s="6">
        <v>2</v>
      </c>
      <c r="B58" s="6">
        <v>9</v>
      </c>
      <c r="C58" s="6">
        <v>0</v>
      </c>
      <c r="E58" s="6">
        <f>$L$4+$L$5*Student_Performance__28[[#This Row],[Hours Studied]]+$L$6*Student_Performance__28[[#This Row],[Sleep Hours]]</f>
        <v>4.3120350865904822E-2</v>
      </c>
      <c r="F58" s="6">
        <f t="shared" si="0"/>
        <v>1.044063541240883</v>
      </c>
      <c r="G58" s="6">
        <f t="shared" si="1"/>
        <v>0.51077841768415222</v>
      </c>
      <c r="H58" s="6">
        <f t="shared" si="2"/>
        <v>-0.71493975857103698</v>
      </c>
    </row>
    <row r="59" spans="1:8" x14ac:dyDescent="0.3">
      <c r="A59" s="6">
        <v>2</v>
      </c>
      <c r="B59" s="6">
        <v>5</v>
      </c>
      <c r="C59" s="6">
        <v>0</v>
      </c>
      <c r="E59" s="6">
        <f>$L$4+$L$5*Student_Performance__28[[#This Row],[Hours Studied]]+$L$6*Student_Performance__28[[#This Row],[Sleep Hours]]</f>
        <v>-0.54213691336301617</v>
      </c>
      <c r="F59" s="6">
        <f t="shared" si="0"/>
        <v>0.58150429942941784</v>
      </c>
      <c r="G59" s="6">
        <f t="shared" si="1"/>
        <v>0.36769062192193563</v>
      </c>
      <c r="H59" s="6">
        <f t="shared" si="2"/>
        <v>-0.45837648233680289</v>
      </c>
    </row>
    <row r="60" spans="1:8" x14ac:dyDescent="0.3">
      <c r="A60" s="6">
        <v>4</v>
      </c>
      <c r="B60" s="6">
        <v>6</v>
      </c>
      <c r="C60" s="6">
        <v>1</v>
      </c>
      <c r="E60" s="6">
        <f>$L$4+$L$5*Student_Performance__28[[#This Row],[Hours Studied]]+$L$6*Student_Performance__28[[#This Row],[Sleep Hours]]</f>
        <v>5.4924029238813787E-2</v>
      </c>
      <c r="F60" s="6">
        <f t="shared" si="0"/>
        <v>1.056460351529638</v>
      </c>
      <c r="G60" s="6">
        <f t="shared" si="1"/>
        <v>0.51372755654823155</v>
      </c>
      <c r="H60" s="6">
        <f t="shared" si="2"/>
        <v>-0.66606219967682168</v>
      </c>
    </row>
    <row r="61" spans="1:8" x14ac:dyDescent="0.3">
      <c r="A61" s="6">
        <v>8</v>
      </c>
      <c r="B61" s="6">
        <v>6</v>
      </c>
      <c r="C61" s="6">
        <v>0</v>
      </c>
      <c r="E61" s="6">
        <f>$L$4+$L$5*Student_Performance__28[[#This Row],[Hours Studied]]+$L$6*Student_Performance__28[[#This Row],[Sleep Hours]]</f>
        <v>0.95641728232801326</v>
      </c>
      <c r="F61" s="6">
        <f t="shared" si="0"/>
        <v>2.6023562440072392</v>
      </c>
      <c r="G61" s="6">
        <f t="shared" si="1"/>
        <v>0.72240391225505063</v>
      </c>
      <c r="H61" s="6">
        <f t="shared" si="2"/>
        <v>-1.2815881435865872</v>
      </c>
    </row>
    <row r="62" spans="1:8" x14ac:dyDescent="0.3">
      <c r="A62" s="6">
        <v>7</v>
      </c>
      <c r="B62" s="6">
        <v>8</v>
      </c>
      <c r="C62" s="6">
        <v>1</v>
      </c>
      <c r="E62" s="6">
        <f>$L$4+$L$5*Student_Performance__28[[#This Row],[Hours Studied]]+$L$6*Student_Performance__28[[#This Row],[Sleep Hours]]</f>
        <v>1.0236726011701738</v>
      </c>
      <c r="F62" s="6">
        <f t="shared" si="0"/>
        <v>2.7833983276406995</v>
      </c>
      <c r="G62" s="6">
        <f t="shared" si="1"/>
        <v>0.73568736003972568</v>
      </c>
      <c r="H62" s="6">
        <f t="shared" si="2"/>
        <v>-0.30695003305364821</v>
      </c>
    </row>
    <row r="63" spans="1:8" x14ac:dyDescent="0.3">
      <c r="A63" s="6">
        <v>9</v>
      </c>
      <c r="B63" s="6">
        <v>8</v>
      </c>
      <c r="C63" s="6">
        <v>1</v>
      </c>
      <c r="E63" s="6">
        <f>$L$4+$L$5*Student_Performance__28[[#This Row],[Hours Studied]]+$L$6*Student_Performance__28[[#This Row],[Sleep Hours]]</f>
        <v>1.4744192277147736</v>
      </c>
      <c r="F63" s="6">
        <f t="shared" si="0"/>
        <v>4.368497933519838</v>
      </c>
      <c r="G63" s="6">
        <f t="shared" si="1"/>
        <v>0.81372815778577501</v>
      </c>
      <c r="H63" s="6">
        <f t="shared" si="2"/>
        <v>-0.20612892725028695</v>
      </c>
    </row>
    <row r="64" spans="1:8" x14ac:dyDescent="0.3">
      <c r="A64" s="6">
        <v>8</v>
      </c>
      <c r="B64" s="6">
        <v>4</v>
      </c>
      <c r="C64" s="6">
        <v>1</v>
      </c>
      <c r="E64" s="6">
        <f>$L$4+$L$5*Student_Performance__28[[#This Row],[Hours Studied]]+$L$6*Student_Performance__28[[#This Row],[Sleep Hours]]</f>
        <v>0.66378865021355271</v>
      </c>
      <c r="F64" s="6">
        <f t="shared" si="0"/>
        <v>1.9421364892250614</v>
      </c>
      <c r="G64" s="6">
        <f t="shared" si="1"/>
        <v>0.66011094194226416</v>
      </c>
      <c r="H64" s="6">
        <f t="shared" si="2"/>
        <v>-0.41534736423593893</v>
      </c>
    </row>
    <row r="65" spans="1:8" x14ac:dyDescent="0.3">
      <c r="A65" s="6">
        <v>5</v>
      </c>
      <c r="B65" s="6">
        <v>6</v>
      </c>
      <c r="C65" s="6">
        <v>0</v>
      </c>
      <c r="E65" s="6">
        <f>$L$4+$L$5*Student_Performance__28[[#This Row],[Hours Studied]]+$L$6*Student_Performance__28[[#This Row],[Sleep Hours]]</f>
        <v>0.28029734251111371</v>
      </c>
      <c r="F65" s="6">
        <f t="shared" si="0"/>
        <v>1.3235232935748173</v>
      </c>
      <c r="G65" s="6">
        <f t="shared" si="1"/>
        <v>0.56961911990928782</v>
      </c>
      <c r="H65" s="6">
        <f t="shared" si="2"/>
        <v>-0.8430846947023779</v>
      </c>
    </row>
    <row r="66" spans="1:8" x14ac:dyDescent="0.3">
      <c r="A66" s="6">
        <v>2</v>
      </c>
      <c r="B66" s="6">
        <v>6</v>
      </c>
      <c r="C66" s="6">
        <v>0</v>
      </c>
      <c r="E66" s="6">
        <f>$L$4+$L$5*Student_Performance__28[[#This Row],[Hours Studied]]+$L$6*Student_Performance__28[[#This Row],[Sleep Hours]]</f>
        <v>-0.39582259730578584</v>
      </c>
      <c r="F66" s="6">
        <f t="shared" si="0"/>
        <v>0.67312609972943394</v>
      </c>
      <c r="G66" s="6">
        <f t="shared" si="1"/>
        <v>0.40231641825340425</v>
      </c>
      <c r="H66" s="6">
        <f t="shared" si="2"/>
        <v>-0.51469379258292292</v>
      </c>
    </row>
    <row r="67" spans="1:8" x14ac:dyDescent="0.3">
      <c r="A67" s="6">
        <v>5</v>
      </c>
      <c r="B67" s="6">
        <v>5</v>
      </c>
      <c r="C67" s="6">
        <v>1</v>
      </c>
      <c r="E67" s="6">
        <f>$L$4+$L$5*Student_Performance__28[[#This Row],[Hours Studied]]+$L$6*Student_Performance__28[[#This Row],[Sleep Hours]]</f>
        <v>0.13398302645388338</v>
      </c>
      <c r="F67" s="6">
        <f t="shared" ref="F67:F130" si="8">EXP(E67)</f>
        <v>1.1433734123785988</v>
      </c>
      <c r="G67" s="6">
        <f t="shared" ref="G67:G130" si="9">F67/(1+F67)</f>
        <v>0.53344573828120101</v>
      </c>
      <c r="H67" s="6">
        <f t="shared" ref="H67:H130" si="10">C67*LN(G67)+(1-C67)*LN(1-G67)</f>
        <v>-0.62839792235173864</v>
      </c>
    </row>
    <row r="68" spans="1:8" x14ac:dyDescent="0.3">
      <c r="A68" s="6">
        <v>8</v>
      </c>
      <c r="B68" s="6">
        <v>4</v>
      </c>
      <c r="C68" s="6">
        <v>1</v>
      </c>
      <c r="E68" s="6">
        <f>$L$4+$L$5*Student_Performance__28[[#This Row],[Hours Studied]]+$L$6*Student_Performance__28[[#This Row],[Sleep Hours]]</f>
        <v>0.66378865021355271</v>
      </c>
      <c r="F68" s="6">
        <f t="shared" si="8"/>
        <v>1.9421364892250614</v>
      </c>
      <c r="G68" s="6">
        <f t="shared" si="9"/>
        <v>0.66011094194226416</v>
      </c>
      <c r="H68" s="6">
        <f t="shared" si="10"/>
        <v>-0.41534736423593893</v>
      </c>
    </row>
    <row r="69" spans="1:8" x14ac:dyDescent="0.3">
      <c r="A69" s="6">
        <v>9</v>
      </c>
      <c r="B69" s="6">
        <v>4</v>
      </c>
      <c r="C69" s="6">
        <v>0</v>
      </c>
      <c r="E69" s="6">
        <f>$L$4+$L$5*Student_Performance__28[[#This Row],[Hours Studied]]+$L$6*Student_Performance__28[[#This Row],[Sleep Hours]]</f>
        <v>0.88916196348585264</v>
      </c>
      <c r="F69" s="6">
        <f t="shared" si="8"/>
        <v>2.4330897785886991</v>
      </c>
      <c r="G69" s="6">
        <f t="shared" si="9"/>
        <v>0.70871720097833046</v>
      </c>
      <c r="H69" s="6">
        <f t="shared" si="10"/>
        <v>-1.2334606657761058</v>
      </c>
    </row>
    <row r="70" spans="1:8" x14ac:dyDescent="0.3">
      <c r="A70" s="6">
        <v>9</v>
      </c>
      <c r="B70" s="6">
        <v>9</v>
      </c>
      <c r="C70" s="6">
        <v>1</v>
      </c>
      <c r="E70" s="6">
        <f>$L$4+$L$5*Student_Performance__28[[#This Row],[Hours Studied]]+$L$6*Student_Performance__28[[#This Row],[Sleep Hours]]</f>
        <v>1.6207335437720038</v>
      </c>
      <c r="F70" s="6">
        <f t="shared" si="8"/>
        <v>5.0567983393271883</v>
      </c>
      <c r="G70" s="6">
        <f t="shared" si="9"/>
        <v>0.83489626961707897</v>
      </c>
      <c r="H70" s="6">
        <f t="shared" si="10"/>
        <v>-0.18044778985171736</v>
      </c>
    </row>
    <row r="71" spans="1:8" x14ac:dyDescent="0.3">
      <c r="A71" s="6">
        <v>1</v>
      </c>
      <c r="B71" s="6">
        <v>8</v>
      </c>
      <c r="C71" s="6">
        <v>1</v>
      </c>
      <c r="E71" s="6">
        <f>$L$4+$L$5*Student_Performance__28[[#This Row],[Hours Studied]]+$L$6*Student_Performance__28[[#This Row],[Sleep Hours]]</f>
        <v>-0.32856727846362532</v>
      </c>
      <c r="F71" s="6">
        <f t="shared" si="8"/>
        <v>0.7199544891644748</v>
      </c>
      <c r="G71" s="6">
        <f t="shared" si="9"/>
        <v>0.41858926715800293</v>
      </c>
      <c r="H71" s="6">
        <f t="shared" si="10"/>
        <v>-0.8708651091508246</v>
      </c>
    </row>
    <row r="72" spans="1:8" x14ac:dyDescent="0.3">
      <c r="A72" s="6">
        <v>9</v>
      </c>
      <c r="B72" s="6">
        <v>9</v>
      </c>
      <c r="C72" s="6">
        <v>1</v>
      </c>
      <c r="E72" s="6">
        <f>$L$4+$L$5*Student_Performance__28[[#This Row],[Hours Studied]]+$L$6*Student_Performance__28[[#This Row],[Sleep Hours]]</f>
        <v>1.6207335437720038</v>
      </c>
      <c r="F72" s="6">
        <f t="shared" si="8"/>
        <v>5.0567983393271883</v>
      </c>
      <c r="G72" s="6">
        <f t="shared" si="9"/>
        <v>0.83489626961707897</v>
      </c>
      <c r="H72" s="6">
        <f t="shared" si="10"/>
        <v>-0.18044778985171736</v>
      </c>
    </row>
    <row r="73" spans="1:8" x14ac:dyDescent="0.3">
      <c r="A73" s="6">
        <v>7</v>
      </c>
      <c r="B73" s="6">
        <v>4</v>
      </c>
      <c r="C73" s="6">
        <v>1</v>
      </c>
      <c r="E73" s="6">
        <f>$L$4+$L$5*Student_Performance__28[[#This Row],[Hours Studied]]+$L$6*Student_Performance__28[[#This Row],[Sleep Hours]]</f>
        <v>0.43841533694125279</v>
      </c>
      <c r="F73" s="6">
        <f t="shared" si="8"/>
        <v>1.5502486492575356</v>
      </c>
      <c r="G73" s="6">
        <f t="shared" si="9"/>
        <v>0.60788137255120822</v>
      </c>
      <c r="H73" s="6">
        <f t="shared" si="10"/>
        <v>-0.49777552698809763</v>
      </c>
    </row>
    <row r="74" spans="1:8" x14ac:dyDescent="0.3">
      <c r="A74" s="6">
        <v>9</v>
      </c>
      <c r="B74" s="6">
        <v>5</v>
      </c>
      <c r="C74" s="6">
        <v>1</v>
      </c>
      <c r="E74" s="6">
        <f>$L$4+$L$5*Student_Performance__28[[#This Row],[Hours Studied]]+$L$6*Student_Performance__28[[#This Row],[Sleep Hours]]</f>
        <v>1.035476279543083</v>
      </c>
      <c r="F74" s="6">
        <f t="shared" si="8"/>
        <v>2.8164473324788442</v>
      </c>
      <c r="G74" s="6">
        <f t="shared" si="9"/>
        <v>0.73797620853043877</v>
      </c>
      <c r="H74" s="6">
        <f t="shared" si="10"/>
        <v>-0.30384369266494554</v>
      </c>
    </row>
    <row r="75" spans="1:8" x14ac:dyDescent="0.3">
      <c r="A75" s="6">
        <v>8</v>
      </c>
      <c r="B75" s="6">
        <v>4</v>
      </c>
      <c r="C75" s="6">
        <v>1</v>
      </c>
      <c r="E75" s="6">
        <f>$L$4+$L$5*Student_Performance__28[[#This Row],[Hours Studied]]+$L$6*Student_Performance__28[[#This Row],[Sleep Hours]]</f>
        <v>0.66378865021355271</v>
      </c>
      <c r="F75" s="6">
        <f t="shared" si="8"/>
        <v>1.9421364892250614</v>
      </c>
      <c r="G75" s="6">
        <f t="shared" si="9"/>
        <v>0.66011094194226416</v>
      </c>
      <c r="H75" s="6">
        <f t="shared" si="10"/>
        <v>-0.41534736423593893</v>
      </c>
    </row>
    <row r="76" spans="1:8" x14ac:dyDescent="0.3">
      <c r="A76" s="6">
        <v>1</v>
      </c>
      <c r="B76" s="6">
        <v>9</v>
      </c>
      <c r="C76" s="6">
        <v>1</v>
      </c>
      <c r="E76" s="6">
        <f>$L$4+$L$5*Student_Performance__28[[#This Row],[Hours Studied]]+$L$6*Student_Performance__28[[#This Row],[Sleep Hours]]</f>
        <v>-0.1822529624063951</v>
      </c>
      <c r="F76" s="6">
        <f t="shared" si="8"/>
        <v>0.83339049728350689</v>
      </c>
      <c r="G76" s="6">
        <f t="shared" si="9"/>
        <v>0.45456246147142287</v>
      </c>
      <c r="H76" s="6">
        <f t="shared" si="10"/>
        <v>-0.78841994582707242</v>
      </c>
    </row>
    <row r="77" spans="1:8" x14ac:dyDescent="0.3">
      <c r="A77" s="6">
        <v>8</v>
      </c>
      <c r="B77" s="6">
        <v>7</v>
      </c>
      <c r="C77" s="6">
        <v>0</v>
      </c>
      <c r="E77" s="6">
        <f>$L$4+$L$5*Student_Performance__28[[#This Row],[Hours Studied]]+$L$6*Student_Performance__28[[#This Row],[Sleep Hours]]</f>
        <v>1.1027315983852435</v>
      </c>
      <c r="F77" s="6">
        <f t="shared" si="8"/>
        <v>3.0123834172059332</v>
      </c>
      <c r="G77" s="6">
        <f t="shared" si="9"/>
        <v>0.7507715748919227</v>
      </c>
      <c r="H77" s="6">
        <f t="shared" si="10"/>
        <v>-1.3893854331320841</v>
      </c>
    </row>
    <row r="78" spans="1:8" x14ac:dyDescent="0.3">
      <c r="A78" s="6">
        <v>8</v>
      </c>
      <c r="B78" s="6">
        <v>7</v>
      </c>
      <c r="C78" s="6">
        <v>1</v>
      </c>
      <c r="E78" s="6">
        <f>$L$4+$L$5*Student_Performance__28[[#This Row],[Hours Studied]]+$L$6*Student_Performance__28[[#This Row],[Sleep Hours]]</f>
        <v>1.1027315983852435</v>
      </c>
      <c r="F78" s="6">
        <f t="shared" si="8"/>
        <v>3.0123834172059332</v>
      </c>
      <c r="G78" s="6">
        <f t="shared" si="9"/>
        <v>0.7507715748919227</v>
      </c>
      <c r="H78" s="6">
        <f t="shared" si="10"/>
        <v>-0.28665383474684081</v>
      </c>
    </row>
    <row r="79" spans="1:8" x14ac:dyDescent="0.3">
      <c r="A79" s="6">
        <v>3</v>
      </c>
      <c r="B79" s="6">
        <v>5</v>
      </c>
      <c r="C79" s="6">
        <v>0</v>
      </c>
      <c r="E79" s="6">
        <f>$L$4+$L$5*Student_Performance__28[[#This Row],[Hours Studied]]+$L$6*Student_Performance__28[[#This Row],[Sleep Hours]]</f>
        <v>-0.31676360009071647</v>
      </c>
      <c r="F79" s="6">
        <f t="shared" si="8"/>
        <v>0.72850295280309751</v>
      </c>
      <c r="G79" s="6">
        <f t="shared" si="9"/>
        <v>0.42146468516104696</v>
      </c>
      <c r="H79" s="6">
        <f t="shared" si="10"/>
        <v>-0.54725568868187102</v>
      </c>
    </row>
    <row r="80" spans="1:8" x14ac:dyDescent="0.3">
      <c r="A80" s="6">
        <v>1</v>
      </c>
      <c r="B80" s="6">
        <v>8</v>
      </c>
      <c r="C80" s="6">
        <v>0</v>
      </c>
      <c r="E80" s="6">
        <f>$L$4+$L$5*Student_Performance__28[[#This Row],[Hours Studied]]+$L$6*Student_Performance__28[[#This Row],[Sleep Hours]]</f>
        <v>-0.32856727846362532</v>
      </c>
      <c r="F80" s="6">
        <f t="shared" si="8"/>
        <v>0.7199544891644748</v>
      </c>
      <c r="G80" s="6">
        <f t="shared" si="9"/>
        <v>0.41858926715800293</v>
      </c>
      <c r="H80" s="6">
        <f t="shared" si="10"/>
        <v>-0.54229783068719928</v>
      </c>
    </row>
    <row r="81" spans="1:8" x14ac:dyDescent="0.3">
      <c r="A81" s="6">
        <v>8</v>
      </c>
      <c r="B81" s="6">
        <v>6</v>
      </c>
      <c r="C81" s="6">
        <v>1</v>
      </c>
      <c r="E81" s="6">
        <f>$L$4+$L$5*Student_Performance__28[[#This Row],[Hours Studied]]+$L$6*Student_Performance__28[[#This Row],[Sleep Hours]]</f>
        <v>0.95641728232801326</v>
      </c>
      <c r="F81" s="6">
        <f t="shared" si="8"/>
        <v>2.6023562440072392</v>
      </c>
      <c r="G81" s="6">
        <f t="shared" si="9"/>
        <v>0.72240391225505063</v>
      </c>
      <c r="H81" s="6">
        <f t="shared" si="10"/>
        <v>-0.32517086125857375</v>
      </c>
    </row>
    <row r="82" spans="1:8" x14ac:dyDescent="0.3">
      <c r="A82" s="6">
        <v>3</v>
      </c>
      <c r="B82" s="6">
        <v>4</v>
      </c>
      <c r="C82" s="6">
        <v>0</v>
      </c>
      <c r="E82" s="6">
        <f>$L$4+$L$5*Student_Performance__28[[#This Row],[Hours Studied]]+$L$6*Student_Performance__28[[#This Row],[Sleep Hours]]</f>
        <v>-0.46307791614794669</v>
      </c>
      <c r="F82" s="6">
        <f t="shared" si="8"/>
        <v>0.62934359456914024</v>
      </c>
      <c r="G82" s="6">
        <f t="shared" si="9"/>
        <v>0.38625591107169904</v>
      </c>
      <c r="H82" s="6">
        <f t="shared" si="10"/>
        <v>-0.48817723099383709</v>
      </c>
    </row>
    <row r="83" spans="1:8" x14ac:dyDescent="0.3">
      <c r="A83" s="6">
        <v>3</v>
      </c>
      <c r="B83" s="6">
        <v>9</v>
      </c>
      <c r="C83" s="6">
        <v>0</v>
      </c>
      <c r="E83" s="6">
        <f>$L$4+$L$5*Student_Performance__28[[#This Row],[Hours Studied]]+$L$6*Student_Performance__28[[#This Row],[Sleep Hours]]</f>
        <v>0.26849366413820452</v>
      </c>
      <c r="F83" s="6">
        <f t="shared" si="8"/>
        <v>1.3079926897434107</v>
      </c>
      <c r="G83" s="6">
        <f t="shared" si="9"/>
        <v>0.56672306439966491</v>
      </c>
      <c r="H83" s="6">
        <f t="shared" si="10"/>
        <v>-0.83637818128529584</v>
      </c>
    </row>
    <row r="84" spans="1:8" x14ac:dyDescent="0.3">
      <c r="A84" s="6">
        <v>1</v>
      </c>
      <c r="B84" s="6">
        <v>8</v>
      </c>
      <c r="C84" s="6">
        <v>0</v>
      </c>
      <c r="E84" s="6">
        <f>$L$4+$L$5*Student_Performance__28[[#This Row],[Hours Studied]]+$L$6*Student_Performance__28[[#This Row],[Sleep Hours]]</f>
        <v>-0.32856727846362532</v>
      </c>
      <c r="F84" s="6">
        <f t="shared" si="8"/>
        <v>0.7199544891644748</v>
      </c>
      <c r="G84" s="6">
        <f t="shared" si="9"/>
        <v>0.41858926715800293</v>
      </c>
      <c r="H84" s="6">
        <f t="shared" si="10"/>
        <v>-0.54229783068719928</v>
      </c>
    </row>
    <row r="85" spans="1:8" x14ac:dyDescent="0.3">
      <c r="A85" s="6">
        <v>5</v>
      </c>
      <c r="B85" s="6">
        <v>9</v>
      </c>
      <c r="C85" s="6">
        <v>1</v>
      </c>
      <c r="E85" s="6">
        <f>$L$4+$L$5*Student_Performance__28[[#This Row],[Hours Studied]]+$L$6*Student_Performance__28[[#This Row],[Sleep Hours]]</f>
        <v>0.71924029068280437</v>
      </c>
      <c r="F85" s="6">
        <f t="shared" si="8"/>
        <v>2.0528730313086334</v>
      </c>
      <c r="G85" s="6">
        <f t="shared" si="9"/>
        <v>0.67243970196449876</v>
      </c>
      <c r="H85" s="6">
        <f t="shared" si="10"/>
        <v>-0.39684283403238724</v>
      </c>
    </row>
    <row r="86" spans="1:8" x14ac:dyDescent="0.3">
      <c r="A86" s="6">
        <v>7</v>
      </c>
      <c r="B86" s="6">
        <v>8</v>
      </c>
      <c r="C86" s="6">
        <v>1</v>
      </c>
      <c r="E86" s="6">
        <f>$L$4+$L$5*Student_Performance__28[[#This Row],[Hours Studied]]+$L$6*Student_Performance__28[[#This Row],[Sleep Hours]]</f>
        <v>1.0236726011701738</v>
      </c>
      <c r="F86" s="6">
        <f t="shared" si="8"/>
        <v>2.7833983276406995</v>
      </c>
      <c r="G86" s="6">
        <f t="shared" si="9"/>
        <v>0.73568736003972568</v>
      </c>
      <c r="H86" s="6">
        <f t="shared" si="10"/>
        <v>-0.30695003305364821</v>
      </c>
    </row>
    <row r="87" spans="1:8" x14ac:dyDescent="0.3">
      <c r="A87" s="6">
        <v>9</v>
      </c>
      <c r="B87" s="6">
        <v>4</v>
      </c>
      <c r="C87" s="6">
        <v>1</v>
      </c>
      <c r="E87" s="6">
        <f>$L$4+$L$5*Student_Performance__28[[#This Row],[Hours Studied]]+$L$6*Student_Performance__28[[#This Row],[Sleep Hours]]</f>
        <v>0.88916196348585264</v>
      </c>
      <c r="F87" s="6">
        <f t="shared" si="8"/>
        <v>2.4330897785886991</v>
      </c>
      <c r="G87" s="6">
        <f t="shared" si="9"/>
        <v>0.70871720097833046</v>
      </c>
      <c r="H87" s="6">
        <f t="shared" si="10"/>
        <v>-0.34429870229025311</v>
      </c>
    </row>
    <row r="88" spans="1:8" x14ac:dyDescent="0.3">
      <c r="A88" s="6">
        <v>7</v>
      </c>
      <c r="B88" s="6">
        <v>6</v>
      </c>
      <c r="C88" s="6">
        <v>1</v>
      </c>
      <c r="E88" s="6">
        <f>$L$4+$L$5*Student_Performance__28[[#This Row],[Hours Studied]]+$L$6*Student_Performance__28[[#This Row],[Sleep Hours]]</f>
        <v>0.73104396905571334</v>
      </c>
      <c r="F88" s="6">
        <f t="shared" si="8"/>
        <v>2.077248058795742</v>
      </c>
      <c r="G88" s="6">
        <f t="shared" si="9"/>
        <v>0.67503432258517937</v>
      </c>
      <c r="H88" s="6">
        <f t="shared" si="10"/>
        <v>-0.39299174112799712</v>
      </c>
    </row>
    <row r="89" spans="1:8" x14ac:dyDescent="0.3">
      <c r="A89" s="6">
        <v>9</v>
      </c>
      <c r="B89" s="6">
        <v>4</v>
      </c>
      <c r="C89" s="6">
        <v>1</v>
      </c>
      <c r="E89" s="6">
        <f>$L$4+$L$5*Student_Performance__28[[#This Row],[Hours Studied]]+$L$6*Student_Performance__28[[#This Row],[Sleep Hours]]</f>
        <v>0.88916196348585264</v>
      </c>
      <c r="F89" s="6">
        <f t="shared" si="8"/>
        <v>2.4330897785886991</v>
      </c>
      <c r="G89" s="6">
        <f t="shared" si="9"/>
        <v>0.70871720097833046</v>
      </c>
      <c r="H89" s="6">
        <f t="shared" si="10"/>
        <v>-0.34429870229025311</v>
      </c>
    </row>
    <row r="90" spans="1:8" x14ac:dyDescent="0.3">
      <c r="A90" s="6">
        <v>8</v>
      </c>
      <c r="B90" s="6">
        <v>6</v>
      </c>
      <c r="C90" s="6">
        <v>1</v>
      </c>
      <c r="E90" s="6">
        <f>$L$4+$L$5*Student_Performance__28[[#This Row],[Hours Studied]]+$L$6*Student_Performance__28[[#This Row],[Sleep Hours]]</f>
        <v>0.95641728232801326</v>
      </c>
      <c r="F90" s="6">
        <f t="shared" si="8"/>
        <v>2.6023562440072392</v>
      </c>
      <c r="G90" s="6">
        <f t="shared" si="9"/>
        <v>0.72240391225505063</v>
      </c>
      <c r="H90" s="6">
        <f t="shared" si="10"/>
        <v>-0.32517086125857375</v>
      </c>
    </row>
    <row r="91" spans="1:8" x14ac:dyDescent="0.3">
      <c r="A91" s="6">
        <v>2</v>
      </c>
      <c r="B91" s="6">
        <v>9</v>
      </c>
      <c r="C91" s="6">
        <v>0</v>
      </c>
      <c r="E91" s="6">
        <f>$L$4+$L$5*Student_Performance__28[[#This Row],[Hours Studied]]+$L$6*Student_Performance__28[[#This Row],[Sleep Hours]]</f>
        <v>4.3120350865904822E-2</v>
      </c>
      <c r="F91" s="6">
        <f t="shared" si="8"/>
        <v>1.044063541240883</v>
      </c>
      <c r="G91" s="6">
        <f t="shared" si="9"/>
        <v>0.51077841768415222</v>
      </c>
      <c r="H91" s="6">
        <f t="shared" si="10"/>
        <v>-0.71493975857103698</v>
      </c>
    </row>
    <row r="92" spans="1:8" x14ac:dyDescent="0.3">
      <c r="A92" s="6">
        <v>1</v>
      </c>
      <c r="B92" s="6">
        <v>5</v>
      </c>
      <c r="C92" s="6">
        <v>0</v>
      </c>
      <c r="E92" s="6">
        <f>$L$4+$L$5*Student_Performance__28[[#This Row],[Hours Studied]]+$L$6*Student_Performance__28[[#This Row],[Sleep Hours]]</f>
        <v>-0.7675102266353161</v>
      </c>
      <c r="F92" s="6">
        <f t="shared" si="8"/>
        <v>0.46416730221036412</v>
      </c>
      <c r="G92" s="6">
        <f t="shared" si="9"/>
        <v>0.3170179401695688</v>
      </c>
      <c r="H92" s="6">
        <f t="shared" si="10"/>
        <v>-0.3812866864760433</v>
      </c>
    </row>
    <row r="93" spans="1:8" x14ac:dyDescent="0.3">
      <c r="A93" s="6">
        <v>7</v>
      </c>
      <c r="B93" s="6">
        <v>6</v>
      </c>
      <c r="C93" s="6">
        <v>0</v>
      </c>
      <c r="E93" s="6">
        <f>$L$4+$L$5*Student_Performance__28[[#This Row],[Hours Studied]]+$L$6*Student_Performance__28[[#This Row],[Sleep Hours]]</f>
        <v>0.73104396905571334</v>
      </c>
      <c r="F93" s="6">
        <f t="shared" si="8"/>
        <v>2.077248058795742</v>
      </c>
      <c r="G93" s="6">
        <f t="shared" si="9"/>
        <v>0.67503432258517937</v>
      </c>
      <c r="H93" s="6">
        <f t="shared" si="10"/>
        <v>-1.1240357101837102</v>
      </c>
    </row>
    <row r="94" spans="1:8" x14ac:dyDescent="0.3">
      <c r="A94" s="6">
        <v>7</v>
      </c>
      <c r="B94" s="6">
        <v>8</v>
      </c>
      <c r="C94" s="6">
        <v>1</v>
      </c>
      <c r="E94" s="6">
        <f>$L$4+$L$5*Student_Performance__28[[#This Row],[Hours Studied]]+$L$6*Student_Performance__28[[#This Row],[Sleep Hours]]</f>
        <v>1.0236726011701738</v>
      </c>
      <c r="F94" s="6">
        <f t="shared" si="8"/>
        <v>2.7833983276406995</v>
      </c>
      <c r="G94" s="6">
        <f t="shared" si="9"/>
        <v>0.73568736003972568</v>
      </c>
      <c r="H94" s="6">
        <f t="shared" si="10"/>
        <v>-0.30695003305364821</v>
      </c>
    </row>
    <row r="95" spans="1:8" x14ac:dyDescent="0.3">
      <c r="A95" s="6">
        <v>8</v>
      </c>
      <c r="B95" s="6">
        <v>5</v>
      </c>
      <c r="C95" s="6">
        <v>1</v>
      </c>
      <c r="E95" s="6">
        <f>$L$4+$L$5*Student_Performance__28[[#This Row],[Hours Studied]]+$L$6*Student_Performance__28[[#This Row],[Sleep Hours]]</f>
        <v>0.81010296627078293</v>
      </c>
      <c r="F95" s="6">
        <f t="shared" si="8"/>
        <v>2.2481394572955513</v>
      </c>
      <c r="G95" s="6">
        <f t="shared" si="9"/>
        <v>0.6921314453559162</v>
      </c>
      <c r="H95" s="6">
        <f t="shared" si="10"/>
        <v>-0.36797939146637737</v>
      </c>
    </row>
    <row r="96" spans="1:8" x14ac:dyDescent="0.3">
      <c r="A96" s="6">
        <v>5</v>
      </c>
      <c r="B96" s="6">
        <v>9</v>
      </c>
      <c r="C96" s="6">
        <v>1</v>
      </c>
      <c r="E96" s="6">
        <f>$L$4+$L$5*Student_Performance__28[[#This Row],[Hours Studied]]+$L$6*Student_Performance__28[[#This Row],[Sleep Hours]]</f>
        <v>0.71924029068280437</v>
      </c>
      <c r="F96" s="6">
        <f t="shared" si="8"/>
        <v>2.0528730313086334</v>
      </c>
      <c r="G96" s="6">
        <f t="shared" si="9"/>
        <v>0.67243970196449876</v>
      </c>
      <c r="H96" s="6">
        <f t="shared" si="10"/>
        <v>-0.39684283403238724</v>
      </c>
    </row>
    <row r="97" spans="1:8" x14ac:dyDescent="0.3">
      <c r="A97" s="6">
        <v>3</v>
      </c>
      <c r="B97" s="6">
        <v>7</v>
      </c>
      <c r="C97" s="6">
        <v>0</v>
      </c>
      <c r="E97" s="6">
        <f>$L$4+$L$5*Student_Performance__28[[#This Row],[Hours Studied]]+$L$6*Student_Performance__28[[#This Row],[Sleep Hours]]</f>
        <v>-2.4134967976255917E-2</v>
      </c>
      <c r="F97" s="6">
        <f t="shared" si="8"/>
        <v>0.97615395134319904</v>
      </c>
      <c r="G97" s="6">
        <f t="shared" si="9"/>
        <v>0.49396655087509944</v>
      </c>
      <c r="H97" s="6">
        <f t="shared" si="10"/>
        <v>-0.68115250688958806</v>
      </c>
    </row>
    <row r="98" spans="1:8" x14ac:dyDescent="0.3">
      <c r="A98" s="6">
        <v>8</v>
      </c>
      <c r="B98" s="6">
        <v>5</v>
      </c>
      <c r="C98" s="6">
        <v>1</v>
      </c>
      <c r="E98" s="6">
        <f>$L$4+$L$5*Student_Performance__28[[#This Row],[Hours Studied]]+$L$6*Student_Performance__28[[#This Row],[Sleep Hours]]</f>
        <v>0.81010296627078293</v>
      </c>
      <c r="F98" s="6">
        <f t="shared" si="8"/>
        <v>2.2481394572955513</v>
      </c>
      <c r="G98" s="6">
        <f t="shared" si="9"/>
        <v>0.6921314453559162</v>
      </c>
      <c r="H98" s="6">
        <f t="shared" si="10"/>
        <v>-0.36797939146637737</v>
      </c>
    </row>
    <row r="99" spans="1:8" x14ac:dyDescent="0.3">
      <c r="A99" s="6">
        <v>6</v>
      </c>
      <c r="B99" s="6">
        <v>6</v>
      </c>
      <c r="C99" s="6">
        <v>1</v>
      </c>
      <c r="E99" s="6">
        <f>$L$4+$L$5*Student_Performance__28[[#This Row],[Hours Studied]]+$L$6*Student_Performance__28[[#This Row],[Sleep Hours]]</f>
        <v>0.50567065578341341</v>
      </c>
      <c r="F99" s="6">
        <f t="shared" si="8"/>
        <v>1.6580971601052923</v>
      </c>
      <c r="G99" s="6">
        <f t="shared" si="9"/>
        <v>0.62379102802984521</v>
      </c>
      <c r="H99" s="6">
        <f t="shared" si="10"/>
        <v>-0.4719398576790278</v>
      </c>
    </row>
    <row r="100" spans="1:8" x14ac:dyDescent="0.3">
      <c r="A100" s="6">
        <v>3</v>
      </c>
      <c r="B100" s="6">
        <v>5</v>
      </c>
      <c r="C100" s="6">
        <v>0</v>
      </c>
      <c r="E100" s="6">
        <f>$L$4+$L$5*Student_Performance__28[[#This Row],[Hours Studied]]+$L$6*Student_Performance__28[[#This Row],[Sleep Hours]]</f>
        <v>-0.31676360009071647</v>
      </c>
      <c r="F100" s="6">
        <f t="shared" si="8"/>
        <v>0.72850295280309751</v>
      </c>
      <c r="G100" s="6">
        <f t="shared" si="9"/>
        <v>0.42146468516104696</v>
      </c>
      <c r="H100" s="6">
        <f t="shared" si="10"/>
        <v>-0.54725568868187102</v>
      </c>
    </row>
    <row r="101" spans="1:8" x14ac:dyDescent="0.3">
      <c r="A101" s="6">
        <v>1</v>
      </c>
      <c r="B101" s="6">
        <v>9</v>
      </c>
      <c r="C101" s="6">
        <v>0</v>
      </c>
      <c r="E101" s="6">
        <f>$L$4+$L$5*Student_Performance__28[[#This Row],[Hours Studied]]+$L$6*Student_Performance__28[[#This Row],[Sleep Hours]]</f>
        <v>-0.1822529624063951</v>
      </c>
      <c r="F101" s="6">
        <f t="shared" si="8"/>
        <v>0.83339049728350689</v>
      </c>
      <c r="G101" s="6">
        <f t="shared" si="9"/>
        <v>0.45456246147142287</v>
      </c>
      <c r="H101" s="6">
        <f t="shared" si="10"/>
        <v>-0.60616698342067732</v>
      </c>
    </row>
    <row r="102" spans="1:8" x14ac:dyDescent="0.3">
      <c r="A102" s="6">
        <v>3</v>
      </c>
      <c r="B102" s="6">
        <v>5</v>
      </c>
      <c r="C102" s="6">
        <v>0</v>
      </c>
      <c r="E102" s="6">
        <f>$L$4+$L$5*Student_Performance__28[[#This Row],[Hours Studied]]+$L$6*Student_Performance__28[[#This Row],[Sleep Hours]]</f>
        <v>-0.31676360009071647</v>
      </c>
      <c r="F102" s="6">
        <f t="shared" si="8"/>
        <v>0.72850295280309751</v>
      </c>
      <c r="G102" s="6">
        <f t="shared" si="9"/>
        <v>0.42146468516104696</v>
      </c>
      <c r="H102" s="6">
        <f t="shared" si="10"/>
        <v>-0.54725568868187102</v>
      </c>
    </row>
    <row r="103" spans="1:8" x14ac:dyDescent="0.3">
      <c r="A103" s="6">
        <v>5</v>
      </c>
      <c r="B103" s="6">
        <v>9</v>
      </c>
      <c r="C103" s="6">
        <v>1</v>
      </c>
      <c r="E103" s="6">
        <f>$L$4+$L$5*Student_Performance__28[[#This Row],[Hours Studied]]+$L$6*Student_Performance__28[[#This Row],[Sleep Hours]]</f>
        <v>0.71924029068280437</v>
      </c>
      <c r="F103" s="6">
        <f t="shared" si="8"/>
        <v>2.0528730313086334</v>
      </c>
      <c r="G103" s="6">
        <f t="shared" si="9"/>
        <v>0.67243970196449876</v>
      </c>
      <c r="H103" s="6">
        <f t="shared" si="10"/>
        <v>-0.39684283403238724</v>
      </c>
    </row>
    <row r="104" spans="1:8" x14ac:dyDescent="0.3">
      <c r="A104" s="6">
        <v>3</v>
      </c>
      <c r="B104" s="6">
        <v>7</v>
      </c>
      <c r="C104" s="6">
        <v>0</v>
      </c>
      <c r="E104" s="6">
        <f>$L$4+$L$5*Student_Performance__28[[#This Row],[Hours Studied]]+$L$6*Student_Performance__28[[#This Row],[Sleep Hours]]</f>
        <v>-2.4134967976255917E-2</v>
      </c>
      <c r="F104" s="6">
        <f t="shared" si="8"/>
        <v>0.97615395134319904</v>
      </c>
      <c r="G104" s="6">
        <f t="shared" si="9"/>
        <v>0.49396655087509944</v>
      </c>
      <c r="H104" s="6">
        <f t="shared" si="10"/>
        <v>-0.68115250688958806</v>
      </c>
    </row>
    <row r="105" spans="1:8" x14ac:dyDescent="0.3">
      <c r="A105" s="6">
        <v>1</v>
      </c>
      <c r="B105" s="6">
        <v>6</v>
      </c>
      <c r="C105" s="6">
        <v>1</v>
      </c>
      <c r="E105" s="6">
        <f>$L$4+$L$5*Student_Performance__28[[#This Row],[Hours Studied]]+$L$6*Student_Performance__28[[#This Row],[Sleep Hours]]</f>
        <v>-0.62119591057808576</v>
      </c>
      <c r="F105" s="6">
        <f t="shared" si="8"/>
        <v>0.53730148868266403</v>
      </c>
      <c r="G105" s="6">
        <f t="shared" si="9"/>
        <v>0.34950950912243345</v>
      </c>
      <c r="H105" s="6">
        <f t="shared" si="10"/>
        <v>-1.0512245098888882</v>
      </c>
    </row>
    <row r="106" spans="1:8" x14ac:dyDescent="0.3">
      <c r="A106" s="6">
        <v>5</v>
      </c>
      <c r="B106" s="6">
        <v>8</v>
      </c>
      <c r="C106" s="6">
        <v>1</v>
      </c>
      <c r="E106" s="6">
        <f>$L$4+$L$5*Student_Performance__28[[#This Row],[Hours Studied]]+$L$6*Student_Performance__28[[#This Row],[Sleep Hours]]</f>
        <v>0.57292597462557415</v>
      </c>
      <c r="F106" s="6">
        <f t="shared" si="8"/>
        <v>1.7734485327021301</v>
      </c>
      <c r="G106" s="6">
        <f t="shared" si="9"/>
        <v>0.6394380540295389</v>
      </c>
      <c r="H106" s="6">
        <f t="shared" si="10"/>
        <v>-0.44716552891068606</v>
      </c>
    </row>
    <row r="107" spans="1:8" x14ac:dyDescent="0.3">
      <c r="A107" s="6">
        <v>7</v>
      </c>
      <c r="B107" s="6">
        <v>5</v>
      </c>
      <c r="C107" s="6">
        <v>0</v>
      </c>
      <c r="E107" s="6">
        <f>$L$4+$L$5*Student_Performance__28[[#This Row],[Hours Studied]]+$L$6*Student_Performance__28[[#This Row],[Sleep Hours]]</f>
        <v>0.58472965299848301</v>
      </c>
      <c r="F107" s="6">
        <f t="shared" si="8"/>
        <v>1.7945057807989744</v>
      </c>
      <c r="G107" s="6">
        <f t="shared" si="9"/>
        <v>0.64215497177676584</v>
      </c>
      <c r="H107" s="6">
        <f t="shared" si="10"/>
        <v>-1.0276552683599276</v>
      </c>
    </row>
    <row r="108" spans="1:8" x14ac:dyDescent="0.3">
      <c r="A108" s="6">
        <v>7</v>
      </c>
      <c r="B108" s="6">
        <v>4</v>
      </c>
      <c r="C108" s="6">
        <v>1</v>
      </c>
      <c r="E108" s="6">
        <f>$L$4+$L$5*Student_Performance__28[[#This Row],[Hours Studied]]+$L$6*Student_Performance__28[[#This Row],[Sleep Hours]]</f>
        <v>0.43841533694125279</v>
      </c>
      <c r="F108" s="6">
        <f t="shared" si="8"/>
        <v>1.5502486492575356</v>
      </c>
      <c r="G108" s="6">
        <f t="shared" si="9"/>
        <v>0.60788137255120822</v>
      </c>
      <c r="H108" s="6">
        <f t="shared" si="10"/>
        <v>-0.49777552698809763</v>
      </c>
    </row>
    <row r="109" spans="1:8" x14ac:dyDescent="0.3">
      <c r="A109" s="6">
        <v>9</v>
      </c>
      <c r="B109" s="6">
        <v>8</v>
      </c>
      <c r="C109" s="6">
        <v>1</v>
      </c>
      <c r="E109" s="6">
        <f>$L$4+$L$5*Student_Performance__28[[#This Row],[Hours Studied]]+$L$6*Student_Performance__28[[#This Row],[Sleep Hours]]</f>
        <v>1.4744192277147736</v>
      </c>
      <c r="F109" s="6">
        <f t="shared" si="8"/>
        <v>4.368497933519838</v>
      </c>
      <c r="G109" s="6">
        <f t="shared" si="9"/>
        <v>0.81372815778577501</v>
      </c>
      <c r="H109" s="6">
        <f t="shared" si="10"/>
        <v>-0.20612892725028695</v>
      </c>
    </row>
    <row r="110" spans="1:8" x14ac:dyDescent="0.3">
      <c r="A110" s="6">
        <v>3</v>
      </c>
      <c r="B110" s="6">
        <v>5</v>
      </c>
      <c r="C110" s="6">
        <v>0</v>
      </c>
      <c r="E110" s="6">
        <f>$L$4+$L$5*Student_Performance__28[[#This Row],[Hours Studied]]+$L$6*Student_Performance__28[[#This Row],[Sleep Hours]]</f>
        <v>-0.31676360009071647</v>
      </c>
      <c r="F110" s="6">
        <f t="shared" si="8"/>
        <v>0.72850295280309751</v>
      </c>
      <c r="G110" s="6">
        <f t="shared" si="9"/>
        <v>0.42146468516104696</v>
      </c>
      <c r="H110" s="6">
        <f t="shared" si="10"/>
        <v>-0.54725568868187102</v>
      </c>
    </row>
    <row r="111" spans="1:8" x14ac:dyDescent="0.3">
      <c r="A111" s="6">
        <v>7</v>
      </c>
      <c r="B111" s="6">
        <v>8</v>
      </c>
      <c r="C111" s="6">
        <v>1</v>
      </c>
      <c r="E111" s="6">
        <f>$L$4+$L$5*Student_Performance__28[[#This Row],[Hours Studied]]+$L$6*Student_Performance__28[[#This Row],[Sleep Hours]]</f>
        <v>1.0236726011701738</v>
      </c>
      <c r="F111" s="6">
        <f t="shared" si="8"/>
        <v>2.7833983276406995</v>
      </c>
      <c r="G111" s="6">
        <f t="shared" si="9"/>
        <v>0.73568736003972568</v>
      </c>
      <c r="H111" s="6">
        <f t="shared" si="10"/>
        <v>-0.30695003305364821</v>
      </c>
    </row>
    <row r="112" spans="1:8" x14ac:dyDescent="0.3">
      <c r="A112" s="6">
        <v>1</v>
      </c>
      <c r="B112" s="6">
        <v>4</v>
      </c>
      <c r="C112" s="6">
        <v>1</v>
      </c>
      <c r="E112" s="6">
        <f>$L$4+$L$5*Student_Performance__28[[#This Row],[Hours Studied]]+$L$6*Student_Performance__28[[#This Row],[Sleep Hours]]</f>
        <v>-0.91382454269254632</v>
      </c>
      <c r="F112" s="6">
        <f t="shared" si="8"/>
        <v>0.40098769309104837</v>
      </c>
      <c r="G112" s="6">
        <f t="shared" si="9"/>
        <v>0.28621785549474399</v>
      </c>
      <c r="H112" s="6">
        <f t="shared" si="10"/>
        <v>-1.2510020256341354</v>
      </c>
    </row>
    <row r="113" spans="1:8" x14ac:dyDescent="0.3">
      <c r="A113" s="6">
        <v>4</v>
      </c>
      <c r="B113" s="6">
        <v>8</v>
      </c>
      <c r="C113" s="6">
        <v>0</v>
      </c>
      <c r="E113" s="6">
        <f>$L$4+$L$5*Student_Performance__28[[#This Row],[Hours Studied]]+$L$6*Student_Performance__28[[#This Row],[Sleep Hours]]</f>
        <v>0.34755266135327423</v>
      </c>
      <c r="F113" s="6">
        <f t="shared" si="8"/>
        <v>1.4155988560032864</v>
      </c>
      <c r="G113" s="6">
        <f t="shared" si="9"/>
        <v>0.58602398013445678</v>
      </c>
      <c r="H113" s="6">
        <f t="shared" si="10"/>
        <v>-0.88194722986451501</v>
      </c>
    </row>
    <row r="114" spans="1:8" x14ac:dyDescent="0.3">
      <c r="A114" s="6">
        <v>4</v>
      </c>
      <c r="B114" s="6">
        <v>8</v>
      </c>
      <c r="C114" s="6">
        <v>1</v>
      </c>
      <c r="E114" s="6">
        <f>$L$4+$L$5*Student_Performance__28[[#This Row],[Hours Studied]]+$L$6*Student_Performance__28[[#This Row],[Sleep Hours]]</f>
        <v>0.34755266135327423</v>
      </c>
      <c r="F114" s="6">
        <f t="shared" si="8"/>
        <v>1.4155988560032864</v>
      </c>
      <c r="G114" s="6">
        <f t="shared" si="9"/>
        <v>0.58602398013445678</v>
      </c>
      <c r="H114" s="6">
        <f t="shared" si="10"/>
        <v>-0.53439456851124068</v>
      </c>
    </row>
    <row r="115" spans="1:8" x14ac:dyDescent="0.3">
      <c r="A115" s="6">
        <v>5</v>
      </c>
      <c r="B115" s="6">
        <v>4</v>
      </c>
      <c r="C115" s="6">
        <v>0</v>
      </c>
      <c r="E115" s="6">
        <f>$L$4+$L$5*Student_Performance__28[[#This Row],[Hours Studied]]+$L$6*Student_Performance__28[[#This Row],[Sleep Hours]]</f>
        <v>-1.233128960334684E-2</v>
      </c>
      <c r="F115" s="6">
        <f t="shared" si="8"/>
        <v>0.98774442919193028</v>
      </c>
      <c r="G115" s="6">
        <f t="shared" si="9"/>
        <v>0.49691721666324784</v>
      </c>
      <c r="H115" s="6">
        <f t="shared" si="10"/>
        <v>-0.68700054322575388</v>
      </c>
    </row>
    <row r="116" spans="1:8" x14ac:dyDescent="0.3">
      <c r="A116" s="6">
        <v>7</v>
      </c>
      <c r="B116" s="6">
        <v>4</v>
      </c>
      <c r="C116" s="6">
        <v>1</v>
      </c>
      <c r="E116" s="6">
        <f>$L$4+$L$5*Student_Performance__28[[#This Row],[Hours Studied]]+$L$6*Student_Performance__28[[#This Row],[Sleep Hours]]</f>
        <v>0.43841533694125279</v>
      </c>
      <c r="F116" s="6">
        <f t="shared" si="8"/>
        <v>1.5502486492575356</v>
      </c>
      <c r="G116" s="6">
        <f t="shared" si="9"/>
        <v>0.60788137255120822</v>
      </c>
      <c r="H116" s="6">
        <f t="shared" si="10"/>
        <v>-0.49777552698809763</v>
      </c>
    </row>
    <row r="117" spans="1:8" x14ac:dyDescent="0.3">
      <c r="A117" s="6">
        <v>7</v>
      </c>
      <c r="B117" s="6">
        <v>4</v>
      </c>
      <c r="C117" s="6">
        <v>1</v>
      </c>
      <c r="E117" s="6">
        <f>$L$4+$L$5*Student_Performance__28[[#This Row],[Hours Studied]]+$L$6*Student_Performance__28[[#This Row],[Sleep Hours]]</f>
        <v>0.43841533694125279</v>
      </c>
      <c r="F117" s="6">
        <f t="shared" si="8"/>
        <v>1.5502486492575356</v>
      </c>
      <c r="G117" s="6">
        <f t="shared" si="9"/>
        <v>0.60788137255120822</v>
      </c>
      <c r="H117" s="6">
        <f t="shared" si="10"/>
        <v>-0.49777552698809763</v>
      </c>
    </row>
    <row r="118" spans="1:8" x14ac:dyDescent="0.3">
      <c r="A118" s="6">
        <v>4</v>
      </c>
      <c r="B118" s="6">
        <v>7</v>
      </c>
      <c r="C118" s="6">
        <v>0</v>
      </c>
      <c r="E118" s="6">
        <f>$L$4+$L$5*Student_Performance__28[[#This Row],[Hours Studied]]+$L$6*Student_Performance__28[[#This Row],[Sleep Hours]]</f>
        <v>0.20123834529604401</v>
      </c>
      <c r="F118" s="6">
        <f t="shared" si="8"/>
        <v>1.2229162134170048</v>
      </c>
      <c r="G118" s="6">
        <f t="shared" si="9"/>
        <v>0.55014048934267845</v>
      </c>
      <c r="H118" s="6">
        <f t="shared" si="10"/>
        <v>-0.79881994350116647</v>
      </c>
    </row>
    <row r="119" spans="1:8" x14ac:dyDescent="0.3">
      <c r="A119" s="6">
        <v>7</v>
      </c>
      <c r="B119" s="6">
        <v>9</v>
      </c>
      <c r="C119" s="6">
        <v>1</v>
      </c>
      <c r="E119" s="6">
        <f>$L$4+$L$5*Student_Performance__28[[#This Row],[Hours Studied]]+$L$6*Student_Performance__28[[#This Row],[Sleep Hours]]</f>
        <v>1.169986917227404</v>
      </c>
      <c r="F119" s="6">
        <f t="shared" si="8"/>
        <v>3.2219504862072395</v>
      </c>
      <c r="G119" s="6">
        <f t="shared" si="9"/>
        <v>0.76314265094606948</v>
      </c>
      <c r="H119" s="6">
        <f t="shared" si="10"/>
        <v>-0.27031030456179889</v>
      </c>
    </row>
    <row r="120" spans="1:8" x14ac:dyDescent="0.3">
      <c r="A120" s="6">
        <v>3</v>
      </c>
      <c r="B120" s="6">
        <v>9</v>
      </c>
      <c r="C120" s="6">
        <v>0</v>
      </c>
      <c r="E120" s="6">
        <f>$L$4+$L$5*Student_Performance__28[[#This Row],[Hours Studied]]+$L$6*Student_Performance__28[[#This Row],[Sleep Hours]]</f>
        <v>0.26849366413820452</v>
      </c>
      <c r="F120" s="6">
        <f t="shared" si="8"/>
        <v>1.3079926897434107</v>
      </c>
      <c r="G120" s="6">
        <f t="shared" si="9"/>
        <v>0.56672306439966491</v>
      </c>
      <c r="H120" s="6">
        <f t="shared" si="10"/>
        <v>-0.83637818128529584</v>
      </c>
    </row>
    <row r="121" spans="1:8" x14ac:dyDescent="0.3">
      <c r="A121" s="6">
        <v>6</v>
      </c>
      <c r="B121" s="6">
        <v>4</v>
      </c>
      <c r="C121" s="6">
        <v>0</v>
      </c>
      <c r="E121" s="6">
        <f>$L$4+$L$5*Student_Performance__28[[#This Row],[Hours Studied]]+$L$6*Student_Performance__28[[#This Row],[Sleep Hours]]</f>
        <v>0.21304202366895286</v>
      </c>
      <c r="F121" s="6">
        <f t="shared" si="8"/>
        <v>1.2374366517791708</v>
      </c>
      <c r="G121" s="6">
        <f t="shared" si="9"/>
        <v>0.55305997190811307</v>
      </c>
      <c r="H121" s="6">
        <f t="shared" si="10"/>
        <v>-0.80533085871207766</v>
      </c>
    </row>
    <row r="122" spans="1:8" x14ac:dyDescent="0.3">
      <c r="A122" s="6">
        <v>2</v>
      </c>
      <c r="B122" s="6">
        <v>9</v>
      </c>
      <c r="C122" s="6">
        <v>0</v>
      </c>
      <c r="E122" s="6">
        <f>$L$4+$L$5*Student_Performance__28[[#This Row],[Hours Studied]]+$L$6*Student_Performance__28[[#This Row],[Sleep Hours]]</f>
        <v>4.3120350865904822E-2</v>
      </c>
      <c r="F122" s="6">
        <f t="shared" si="8"/>
        <v>1.044063541240883</v>
      </c>
      <c r="G122" s="6">
        <f t="shared" si="9"/>
        <v>0.51077841768415222</v>
      </c>
      <c r="H122" s="6">
        <f t="shared" si="10"/>
        <v>-0.71493975857103698</v>
      </c>
    </row>
    <row r="123" spans="1:8" x14ac:dyDescent="0.3">
      <c r="A123" s="6">
        <v>9</v>
      </c>
      <c r="B123" s="6">
        <v>8</v>
      </c>
      <c r="C123" s="6">
        <v>1</v>
      </c>
      <c r="E123" s="6">
        <f>$L$4+$L$5*Student_Performance__28[[#This Row],[Hours Studied]]+$L$6*Student_Performance__28[[#This Row],[Sleep Hours]]</f>
        <v>1.4744192277147736</v>
      </c>
      <c r="F123" s="6">
        <f t="shared" si="8"/>
        <v>4.368497933519838</v>
      </c>
      <c r="G123" s="6">
        <f t="shared" si="9"/>
        <v>0.81372815778577501</v>
      </c>
      <c r="H123" s="6">
        <f t="shared" si="10"/>
        <v>-0.20612892725028695</v>
      </c>
    </row>
    <row r="124" spans="1:8" x14ac:dyDescent="0.3">
      <c r="A124" s="6">
        <v>5</v>
      </c>
      <c r="B124" s="6">
        <v>4</v>
      </c>
      <c r="C124" s="6">
        <v>0</v>
      </c>
      <c r="E124" s="6">
        <f>$L$4+$L$5*Student_Performance__28[[#This Row],[Hours Studied]]+$L$6*Student_Performance__28[[#This Row],[Sleep Hours]]</f>
        <v>-1.233128960334684E-2</v>
      </c>
      <c r="F124" s="6">
        <f t="shared" si="8"/>
        <v>0.98774442919193028</v>
      </c>
      <c r="G124" s="6">
        <f t="shared" si="9"/>
        <v>0.49691721666324784</v>
      </c>
      <c r="H124" s="6">
        <f t="shared" si="10"/>
        <v>-0.68700054322575388</v>
      </c>
    </row>
    <row r="125" spans="1:8" x14ac:dyDescent="0.3">
      <c r="A125" s="6">
        <v>6</v>
      </c>
      <c r="B125" s="6">
        <v>5</v>
      </c>
      <c r="C125" s="6">
        <v>1</v>
      </c>
      <c r="E125" s="6">
        <f>$L$4+$L$5*Student_Performance__28[[#This Row],[Hours Studied]]+$L$6*Student_Performance__28[[#This Row],[Sleep Hours]]</f>
        <v>0.35935633972618308</v>
      </c>
      <c r="F125" s="6">
        <f t="shared" si="8"/>
        <v>1.4324071342063487</v>
      </c>
      <c r="G125" s="6">
        <f t="shared" si="9"/>
        <v>0.58888461313188745</v>
      </c>
      <c r="H125" s="6">
        <f t="shared" si="10"/>
        <v>-0.52952501752393877</v>
      </c>
    </row>
    <row r="126" spans="1:8" x14ac:dyDescent="0.3">
      <c r="A126" s="6">
        <v>4</v>
      </c>
      <c r="B126" s="6">
        <v>4</v>
      </c>
      <c r="C126" s="6">
        <v>0</v>
      </c>
      <c r="E126" s="6">
        <f>$L$4+$L$5*Student_Performance__28[[#This Row],[Hours Studied]]+$L$6*Student_Performance__28[[#This Row],[Sleep Hours]]</f>
        <v>-0.23770460287564676</v>
      </c>
      <c r="F126" s="6">
        <f t="shared" si="8"/>
        <v>0.78843555829458445</v>
      </c>
      <c r="G126" s="6">
        <f t="shared" si="9"/>
        <v>0.44085209256654484</v>
      </c>
      <c r="H126" s="6">
        <f t="shared" si="10"/>
        <v>-0.58134124792135389</v>
      </c>
    </row>
    <row r="127" spans="1:8" x14ac:dyDescent="0.3">
      <c r="A127" s="6">
        <v>7</v>
      </c>
      <c r="B127" s="6">
        <v>4</v>
      </c>
      <c r="C127" s="6">
        <v>1</v>
      </c>
      <c r="E127" s="6">
        <f>$L$4+$L$5*Student_Performance__28[[#This Row],[Hours Studied]]+$L$6*Student_Performance__28[[#This Row],[Sleep Hours]]</f>
        <v>0.43841533694125279</v>
      </c>
      <c r="F127" s="6">
        <f t="shared" si="8"/>
        <v>1.5502486492575356</v>
      </c>
      <c r="G127" s="6">
        <f t="shared" si="9"/>
        <v>0.60788137255120822</v>
      </c>
      <c r="H127" s="6">
        <f t="shared" si="10"/>
        <v>-0.49777552698809763</v>
      </c>
    </row>
    <row r="128" spans="1:8" x14ac:dyDescent="0.3">
      <c r="A128" s="6">
        <v>9</v>
      </c>
      <c r="B128" s="6">
        <v>9</v>
      </c>
      <c r="C128" s="6">
        <v>0</v>
      </c>
      <c r="E128" s="6">
        <f>$L$4+$L$5*Student_Performance__28[[#This Row],[Hours Studied]]+$L$6*Student_Performance__28[[#This Row],[Sleep Hours]]</f>
        <v>1.6207335437720038</v>
      </c>
      <c r="F128" s="6">
        <f t="shared" si="8"/>
        <v>5.0567983393271883</v>
      </c>
      <c r="G128" s="6">
        <f t="shared" si="9"/>
        <v>0.83489626961707897</v>
      </c>
      <c r="H128" s="6">
        <f t="shared" si="10"/>
        <v>-1.8011813336237212</v>
      </c>
    </row>
    <row r="129" spans="1:8" x14ac:dyDescent="0.3">
      <c r="A129" s="6">
        <v>7</v>
      </c>
      <c r="B129" s="6">
        <v>6</v>
      </c>
      <c r="C129" s="6">
        <v>1</v>
      </c>
      <c r="E129" s="6">
        <f>$L$4+$L$5*Student_Performance__28[[#This Row],[Hours Studied]]+$L$6*Student_Performance__28[[#This Row],[Sleep Hours]]</f>
        <v>0.73104396905571334</v>
      </c>
      <c r="F129" s="6">
        <f t="shared" si="8"/>
        <v>2.077248058795742</v>
      </c>
      <c r="G129" s="6">
        <f t="shared" si="9"/>
        <v>0.67503432258517937</v>
      </c>
      <c r="H129" s="6">
        <f t="shared" si="10"/>
        <v>-0.39299174112799712</v>
      </c>
    </row>
    <row r="130" spans="1:8" x14ac:dyDescent="0.3">
      <c r="A130" s="6">
        <v>1</v>
      </c>
      <c r="B130" s="6">
        <v>8</v>
      </c>
      <c r="C130" s="6">
        <v>1</v>
      </c>
      <c r="E130" s="6">
        <f>$L$4+$L$5*Student_Performance__28[[#This Row],[Hours Studied]]+$L$6*Student_Performance__28[[#This Row],[Sleep Hours]]</f>
        <v>-0.32856727846362532</v>
      </c>
      <c r="F130" s="6">
        <f t="shared" si="8"/>
        <v>0.7199544891644748</v>
      </c>
      <c r="G130" s="6">
        <f t="shared" si="9"/>
        <v>0.41858926715800293</v>
      </c>
      <c r="H130" s="6">
        <f t="shared" si="10"/>
        <v>-0.8708651091508246</v>
      </c>
    </row>
    <row r="131" spans="1:8" x14ac:dyDescent="0.3">
      <c r="A131" s="6">
        <v>1</v>
      </c>
      <c r="B131" s="6">
        <v>9</v>
      </c>
      <c r="C131" s="6">
        <v>0</v>
      </c>
      <c r="E131" s="6">
        <f>$L$4+$L$5*Student_Performance__28[[#This Row],[Hours Studied]]+$L$6*Student_Performance__28[[#This Row],[Sleep Hours]]</f>
        <v>-0.1822529624063951</v>
      </c>
      <c r="F131" s="6">
        <f t="shared" ref="F131:F194" si="11">EXP(E131)</f>
        <v>0.83339049728350689</v>
      </c>
      <c r="G131" s="6">
        <f t="shared" ref="G131:G194" si="12">F131/(1+F131)</f>
        <v>0.45456246147142287</v>
      </c>
      <c r="H131" s="6">
        <f t="shared" ref="H131:H194" si="13">C131*LN(G131)+(1-C131)*LN(1-G131)</f>
        <v>-0.60616698342067732</v>
      </c>
    </row>
    <row r="132" spans="1:8" x14ac:dyDescent="0.3">
      <c r="A132" s="6">
        <v>9</v>
      </c>
      <c r="B132" s="6">
        <v>8</v>
      </c>
      <c r="C132" s="6">
        <v>1</v>
      </c>
      <c r="E132" s="6">
        <f>$L$4+$L$5*Student_Performance__28[[#This Row],[Hours Studied]]+$L$6*Student_Performance__28[[#This Row],[Sleep Hours]]</f>
        <v>1.4744192277147736</v>
      </c>
      <c r="F132" s="6">
        <f t="shared" si="11"/>
        <v>4.368497933519838</v>
      </c>
      <c r="G132" s="6">
        <f t="shared" si="12"/>
        <v>0.81372815778577501</v>
      </c>
      <c r="H132" s="6">
        <f t="shared" si="13"/>
        <v>-0.20612892725028695</v>
      </c>
    </row>
    <row r="133" spans="1:8" x14ac:dyDescent="0.3">
      <c r="A133" s="6">
        <v>9</v>
      </c>
      <c r="B133" s="6">
        <v>5</v>
      </c>
      <c r="C133" s="6">
        <v>1</v>
      </c>
      <c r="E133" s="6">
        <f>$L$4+$L$5*Student_Performance__28[[#This Row],[Hours Studied]]+$L$6*Student_Performance__28[[#This Row],[Sleep Hours]]</f>
        <v>1.035476279543083</v>
      </c>
      <c r="F133" s="6">
        <f t="shared" si="11"/>
        <v>2.8164473324788442</v>
      </c>
      <c r="G133" s="6">
        <f t="shared" si="12"/>
        <v>0.73797620853043877</v>
      </c>
      <c r="H133" s="6">
        <f t="shared" si="13"/>
        <v>-0.30384369266494554</v>
      </c>
    </row>
    <row r="134" spans="1:8" x14ac:dyDescent="0.3">
      <c r="A134" s="6">
        <v>4</v>
      </c>
      <c r="B134" s="6">
        <v>7</v>
      </c>
      <c r="C134" s="6">
        <v>0</v>
      </c>
      <c r="E134" s="6">
        <f>$L$4+$L$5*Student_Performance__28[[#This Row],[Hours Studied]]+$L$6*Student_Performance__28[[#This Row],[Sleep Hours]]</f>
        <v>0.20123834529604401</v>
      </c>
      <c r="F134" s="6">
        <f t="shared" si="11"/>
        <v>1.2229162134170048</v>
      </c>
      <c r="G134" s="6">
        <f t="shared" si="12"/>
        <v>0.55014048934267845</v>
      </c>
      <c r="H134" s="6">
        <f t="shared" si="13"/>
        <v>-0.79881994350116647</v>
      </c>
    </row>
    <row r="135" spans="1:8" x14ac:dyDescent="0.3">
      <c r="A135" s="6">
        <v>9</v>
      </c>
      <c r="B135" s="6">
        <v>6</v>
      </c>
      <c r="C135" s="6">
        <v>0</v>
      </c>
      <c r="E135" s="6">
        <f>$L$4+$L$5*Student_Performance__28[[#This Row],[Hours Studied]]+$L$6*Student_Performance__28[[#This Row],[Sleep Hours]]</f>
        <v>1.1817905956003132</v>
      </c>
      <c r="F135" s="6">
        <f t="shared" si="11"/>
        <v>3.2602066912747989</v>
      </c>
      <c r="G135" s="6">
        <f t="shared" si="12"/>
        <v>0.76526960486493056</v>
      </c>
      <c r="H135" s="6">
        <f t="shared" si="13"/>
        <v>-1.4493176781828576</v>
      </c>
    </row>
    <row r="136" spans="1:8" x14ac:dyDescent="0.3">
      <c r="A136" s="6">
        <v>3</v>
      </c>
      <c r="B136" s="6">
        <v>5</v>
      </c>
      <c r="C136" s="6">
        <v>1</v>
      </c>
      <c r="E136" s="6">
        <f>$L$4+$L$5*Student_Performance__28[[#This Row],[Hours Studied]]+$L$6*Student_Performance__28[[#This Row],[Sleep Hours]]</f>
        <v>-0.31676360009071647</v>
      </c>
      <c r="F136" s="6">
        <f t="shared" si="11"/>
        <v>0.72850295280309751</v>
      </c>
      <c r="G136" s="6">
        <f t="shared" si="12"/>
        <v>0.42146468516104696</v>
      </c>
      <c r="H136" s="6">
        <f t="shared" si="13"/>
        <v>-0.86401928877258749</v>
      </c>
    </row>
    <row r="137" spans="1:8" x14ac:dyDescent="0.3">
      <c r="A137" s="6">
        <v>7</v>
      </c>
      <c r="B137" s="6">
        <v>5</v>
      </c>
      <c r="C137" s="6">
        <v>1</v>
      </c>
      <c r="E137" s="6">
        <f>$L$4+$L$5*Student_Performance__28[[#This Row],[Hours Studied]]+$L$6*Student_Performance__28[[#This Row],[Sleep Hours]]</f>
        <v>0.58472965299848301</v>
      </c>
      <c r="F137" s="6">
        <f t="shared" si="11"/>
        <v>1.7945057807989744</v>
      </c>
      <c r="G137" s="6">
        <f t="shared" si="12"/>
        <v>0.64215497177676584</v>
      </c>
      <c r="H137" s="6">
        <f t="shared" si="13"/>
        <v>-0.44292561536144459</v>
      </c>
    </row>
    <row r="138" spans="1:8" x14ac:dyDescent="0.3">
      <c r="A138" s="6">
        <v>6</v>
      </c>
      <c r="B138" s="6">
        <v>8</v>
      </c>
      <c r="C138" s="6">
        <v>0</v>
      </c>
      <c r="E138" s="6">
        <f>$L$4+$L$5*Student_Performance__28[[#This Row],[Hours Studied]]+$L$6*Student_Performance__28[[#This Row],[Sleep Hours]]</f>
        <v>0.79829928789787385</v>
      </c>
      <c r="F138" s="6">
        <f t="shared" si="11"/>
        <v>2.221759140879128</v>
      </c>
      <c r="G138" s="6">
        <f t="shared" si="12"/>
        <v>0.68961056482728622</v>
      </c>
      <c r="H138" s="6">
        <f t="shared" si="13"/>
        <v>-1.1699275274226979</v>
      </c>
    </row>
    <row r="139" spans="1:8" x14ac:dyDescent="0.3">
      <c r="A139" s="6">
        <v>8</v>
      </c>
      <c r="B139" s="6">
        <v>6</v>
      </c>
      <c r="C139" s="6">
        <v>1</v>
      </c>
      <c r="E139" s="6">
        <f>$L$4+$L$5*Student_Performance__28[[#This Row],[Hours Studied]]+$L$6*Student_Performance__28[[#This Row],[Sleep Hours]]</f>
        <v>0.95641728232801326</v>
      </c>
      <c r="F139" s="6">
        <f t="shared" si="11"/>
        <v>2.6023562440072392</v>
      </c>
      <c r="G139" s="6">
        <f t="shared" si="12"/>
        <v>0.72240391225505063</v>
      </c>
      <c r="H139" s="6">
        <f t="shared" si="13"/>
        <v>-0.32517086125857375</v>
      </c>
    </row>
    <row r="140" spans="1:8" x14ac:dyDescent="0.3">
      <c r="A140" s="6">
        <v>9</v>
      </c>
      <c r="B140" s="6">
        <v>8</v>
      </c>
      <c r="C140" s="6">
        <v>0</v>
      </c>
      <c r="E140" s="6">
        <f>$L$4+$L$5*Student_Performance__28[[#This Row],[Hours Studied]]+$L$6*Student_Performance__28[[#This Row],[Sleep Hours]]</f>
        <v>1.4744192277147736</v>
      </c>
      <c r="F140" s="6">
        <f t="shared" si="11"/>
        <v>4.368497933519838</v>
      </c>
      <c r="G140" s="6">
        <f t="shared" si="12"/>
        <v>0.81372815778577501</v>
      </c>
      <c r="H140" s="6">
        <f t="shared" si="13"/>
        <v>-1.6805481549650603</v>
      </c>
    </row>
    <row r="141" spans="1:8" x14ac:dyDescent="0.3">
      <c r="A141" s="6">
        <v>5</v>
      </c>
      <c r="B141" s="6">
        <v>7</v>
      </c>
      <c r="C141" s="6">
        <v>0</v>
      </c>
      <c r="E141" s="6">
        <f>$L$4+$L$5*Student_Performance__28[[#This Row],[Hours Studied]]+$L$6*Student_Performance__28[[#This Row],[Sleep Hours]]</f>
        <v>0.42661165856834393</v>
      </c>
      <c r="F141" s="6">
        <f t="shared" si="11"/>
        <v>1.5320575847491342</v>
      </c>
      <c r="G141" s="6">
        <f t="shared" si="12"/>
        <v>0.60506427420011621</v>
      </c>
      <c r="H141" s="6">
        <f t="shared" si="13"/>
        <v>-0.92903224681523344</v>
      </c>
    </row>
    <row r="142" spans="1:8" x14ac:dyDescent="0.3">
      <c r="A142" s="6">
        <v>1</v>
      </c>
      <c r="B142" s="6">
        <v>8</v>
      </c>
      <c r="C142" s="6">
        <v>1</v>
      </c>
      <c r="E142" s="6">
        <f>$L$4+$L$5*Student_Performance__28[[#This Row],[Hours Studied]]+$L$6*Student_Performance__28[[#This Row],[Sleep Hours]]</f>
        <v>-0.32856727846362532</v>
      </c>
      <c r="F142" s="6">
        <f t="shared" si="11"/>
        <v>0.7199544891644748</v>
      </c>
      <c r="G142" s="6">
        <f t="shared" si="12"/>
        <v>0.41858926715800293</v>
      </c>
      <c r="H142" s="6">
        <f t="shared" si="13"/>
        <v>-0.8708651091508246</v>
      </c>
    </row>
    <row r="143" spans="1:8" x14ac:dyDescent="0.3">
      <c r="A143" s="6">
        <v>3</v>
      </c>
      <c r="B143" s="6">
        <v>4</v>
      </c>
      <c r="C143" s="6">
        <v>1</v>
      </c>
      <c r="E143" s="6">
        <f>$L$4+$L$5*Student_Performance__28[[#This Row],[Hours Studied]]+$L$6*Student_Performance__28[[#This Row],[Sleep Hours]]</f>
        <v>-0.46307791614794669</v>
      </c>
      <c r="F143" s="6">
        <f t="shared" si="11"/>
        <v>0.62934359456914024</v>
      </c>
      <c r="G143" s="6">
        <f t="shared" si="12"/>
        <v>0.38625591107169904</v>
      </c>
      <c r="H143" s="6">
        <f t="shared" si="13"/>
        <v>-0.95125514714178383</v>
      </c>
    </row>
    <row r="144" spans="1:8" x14ac:dyDescent="0.3">
      <c r="A144" s="6">
        <v>8</v>
      </c>
      <c r="B144" s="6">
        <v>8</v>
      </c>
      <c r="C144" s="6">
        <v>1</v>
      </c>
      <c r="E144" s="6">
        <f>$L$4+$L$5*Student_Performance__28[[#This Row],[Hours Studied]]+$L$6*Student_Performance__28[[#This Row],[Sleep Hours]]</f>
        <v>1.2490459144424737</v>
      </c>
      <c r="F144" s="6">
        <f t="shared" si="11"/>
        <v>3.4870144597436026</v>
      </c>
      <c r="G144" s="6">
        <f t="shared" si="12"/>
        <v>0.7771346607032904</v>
      </c>
      <c r="H144" s="6">
        <f t="shared" si="13"/>
        <v>-0.25214163513222926</v>
      </c>
    </row>
    <row r="145" spans="1:8" x14ac:dyDescent="0.3">
      <c r="A145" s="6">
        <v>6</v>
      </c>
      <c r="B145" s="6">
        <v>4</v>
      </c>
      <c r="C145" s="6">
        <v>0</v>
      </c>
      <c r="E145" s="6">
        <f>$L$4+$L$5*Student_Performance__28[[#This Row],[Hours Studied]]+$L$6*Student_Performance__28[[#This Row],[Sleep Hours]]</f>
        <v>0.21304202366895286</v>
      </c>
      <c r="F145" s="6">
        <f t="shared" si="11"/>
        <v>1.2374366517791708</v>
      </c>
      <c r="G145" s="6">
        <f t="shared" si="12"/>
        <v>0.55305997190811307</v>
      </c>
      <c r="H145" s="6">
        <f t="shared" si="13"/>
        <v>-0.80533085871207766</v>
      </c>
    </row>
    <row r="146" spans="1:8" x14ac:dyDescent="0.3">
      <c r="A146" s="6">
        <v>8</v>
      </c>
      <c r="B146" s="6">
        <v>5</v>
      </c>
      <c r="C146" s="6">
        <v>0</v>
      </c>
      <c r="E146" s="6">
        <f>$L$4+$L$5*Student_Performance__28[[#This Row],[Hours Studied]]+$L$6*Student_Performance__28[[#This Row],[Sleep Hours]]</f>
        <v>0.81010296627078293</v>
      </c>
      <c r="F146" s="6">
        <f t="shared" si="11"/>
        <v>2.2481394572955513</v>
      </c>
      <c r="G146" s="6">
        <f t="shared" si="12"/>
        <v>0.6921314453559162</v>
      </c>
      <c r="H146" s="6">
        <f t="shared" si="13"/>
        <v>-1.17808235773716</v>
      </c>
    </row>
    <row r="147" spans="1:8" x14ac:dyDescent="0.3">
      <c r="A147" s="6">
        <v>9</v>
      </c>
      <c r="B147" s="6">
        <v>7</v>
      </c>
      <c r="C147" s="6">
        <v>1</v>
      </c>
      <c r="E147" s="6">
        <f>$L$4+$L$5*Student_Performance__28[[#This Row],[Hours Studied]]+$L$6*Student_Performance__28[[#This Row],[Sleep Hours]]</f>
        <v>1.3281049116575434</v>
      </c>
      <c r="F147" s="6">
        <f t="shared" si="11"/>
        <v>3.7738847615794402</v>
      </c>
      <c r="G147" s="6">
        <f t="shared" si="12"/>
        <v>0.79052699217876599</v>
      </c>
      <c r="H147" s="6">
        <f t="shared" si="13"/>
        <v>-0.23505547721187284</v>
      </c>
    </row>
    <row r="148" spans="1:8" x14ac:dyDescent="0.3">
      <c r="A148" s="6">
        <v>4</v>
      </c>
      <c r="B148" s="6">
        <v>9</v>
      </c>
      <c r="C148" s="6">
        <v>0</v>
      </c>
      <c r="E148" s="6">
        <f>$L$4+$L$5*Student_Performance__28[[#This Row],[Hours Studied]]+$L$6*Student_Performance__28[[#This Row],[Sleep Hours]]</f>
        <v>0.49386697741050445</v>
      </c>
      <c r="F148" s="6">
        <f t="shared" si="11"/>
        <v>1.6386405700833506</v>
      </c>
      <c r="G148" s="6">
        <f t="shared" si="12"/>
        <v>0.62101696936752104</v>
      </c>
      <c r="H148" s="6">
        <f t="shared" si="13"/>
        <v>-0.97026384895888251</v>
      </c>
    </row>
    <row r="149" spans="1:8" x14ac:dyDescent="0.3">
      <c r="A149" s="6">
        <v>1</v>
      </c>
      <c r="B149" s="6">
        <v>4</v>
      </c>
      <c r="C149" s="6">
        <v>0</v>
      </c>
      <c r="E149" s="6">
        <f>$L$4+$L$5*Student_Performance__28[[#This Row],[Hours Studied]]+$L$6*Student_Performance__28[[#This Row],[Sleep Hours]]</f>
        <v>-0.91382454269254632</v>
      </c>
      <c r="F149" s="6">
        <f t="shared" si="11"/>
        <v>0.40098769309104837</v>
      </c>
      <c r="G149" s="6">
        <f t="shared" si="12"/>
        <v>0.28621785549474399</v>
      </c>
      <c r="H149" s="6">
        <f t="shared" si="13"/>
        <v>-0.33717748294158933</v>
      </c>
    </row>
    <row r="150" spans="1:8" x14ac:dyDescent="0.3">
      <c r="A150" s="6">
        <v>1</v>
      </c>
      <c r="B150" s="6">
        <v>7</v>
      </c>
      <c r="C150" s="6">
        <v>0</v>
      </c>
      <c r="E150" s="6">
        <f>$L$4+$L$5*Student_Performance__28[[#This Row],[Hours Studied]]+$L$6*Student_Performance__28[[#This Row],[Sleep Hours]]</f>
        <v>-0.47488159452085554</v>
      </c>
      <c r="F150" s="6">
        <f t="shared" si="11"/>
        <v>0.62195869542264559</v>
      </c>
      <c r="G150" s="6">
        <f t="shared" si="12"/>
        <v>0.38346148837074878</v>
      </c>
      <c r="H150" s="6">
        <f t="shared" si="13"/>
        <v>-0.48363449015482529</v>
      </c>
    </row>
    <row r="151" spans="1:8" x14ac:dyDescent="0.3">
      <c r="A151" s="6">
        <v>4</v>
      </c>
      <c r="B151" s="6">
        <v>8</v>
      </c>
      <c r="C151" s="6">
        <v>1</v>
      </c>
      <c r="E151" s="6">
        <f>$L$4+$L$5*Student_Performance__28[[#This Row],[Hours Studied]]+$L$6*Student_Performance__28[[#This Row],[Sleep Hours]]</f>
        <v>0.34755266135327423</v>
      </c>
      <c r="F151" s="6">
        <f t="shared" si="11"/>
        <v>1.4155988560032864</v>
      </c>
      <c r="G151" s="6">
        <f t="shared" si="12"/>
        <v>0.58602398013445678</v>
      </c>
      <c r="H151" s="6">
        <f t="shared" si="13"/>
        <v>-0.53439456851124068</v>
      </c>
    </row>
    <row r="152" spans="1:8" x14ac:dyDescent="0.3">
      <c r="A152" s="6">
        <v>7</v>
      </c>
      <c r="B152" s="6">
        <v>9</v>
      </c>
      <c r="C152" s="6">
        <v>1</v>
      </c>
      <c r="E152" s="6">
        <f>$L$4+$L$5*Student_Performance__28[[#This Row],[Hours Studied]]+$L$6*Student_Performance__28[[#This Row],[Sleep Hours]]</f>
        <v>1.169986917227404</v>
      </c>
      <c r="F152" s="6">
        <f t="shared" si="11"/>
        <v>3.2219504862072395</v>
      </c>
      <c r="G152" s="6">
        <f t="shared" si="12"/>
        <v>0.76314265094606948</v>
      </c>
      <c r="H152" s="6">
        <f t="shared" si="13"/>
        <v>-0.27031030456179889</v>
      </c>
    </row>
    <row r="153" spans="1:8" x14ac:dyDescent="0.3">
      <c r="A153" s="6">
        <v>2</v>
      </c>
      <c r="B153" s="6">
        <v>8</v>
      </c>
      <c r="C153" s="6">
        <v>0</v>
      </c>
      <c r="E153" s="6">
        <f>$L$4+$L$5*Student_Performance__28[[#This Row],[Hours Studied]]+$L$6*Student_Performance__28[[#This Row],[Sleep Hours]]</f>
        <v>-0.1031939651913254</v>
      </c>
      <c r="F153" s="6">
        <f t="shared" si="11"/>
        <v>0.90195200921954211</v>
      </c>
      <c r="G153" s="6">
        <f t="shared" si="12"/>
        <v>0.47422437834782921</v>
      </c>
      <c r="H153" s="6">
        <f t="shared" si="13"/>
        <v>-0.64288073205910101</v>
      </c>
    </row>
    <row r="154" spans="1:8" x14ac:dyDescent="0.3">
      <c r="A154" s="6">
        <v>3</v>
      </c>
      <c r="B154" s="6">
        <v>5</v>
      </c>
      <c r="C154" s="6">
        <v>0</v>
      </c>
      <c r="E154" s="6">
        <f>$L$4+$L$5*Student_Performance__28[[#This Row],[Hours Studied]]+$L$6*Student_Performance__28[[#This Row],[Sleep Hours]]</f>
        <v>-0.31676360009071647</v>
      </c>
      <c r="F154" s="6">
        <f t="shared" si="11"/>
        <v>0.72850295280309751</v>
      </c>
      <c r="G154" s="6">
        <f t="shared" si="12"/>
        <v>0.42146468516104696</v>
      </c>
      <c r="H154" s="6">
        <f t="shared" si="13"/>
        <v>-0.54725568868187102</v>
      </c>
    </row>
    <row r="155" spans="1:8" x14ac:dyDescent="0.3">
      <c r="A155" s="6">
        <v>1</v>
      </c>
      <c r="B155" s="6">
        <v>8</v>
      </c>
      <c r="C155" s="6">
        <v>1</v>
      </c>
      <c r="E155" s="6">
        <f>$L$4+$L$5*Student_Performance__28[[#This Row],[Hours Studied]]+$L$6*Student_Performance__28[[#This Row],[Sleep Hours]]</f>
        <v>-0.32856727846362532</v>
      </c>
      <c r="F155" s="6">
        <f t="shared" si="11"/>
        <v>0.7199544891644748</v>
      </c>
      <c r="G155" s="6">
        <f t="shared" si="12"/>
        <v>0.41858926715800293</v>
      </c>
      <c r="H155" s="6">
        <f t="shared" si="13"/>
        <v>-0.8708651091508246</v>
      </c>
    </row>
    <row r="156" spans="1:8" x14ac:dyDescent="0.3">
      <c r="A156" s="6">
        <v>5</v>
      </c>
      <c r="B156" s="6">
        <v>4</v>
      </c>
      <c r="C156" s="6">
        <v>0</v>
      </c>
      <c r="E156" s="6">
        <f>$L$4+$L$5*Student_Performance__28[[#This Row],[Hours Studied]]+$L$6*Student_Performance__28[[#This Row],[Sleep Hours]]</f>
        <v>-1.233128960334684E-2</v>
      </c>
      <c r="F156" s="6">
        <f t="shared" si="11"/>
        <v>0.98774442919193028</v>
      </c>
      <c r="G156" s="6">
        <f t="shared" si="12"/>
        <v>0.49691721666324784</v>
      </c>
      <c r="H156" s="6">
        <f t="shared" si="13"/>
        <v>-0.68700054322575388</v>
      </c>
    </row>
    <row r="157" spans="1:8" x14ac:dyDescent="0.3">
      <c r="A157" s="6">
        <v>1</v>
      </c>
      <c r="B157" s="6">
        <v>5</v>
      </c>
      <c r="C157" s="6">
        <v>0</v>
      </c>
      <c r="E157" s="6">
        <f>$L$4+$L$5*Student_Performance__28[[#This Row],[Hours Studied]]+$L$6*Student_Performance__28[[#This Row],[Sleep Hours]]</f>
        <v>-0.7675102266353161</v>
      </c>
      <c r="F157" s="6">
        <f t="shared" si="11"/>
        <v>0.46416730221036412</v>
      </c>
      <c r="G157" s="6">
        <f t="shared" si="12"/>
        <v>0.3170179401695688</v>
      </c>
      <c r="H157" s="6">
        <f t="shared" si="13"/>
        <v>-0.3812866864760433</v>
      </c>
    </row>
    <row r="158" spans="1:8" x14ac:dyDescent="0.3">
      <c r="A158" s="6">
        <v>8</v>
      </c>
      <c r="B158" s="6">
        <v>7</v>
      </c>
      <c r="C158" s="6">
        <v>0</v>
      </c>
      <c r="E158" s="6">
        <f>$L$4+$L$5*Student_Performance__28[[#This Row],[Hours Studied]]+$L$6*Student_Performance__28[[#This Row],[Sleep Hours]]</f>
        <v>1.1027315983852435</v>
      </c>
      <c r="F158" s="6">
        <f t="shared" si="11"/>
        <v>3.0123834172059332</v>
      </c>
      <c r="G158" s="6">
        <f t="shared" si="12"/>
        <v>0.7507715748919227</v>
      </c>
      <c r="H158" s="6">
        <f t="shared" si="13"/>
        <v>-1.3893854331320841</v>
      </c>
    </row>
    <row r="159" spans="1:8" x14ac:dyDescent="0.3">
      <c r="A159" s="6">
        <v>1</v>
      </c>
      <c r="B159" s="6">
        <v>5</v>
      </c>
      <c r="C159" s="6">
        <v>0</v>
      </c>
      <c r="E159" s="6">
        <f>$L$4+$L$5*Student_Performance__28[[#This Row],[Hours Studied]]+$L$6*Student_Performance__28[[#This Row],[Sleep Hours]]</f>
        <v>-0.7675102266353161</v>
      </c>
      <c r="F159" s="6">
        <f t="shared" si="11"/>
        <v>0.46416730221036412</v>
      </c>
      <c r="G159" s="6">
        <f t="shared" si="12"/>
        <v>0.3170179401695688</v>
      </c>
      <c r="H159" s="6">
        <f t="shared" si="13"/>
        <v>-0.3812866864760433</v>
      </c>
    </row>
    <row r="160" spans="1:8" x14ac:dyDescent="0.3">
      <c r="A160" s="6">
        <v>1</v>
      </c>
      <c r="B160" s="6">
        <v>7</v>
      </c>
      <c r="C160" s="6">
        <v>1</v>
      </c>
      <c r="E160" s="6">
        <f>$L$4+$L$5*Student_Performance__28[[#This Row],[Hours Studied]]+$L$6*Student_Performance__28[[#This Row],[Sleep Hours]]</f>
        <v>-0.47488159452085554</v>
      </c>
      <c r="F160" s="6">
        <f t="shared" si="11"/>
        <v>0.62195869542264559</v>
      </c>
      <c r="G160" s="6">
        <f t="shared" si="12"/>
        <v>0.38346148837074878</v>
      </c>
      <c r="H160" s="6">
        <f t="shared" si="13"/>
        <v>-0.95851608467568061</v>
      </c>
    </row>
    <row r="161" spans="1:8" x14ac:dyDescent="0.3">
      <c r="A161" s="6">
        <v>2</v>
      </c>
      <c r="B161" s="6">
        <v>6</v>
      </c>
      <c r="C161" s="6">
        <v>0</v>
      </c>
      <c r="E161" s="6">
        <f>$L$4+$L$5*Student_Performance__28[[#This Row],[Hours Studied]]+$L$6*Student_Performance__28[[#This Row],[Sleep Hours]]</f>
        <v>-0.39582259730578584</v>
      </c>
      <c r="F161" s="6">
        <f t="shared" si="11"/>
        <v>0.67312609972943394</v>
      </c>
      <c r="G161" s="6">
        <f t="shared" si="12"/>
        <v>0.40231641825340425</v>
      </c>
      <c r="H161" s="6">
        <f t="shared" si="13"/>
        <v>-0.51469379258292292</v>
      </c>
    </row>
    <row r="162" spans="1:8" x14ac:dyDescent="0.3">
      <c r="A162" s="6">
        <v>2</v>
      </c>
      <c r="B162" s="6">
        <v>4</v>
      </c>
      <c r="C162" s="6">
        <v>0</v>
      </c>
      <c r="E162" s="6">
        <f>$L$4+$L$5*Student_Performance__28[[#This Row],[Hours Studied]]+$L$6*Student_Performance__28[[#This Row],[Sleep Hours]]</f>
        <v>-0.68845122942024639</v>
      </c>
      <c r="F162" s="6">
        <f t="shared" si="11"/>
        <v>0.5023534971988427</v>
      </c>
      <c r="G162" s="6">
        <f t="shared" si="12"/>
        <v>0.33437769348924018</v>
      </c>
      <c r="H162" s="6">
        <f t="shared" si="13"/>
        <v>-0.4070328766491394</v>
      </c>
    </row>
    <row r="163" spans="1:8" x14ac:dyDescent="0.3">
      <c r="A163" s="6">
        <v>6</v>
      </c>
      <c r="B163" s="6">
        <v>4</v>
      </c>
      <c r="C163" s="6">
        <v>1</v>
      </c>
      <c r="E163" s="6">
        <f>$L$4+$L$5*Student_Performance__28[[#This Row],[Hours Studied]]+$L$6*Student_Performance__28[[#This Row],[Sleep Hours]]</f>
        <v>0.21304202366895286</v>
      </c>
      <c r="F163" s="6">
        <f t="shared" si="11"/>
        <v>1.2374366517791708</v>
      </c>
      <c r="G163" s="6">
        <f t="shared" si="12"/>
        <v>0.55305997190811307</v>
      </c>
      <c r="H163" s="6">
        <f t="shared" si="13"/>
        <v>-0.59228883504312502</v>
      </c>
    </row>
    <row r="164" spans="1:8" x14ac:dyDescent="0.3">
      <c r="A164" s="6">
        <v>7</v>
      </c>
      <c r="B164" s="6">
        <v>7</v>
      </c>
      <c r="C164" s="6">
        <v>0</v>
      </c>
      <c r="E164" s="6">
        <f>$L$4+$L$5*Student_Performance__28[[#This Row],[Hours Studied]]+$L$6*Student_Performance__28[[#This Row],[Sleep Hours]]</f>
        <v>0.87735828511294356</v>
      </c>
      <c r="F164" s="6">
        <f t="shared" si="11"/>
        <v>2.4045392017904299</v>
      </c>
      <c r="G164" s="6">
        <f t="shared" si="12"/>
        <v>0.70627449392443331</v>
      </c>
      <c r="H164" s="6">
        <f t="shared" si="13"/>
        <v>-1.2251096005729105</v>
      </c>
    </row>
    <row r="165" spans="1:8" x14ac:dyDescent="0.3">
      <c r="A165" s="6">
        <v>5</v>
      </c>
      <c r="B165" s="6">
        <v>8</v>
      </c>
      <c r="C165" s="6">
        <v>1</v>
      </c>
      <c r="E165" s="6">
        <f>$L$4+$L$5*Student_Performance__28[[#This Row],[Hours Studied]]+$L$6*Student_Performance__28[[#This Row],[Sleep Hours]]</f>
        <v>0.57292597462557415</v>
      </c>
      <c r="F165" s="6">
        <f t="shared" si="11"/>
        <v>1.7734485327021301</v>
      </c>
      <c r="G165" s="6">
        <f t="shared" si="12"/>
        <v>0.6394380540295389</v>
      </c>
      <c r="H165" s="6">
        <f t="shared" si="13"/>
        <v>-0.44716552891068606</v>
      </c>
    </row>
    <row r="166" spans="1:8" x14ac:dyDescent="0.3">
      <c r="A166" s="6">
        <v>1</v>
      </c>
      <c r="B166" s="6">
        <v>9</v>
      </c>
      <c r="C166" s="6">
        <v>0</v>
      </c>
      <c r="E166" s="6">
        <f>$L$4+$L$5*Student_Performance__28[[#This Row],[Hours Studied]]+$L$6*Student_Performance__28[[#This Row],[Sleep Hours]]</f>
        <v>-0.1822529624063951</v>
      </c>
      <c r="F166" s="6">
        <f t="shared" si="11"/>
        <v>0.83339049728350689</v>
      </c>
      <c r="G166" s="6">
        <f t="shared" si="12"/>
        <v>0.45456246147142287</v>
      </c>
      <c r="H166" s="6">
        <f t="shared" si="13"/>
        <v>-0.60616698342067732</v>
      </c>
    </row>
    <row r="167" spans="1:8" x14ac:dyDescent="0.3">
      <c r="A167" s="6">
        <v>1</v>
      </c>
      <c r="B167" s="6">
        <v>8</v>
      </c>
      <c r="C167" s="6">
        <v>1</v>
      </c>
      <c r="E167" s="6">
        <f>$L$4+$L$5*Student_Performance__28[[#This Row],[Hours Studied]]+$L$6*Student_Performance__28[[#This Row],[Sleep Hours]]</f>
        <v>-0.32856727846362532</v>
      </c>
      <c r="F167" s="6">
        <f t="shared" si="11"/>
        <v>0.7199544891644748</v>
      </c>
      <c r="G167" s="6">
        <f t="shared" si="12"/>
        <v>0.41858926715800293</v>
      </c>
      <c r="H167" s="6">
        <f t="shared" si="13"/>
        <v>-0.8708651091508246</v>
      </c>
    </row>
    <row r="168" spans="1:8" x14ac:dyDescent="0.3">
      <c r="A168" s="6">
        <v>3</v>
      </c>
      <c r="B168" s="6">
        <v>6</v>
      </c>
      <c r="C168" s="6">
        <v>1</v>
      </c>
      <c r="E168" s="6">
        <f>$L$4+$L$5*Student_Performance__28[[#This Row],[Hours Studied]]+$L$6*Student_Performance__28[[#This Row],[Sleep Hours]]</f>
        <v>-0.17044928403348614</v>
      </c>
      <c r="F168" s="6">
        <f t="shared" si="11"/>
        <v>0.84328585660138511</v>
      </c>
      <c r="G168" s="6">
        <f t="shared" si="12"/>
        <v>0.45749054796971061</v>
      </c>
      <c r="H168" s="6">
        <f t="shared" si="13"/>
        <v>-0.78199905465548136</v>
      </c>
    </row>
    <row r="169" spans="1:8" x14ac:dyDescent="0.3">
      <c r="A169" s="6">
        <v>2</v>
      </c>
      <c r="B169" s="6">
        <v>7</v>
      </c>
      <c r="C169" s="6">
        <v>0</v>
      </c>
      <c r="E169" s="6">
        <f>$L$4+$L$5*Student_Performance__28[[#This Row],[Hours Studied]]+$L$6*Student_Performance__28[[#This Row],[Sleep Hours]]</f>
        <v>-0.24950828124855562</v>
      </c>
      <c r="F169" s="6">
        <f t="shared" si="11"/>
        <v>0.7791838281875958</v>
      </c>
      <c r="G169" s="6">
        <f t="shared" si="12"/>
        <v>0.43794453155598223</v>
      </c>
      <c r="H169" s="6">
        <f t="shared" si="13"/>
        <v>-0.57615473565983866</v>
      </c>
    </row>
    <row r="170" spans="1:8" x14ac:dyDescent="0.3">
      <c r="A170" s="6">
        <v>5</v>
      </c>
      <c r="B170" s="6">
        <v>6</v>
      </c>
      <c r="C170" s="6">
        <v>0</v>
      </c>
      <c r="E170" s="6">
        <f>$L$4+$L$5*Student_Performance__28[[#This Row],[Hours Studied]]+$L$6*Student_Performance__28[[#This Row],[Sleep Hours]]</f>
        <v>0.28029734251111371</v>
      </c>
      <c r="F170" s="6">
        <f t="shared" si="11"/>
        <v>1.3235232935748173</v>
      </c>
      <c r="G170" s="6">
        <f t="shared" si="12"/>
        <v>0.56961911990928782</v>
      </c>
      <c r="H170" s="6">
        <f t="shared" si="13"/>
        <v>-0.8430846947023779</v>
      </c>
    </row>
    <row r="171" spans="1:8" x14ac:dyDescent="0.3">
      <c r="A171" s="6">
        <v>6</v>
      </c>
      <c r="B171" s="6">
        <v>7</v>
      </c>
      <c r="C171" s="6">
        <v>1</v>
      </c>
      <c r="E171" s="6">
        <f>$L$4+$L$5*Student_Performance__28[[#This Row],[Hours Studied]]+$L$6*Student_Performance__28[[#This Row],[Sleep Hours]]</f>
        <v>0.65198497184064363</v>
      </c>
      <c r="F171" s="6">
        <f t="shared" si="11"/>
        <v>1.9193468998411038</v>
      </c>
      <c r="G171" s="6">
        <f t="shared" si="12"/>
        <v>0.65745763202912655</v>
      </c>
      <c r="H171" s="6">
        <f t="shared" si="13"/>
        <v>-0.41937495498494792</v>
      </c>
    </row>
    <row r="172" spans="1:8" x14ac:dyDescent="0.3">
      <c r="A172" s="6">
        <v>7</v>
      </c>
      <c r="B172" s="6">
        <v>6</v>
      </c>
      <c r="C172" s="6">
        <v>1</v>
      </c>
      <c r="E172" s="6">
        <f>$L$4+$L$5*Student_Performance__28[[#This Row],[Hours Studied]]+$L$6*Student_Performance__28[[#This Row],[Sleep Hours]]</f>
        <v>0.73104396905571334</v>
      </c>
      <c r="F172" s="6">
        <f t="shared" si="11"/>
        <v>2.077248058795742</v>
      </c>
      <c r="G172" s="6">
        <f t="shared" si="12"/>
        <v>0.67503432258517937</v>
      </c>
      <c r="H172" s="6">
        <f t="shared" si="13"/>
        <v>-0.39299174112799712</v>
      </c>
    </row>
    <row r="173" spans="1:8" x14ac:dyDescent="0.3">
      <c r="A173" s="6">
        <v>4</v>
      </c>
      <c r="B173" s="6">
        <v>7</v>
      </c>
      <c r="C173" s="6">
        <v>1</v>
      </c>
      <c r="E173" s="6">
        <f>$L$4+$L$5*Student_Performance__28[[#This Row],[Hours Studied]]+$L$6*Student_Performance__28[[#This Row],[Sleep Hours]]</f>
        <v>0.20123834529604401</v>
      </c>
      <c r="F173" s="6">
        <f t="shared" si="11"/>
        <v>1.2229162134170048</v>
      </c>
      <c r="G173" s="6">
        <f t="shared" si="12"/>
        <v>0.55014048934267845</v>
      </c>
      <c r="H173" s="6">
        <f t="shared" si="13"/>
        <v>-0.59758159820512247</v>
      </c>
    </row>
    <row r="174" spans="1:8" x14ac:dyDescent="0.3">
      <c r="A174" s="6">
        <v>7</v>
      </c>
      <c r="B174" s="6">
        <v>4</v>
      </c>
      <c r="C174" s="6">
        <v>1</v>
      </c>
      <c r="E174" s="6">
        <f>$L$4+$L$5*Student_Performance__28[[#This Row],[Hours Studied]]+$L$6*Student_Performance__28[[#This Row],[Sleep Hours]]</f>
        <v>0.43841533694125279</v>
      </c>
      <c r="F174" s="6">
        <f t="shared" si="11"/>
        <v>1.5502486492575356</v>
      </c>
      <c r="G174" s="6">
        <f t="shared" si="12"/>
        <v>0.60788137255120822</v>
      </c>
      <c r="H174" s="6">
        <f t="shared" si="13"/>
        <v>-0.49777552698809763</v>
      </c>
    </row>
    <row r="175" spans="1:8" x14ac:dyDescent="0.3">
      <c r="A175" s="6">
        <v>8</v>
      </c>
      <c r="B175" s="6">
        <v>6</v>
      </c>
      <c r="C175" s="6">
        <v>1</v>
      </c>
      <c r="E175" s="6">
        <f>$L$4+$L$5*Student_Performance__28[[#This Row],[Hours Studied]]+$L$6*Student_Performance__28[[#This Row],[Sleep Hours]]</f>
        <v>0.95641728232801326</v>
      </c>
      <c r="F175" s="6">
        <f t="shared" si="11"/>
        <v>2.6023562440072392</v>
      </c>
      <c r="G175" s="6">
        <f t="shared" si="12"/>
        <v>0.72240391225505063</v>
      </c>
      <c r="H175" s="6">
        <f t="shared" si="13"/>
        <v>-0.32517086125857375</v>
      </c>
    </row>
    <row r="176" spans="1:8" x14ac:dyDescent="0.3">
      <c r="A176" s="6">
        <v>1</v>
      </c>
      <c r="B176" s="6">
        <v>6</v>
      </c>
      <c r="C176" s="6">
        <v>0</v>
      </c>
      <c r="E176" s="6">
        <f>$L$4+$L$5*Student_Performance__28[[#This Row],[Hours Studied]]+$L$6*Student_Performance__28[[#This Row],[Sleep Hours]]</f>
        <v>-0.62119591057808576</v>
      </c>
      <c r="F176" s="6">
        <f t="shared" si="11"/>
        <v>0.53730148868266403</v>
      </c>
      <c r="G176" s="6">
        <f t="shared" si="12"/>
        <v>0.34950950912243345</v>
      </c>
      <c r="H176" s="6">
        <f t="shared" si="13"/>
        <v>-0.4300285993108024</v>
      </c>
    </row>
    <row r="177" spans="1:8" x14ac:dyDescent="0.3">
      <c r="A177" s="6">
        <v>6</v>
      </c>
      <c r="B177" s="6">
        <v>7</v>
      </c>
      <c r="C177" s="6">
        <v>0</v>
      </c>
      <c r="E177" s="6">
        <f>$L$4+$L$5*Student_Performance__28[[#This Row],[Hours Studied]]+$L$6*Student_Performance__28[[#This Row],[Sleep Hours]]</f>
        <v>0.65198497184064363</v>
      </c>
      <c r="F177" s="6">
        <f t="shared" si="11"/>
        <v>1.9193468998411038</v>
      </c>
      <c r="G177" s="6">
        <f t="shared" si="12"/>
        <v>0.65745763202912655</v>
      </c>
      <c r="H177" s="6">
        <f t="shared" si="13"/>
        <v>-1.0713599268255916</v>
      </c>
    </row>
    <row r="178" spans="1:8" x14ac:dyDescent="0.3">
      <c r="A178" s="6">
        <v>8</v>
      </c>
      <c r="B178" s="6">
        <v>5</v>
      </c>
      <c r="C178" s="6">
        <v>0</v>
      </c>
      <c r="E178" s="6">
        <f>$L$4+$L$5*Student_Performance__28[[#This Row],[Hours Studied]]+$L$6*Student_Performance__28[[#This Row],[Sleep Hours]]</f>
        <v>0.81010296627078293</v>
      </c>
      <c r="F178" s="6">
        <f t="shared" si="11"/>
        <v>2.2481394572955513</v>
      </c>
      <c r="G178" s="6">
        <f t="shared" si="12"/>
        <v>0.6921314453559162</v>
      </c>
      <c r="H178" s="6">
        <f t="shared" si="13"/>
        <v>-1.17808235773716</v>
      </c>
    </row>
    <row r="179" spans="1:8" x14ac:dyDescent="0.3">
      <c r="A179" s="6">
        <v>5</v>
      </c>
      <c r="B179" s="6">
        <v>5</v>
      </c>
      <c r="C179" s="6">
        <v>1</v>
      </c>
      <c r="E179" s="6">
        <f>$L$4+$L$5*Student_Performance__28[[#This Row],[Hours Studied]]+$L$6*Student_Performance__28[[#This Row],[Sleep Hours]]</f>
        <v>0.13398302645388338</v>
      </c>
      <c r="F179" s="6">
        <f t="shared" si="11"/>
        <v>1.1433734123785988</v>
      </c>
      <c r="G179" s="6">
        <f t="shared" si="12"/>
        <v>0.53344573828120101</v>
      </c>
      <c r="H179" s="6">
        <f t="shared" si="13"/>
        <v>-0.62839792235173864</v>
      </c>
    </row>
    <row r="180" spans="1:8" x14ac:dyDescent="0.3">
      <c r="A180" s="6">
        <v>4</v>
      </c>
      <c r="B180" s="6">
        <v>4</v>
      </c>
      <c r="C180" s="6">
        <v>0</v>
      </c>
      <c r="E180" s="6">
        <f>$L$4+$L$5*Student_Performance__28[[#This Row],[Hours Studied]]+$L$6*Student_Performance__28[[#This Row],[Sleep Hours]]</f>
        <v>-0.23770460287564676</v>
      </c>
      <c r="F180" s="6">
        <f t="shared" si="11"/>
        <v>0.78843555829458445</v>
      </c>
      <c r="G180" s="6">
        <f t="shared" si="12"/>
        <v>0.44085209256654484</v>
      </c>
      <c r="H180" s="6">
        <f t="shared" si="13"/>
        <v>-0.58134124792135389</v>
      </c>
    </row>
    <row r="181" spans="1:8" x14ac:dyDescent="0.3">
      <c r="A181" s="6">
        <v>2</v>
      </c>
      <c r="B181" s="6">
        <v>8</v>
      </c>
      <c r="C181" s="6">
        <v>1</v>
      </c>
      <c r="E181" s="6">
        <f>$L$4+$L$5*Student_Performance__28[[#This Row],[Hours Studied]]+$L$6*Student_Performance__28[[#This Row],[Sleep Hours]]</f>
        <v>-0.1031939651913254</v>
      </c>
      <c r="F181" s="6">
        <f t="shared" si="11"/>
        <v>0.90195200921954211</v>
      </c>
      <c r="G181" s="6">
        <f t="shared" si="12"/>
        <v>0.47422437834782921</v>
      </c>
      <c r="H181" s="6">
        <f t="shared" si="13"/>
        <v>-0.74607469725042641</v>
      </c>
    </row>
    <row r="182" spans="1:8" x14ac:dyDescent="0.3">
      <c r="A182" s="6">
        <v>6</v>
      </c>
      <c r="B182" s="6">
        <v>8</v>
      </c>
      <c r="C182" s="6">
        <v>1</v>
      </c>
      <c r="E182" s="6">
        <f>$L$4+$L$5*Student_Performance__28[[#This Row],[Hours Studied]]+$L$6*Student_Performance__28[[#This Row],[Sleep Hours]]</f>
        <v>0.79829928789787385</v>
      </c>
      <c r="F182" s="6">
        <f t="shared" si="11"/>
        <v>2.221759140879128</v>
      </c>
      <c r="G182" s="6">
        <f t="shared" si="12"/>
        <v>0.68961056482728622</v>
      </c>
      <c r="H182" s="6">
        <f t="shared" si="13"/>
        <v>-0.3716282395248241</v>
      </c>
    </row>
    <row r="183" spans="1:8" x14ac:dyDescent="0.3">
      <c r="A183" s="6">
        <v>6</v>
      </c>
      <c r="B183" s="6">
        <v>4</v>
      </c>
      <c r="C183" s="6">
        <v>0</v>
      </c>
      <c r="E183" s="6">
        <f>$L$4+$L$5*Student_Performance__28[[#This Row],[Hours Studied]]+$L$6*Student_Performance__28[[#This Row],[Sleep Hours]]</f>
        <v>0.21304202366895286</v>
      </c>
      <c r="F183" s="6">
        <f t="shared" si="11"/>
        <v>1.2374366517791708</v>
      </c>
      <c r="G183" s="6">
        <f t="shared" si="12"/>
        <v>0.55305997190811307</v>
      </c>
      <c r="H183" s="6">
        <f t="shared" si="13"/>
        <v>-0.80533085871207766</v>
      </c>
    </row>
    <row r="184" spans="1:8" x14ac:dyDescent="0.3">
      <c r="A184" s="6">
        <v>1</v>
      </c>
      <c r="B184" s="6">
        <v>8</v>
      </c>
      <c r="C184" s="6">
        <v>1</v>
      </c>
      <c r="E184" s="6">
        <f>$L$4+$L$5*Student_Performance__28[[#This Row],[Hours Studied]]+$L$6*Student_Performance__28[[#This Row],[Sleep Hours]]</f>
        <v>-0.32856727846362532</v>
      </c>
      <c r="F184" s="6">
        <f t="shared" si="11"/>
        <v>0.7199544891644748</v>
      </c>
      <c r="G184" s="6">
        <f t="shared" si="12"/>
        <v>0.41858926715800293</v>
      </c>
      <c r="H184" s="6">
        <f t="shared" si="13"/>
        <v>-0.8708651091508246</v>
      </c>
    </row>
    <row r="185" spans="1:8" x14ac:dyDescent="0.3">
      <c r="A185" s="6">
        <v>9</v>
      </c>
      <c r="B185" s="6">
        <v>9</v>
      </c>
      <c r="C185" s="6">
        <v>1</v>
      </c>
      <c r="E185" s="6">
        <f>$L$4+$L$5*Student_Performance__28[[#This Row],[Hours Studied]]+$L$6*Student_Performance__28[[#This Row],[Sleep Hours]]</f>
        <v>1.6207335437720038</v>
      </c>
      <c r="F185" s="6">
        <f t="shared" si="11"/>
        <v>5.0567983393271883</v>
      </c>
      <c r="G185" s="6">
        <f t="shared" si="12"/>
        <v>0.83489626961707897</v>
      </c>
      <c r="H185" s="6">
        <f t="shared" si="13"/>
        <v>-0.18044778985171736</v>
      </c>
    </row>
    <row r="186" spans="1:8" x14ac:dyDescent="0.3">
      <c r="A186" s="6">
        <v>6</v>
      </c>
      <c r="B186" s="6">
        <v>9</v>
      </c>
      <c r="C186" s="6">
        <v>0</v>
      </c>
      <c r="E186" s="6">
        <f>$L$4+$L$5*Student_Performance__28[[#This Row],[Hours Studied]]+$L$6*Student_Performance__28[[#This Row],[Sleep Hours]]</f>
        <v>0.94461360395510408</v>
      </c>
      <c r="F186" s="6">
        <f t="shared" si="11"/>
        <v>2.5718194457128165</v>
      </c>
      <c r="G186" s="6">
        <f t="shared" si="12"/>
        <v>0.72003064119036586</v>
      </c>
      <c r="H186" s="6">
        <f t="shared" si="13"/>
        <v>-1.2730751146238308</v>
      </c>
    </row>
    <row r="187" spans="1:8" x14ac:dyDescent="0.3">
      <c r="A187" s="6">
        <v>3</v>
      </c>
      <c r="B187" s="6">
        <v>9</v>
      </c>
      <c r="C187" s="6">
        <v>1</v>
      </c>
      <c r="E187" s="6">
        <f>$L$4+$L$5*Student_Performance__28[[#This Row],[Hours Studied]]+$L$6*Student_Performance__28[[#This Row],[Sleep Hours]]</f>
        <v>0.26849366413820452</v>
      </c>
      <c r="F187" s="6">
        <f t="shared" si="11"/>
        <v>1.3079926897434107</v>
      </c>
      <c r="G187" s="6">
        <f t="shared" si="12"/>
        <v>0.56672306439966491</v>
      </c>
      <c r="H187" s="6">
        <f t="shared" si="13"/>
        <v>-0.56788451714709109</v>
      </c>
    </row>
    <row r="188" spans="1:8" x14ac:dyDescent="0.3">
      <c r="A188" s="6">
        <v>4</v>
      </c>
      <c r="B188" s="6">
        <v>9</v>
      </c>
      <c r="C188" s="6">
        <v>0</v>
      </c>
      <c r="E188" s="6">
        <f>$L$4+$L$5*Student_Performance__28[[#This Row],[Hours Studied]]+$L$6*Student_Performance__28[[#This Row],[Sleep Hours]]</f>
        <v>0.49386697741050445</v>
      </c>
      <c r="F188" s="6">
        <f t="shared" si="11"/>
        <v>1.6386405700833506</v>
      </c>
      <c r="G188" s="6">
        <f t="shared" si="12"/>
        <v>0.62101696936752104</v>
      </c>
      <c r="H188" s="6">
        <f t="shared" si="13"/>
        <v>-0.97026384895888251</v>
      </c>
    </row>
    <row r="189" spans="1:8" x14ac:dyDescent="0.3">
      <c r="A189" s="6">
        <v>4</v>
      </c>
      <c r="B189" s="6">
        <v>7</v>
      </c>
      <c r="C189" s="6">
        <v>1</v>
      </c>
      <c r="E189" s="6">
        <f>$L$4+$L$5*Student_Performance__28[[#This Row],[Hours Studied]]+$L$6*Student_Performance__28[[#This Row],[Sleep Hours]]</f>
        <v>0.20123834529604401</v>
      </c>
      <c r="F189" s="6">
        <f t="shared" si="11"/>
        <v>1.2229162134170048</v>
      </c>
      <c r="G189" s="6">
        <f t="shared" si="12"/>
        <v>0.55014048934267845</v>
      </c>
      <c r="H189" s="6">
        <f t="shared" si="13"/>
        <v>-0.59758159820512247</v>
      </c>
    </row>
    <row r="190" spans="1:8" x14ac:dyDescent="0.3">
      <c r="A190" s="6">
        <v>3</v>
      </c>
      <c r="B190" s="6">
        <v>5</v>
      </c>
      <c r="C190" s="6">
        <v>1</v>
      </c>
      <c r="E190" s="6">
        <f>$L$4+$L$5*Student_Performance__28[[#This Row],[Hours Studied]]+$L$6*Student_Performance__28[[#This Row],[Sleep Hours]]</f>
        <v>-0.31676360009071647</v>
      </c>
      <c r="F190" s="6">
        <f t="shared" si="11"/>
        <v>0.72850295280309751</v>
      </c>
      <c r="G190" s="6">
        <f t="shared" si="12"/>
        <v>0.42146468516104696</v>
      </c>
      <c r="H190" s="6">
        <f t="shared" si="13"/>
        <v>-0.86401928877258749</v>
      </c>
    </row>
    <row r="191" spans="1:8" x14ac:dyDescent="0.3">
      <c r="A191" s="6">
        <v>3</v>
      </c>
      <c r="B191" s="6">
        <v>4</v>
      </c>
      <c r="C191" s="6">
        <v>0</v>
      </c>
      <c r="E191" s="6">
        <f>$L$4+$L$5*Student_Performance__28[[#This Row],[Hours Studied]]+$L$6*Student_Performance__28[[#This Row],[Sleep Hours]]</f>
        <v>-0.46307791614794669</v>
      </c>
      <c r="F191" s="6">
        <f t="shared" si="11"/>
        <v>0.62934359456914024</v>
      </c>
      <c r="G191" s="6">
        <f t="shared" si="12"/>
        <v>0.38625591107169904</v>
      </c>
      <c r="H191" s="6">
        <f t="shared" si="13"/>
        <v>-0.48817723099383709</v>
      </c>
    </row>
    <row r="192" spans="1:8" x14ac:dyDescent="0.3">
      <c r="A192" s="6">
        <v>3</v>
      </c>
      <c r="B192" s="6">
        <v>7</v>
      </c>
      <c r="C192" s="6">
        <v>0</v>
      </c>
      <c r="E192" s="6">
        <f>$L$4+$L$5*Student_Performance__28[[#This Row],[Hours Studied]]+$L$6*Student_Performance__28[[#This Row],[Sleep Hours]]</f>
        <v>-2.4134967976255917E-2</v>
      </c>
      <c r="F192" s="6">
        <f t="shared" si="11"/>
        <v>0.97615395134319904</v>
      </c>
      <c r="G192" s="6">
        <f t="shared" si="12"/>
        <v>0.49396655087509944</v>
      </c>
      <c r="H192" s="6">
        <f t="shared" si="13"/>
        <v>-0.68115250688958806</v>
      </c>
    </row>
    <row r="193" spans="1:8" x14ac:dyDescent="0.3">
      <c r="A193" s="6">
        <v>4</v>
      </c>
      <c r="B193" s="6">
        <v>9</v>
      </c>
      <c r="C193" s="6">
        <v>1</v>
      </c>
      <c r="E193" s="6">
        <f>$L$4+$L$5*Student_Performance__28[[#This Row],[Hours Studied]]+$L$6*Student_Performance__28[[#This Row],[Sleep Hours]]</f>
        <v>0.49386697741050445</v>
      </c>
      <c r="F193" s="6">
        <f t="shared" si="11"/>
        <v>1.6386405700833506</v>
      </c>
      <c r="G193" s="6">
        <f t="shared" si="12"/>
        <v>0.62101696936752104</v>
      </c>
      <c r="H193" s="6">
        <f t="shared" si="13"/>
        <v>-0.47639687154837829</v>
      </c>
    </row>
    <row r="194" spans="1:8" x14ac:dyDescent="0.3">
      <c r="A194" s="6">
        <v>7</v>
      </c>
      <c r="B194" s="6">
        <v>4</v>
      </c>
      <c r="C194" s="6">
        <v>0</v>
      </c>
      <c r="E194" s="6">
        <f>$L$4+$L$5*Student_Performance__28[[#This Row],[Hours Studied]]+$L$6*Student_Performance__28[[#This Row],[Sleep Hours]]</f>
        <v>0.43841533694125279</v>
      </c>
      <c r="F194" s="6">
        <f t="shared" si="11"/>
        <v>1.5502486492575356</v>
      </c>
      <c r="G194" s="6">
        <f t="shared" si="12"/>
        <v>0.60788137255120822</v>
      </c>
      <c r="H194" s="6">
        <f t="shared" si="13"/>
        <v>-0.93619086392935025</v>
      </c>
    </row>
    <row r="195" spans="1:8" x14ac:dyDescent="0.3">
      <c r="A195" s="6">
        <v>4</v>
      </c>
      <c r="B195" s="6">
        <v>5</v>
      </c>
      <c r="C195" s="6">
        <v>0</v>
      </c>
      <c r="E195" s="6">
        <f>$L$4+$L$5*Student_Performance__28[[#This Row],[Hours Studied]]+$L$6*Student_Performance__28[[#This Row],[Sleep Hours]]</f>
        <v>-9.1390286818416544E-2</v>
      </c>
      <c r="F195" s="6">
        <f t="shared" ref="F195:F258" si="14">EXP(E195)</f>
        <v>0.91266144164983931</v>
      </c>
      <c r="G195" s="6">
        <f t="shared" ref="G195:G258" si="15">F195/(1+F195)</f>
        <v>0.47716831728598463</v>
      </c>
      <c r="H195" s="6">
        <f t="shared" ref="H195:H258" si="16">C195*LN(G195)+(1-C195)*LN(1-G195)</f>
        <v>-0.64849569709045463</v>
      </c>
    </row>
    <row r="196" spans="1:8" x14ac:dyDescent="0.3">
      <c r="A196" s="6">
        <v>9</v>
      </c>
      <c r="B196" s="6">
        <v>8</v>
      </c>
      <c r="C196" s="6">
        <v>1</v>
      </c>
      <c r="E196" s="6">
        <f>$L$4+$L$5*Student_Performance__28[[#This Row],[Hours Studied]]+$L$6*Student_Performance__28[[#This Row],[Sleep Hours]]</f>
        <v>1.4744192277147736</v>
      </c>
      <c r="F196" s="6">
        <f t="shared" si="14"/>
        <v>4.368497933519838</v>
      </c>
      <c r="G196" s="6">
        <f t="shared" si="15"/>
        <v>0.81372815778577501</v>
      </c>
      <c r="H196" s="6">
        <f t="shared" si="16"/>
        <v>-0.20612892725028695</v>
      </c>
    </row>
    <row r="197" spans="1:8" x14ac:dyDescent="0.3">
      <c r="A197" s="6">
        <v>1</v>
      </c>
      <c r="B197" s="6">
        <v>7</v>
      </c>
      <c r="C197" s="6">
        <v>1</v>
      </c>
      <c r="E197" s="6">
        <f>$L$4+$L$5*Student_Performance__28[[#This Row],[Hours Studied]]+$L$6*Student_Performance__28[[#This Row],[Sleep Hours]]</f>
        <v>-0.47488159452085554</v>
      </c>
      <c r="F197" s="6">
        <f t="shared" si="14"/>
        <v>0.62195869542264559</v>
      </c>
      <c r="G197" s="6">
        <f t="shared" si="15"/>
        <v>0.38346148837074878</v>
      </c>
      <c r="H197" s="6">
        <f t="shared" si="16"/>
        <v>-0.95851608467568061</v>
      </c>
    </row>
    <row r="198" spans="1:8" x14ac:dyDescent="0.3">
      <c r="A198" s="6">
        <v>8</v>
      </c>
      <c r="B198" s="6">
        <v>5</v>
      </c>
      <c r="C198" s="6">
        <v>1</v>
      </c>
      <c r="E198" s="6">
        <f>$L$4+$L$5*Student_Performance__28[[#This Row],[Hours Studied]]+$L$6*Student_Performance__28[[#This Row],[Sleep Hours]]</f>
        <v>0.81010296627078293</v>
      </c>
      <c r="F198" s="6">
        <f t="shared" si="14"/>
        <v>2.2481394572955513</v>
      </c>
      <c r="G198" s="6">
        <f t="shared" si="15"/>
        <v>0.6921314453559162</v>
      </c>
      <c r="H198" s="6">
        <f t="shared" si="16"/>
        <v>-0.36797939146637737</v>
      </c>
    </row>
    <row r="199" spans="1:8" x14ac:dyDescent="0.3">
      <c r="A199" s="6">
        <v>7</v>
      </c>
      <c r="B199" s="6">
        <v>4</v>
      </c>
      <c r="C199" s="6">
        <v>1</v>
      </c>
      <c r="E199" s="6">
        <f>$L$4+$L$5*Student_Performance__28[[#This Row],[Hours Studied]]+$L$6*Student_Performance__28[[#This Row],[Sleep Hours]]</f>
        <v>0.43841533694125279</v>
      </c>
      <c r="F199" s="6">
        <f t="shared" si="14"/>
        <v>1.5502486492575356</v>
      </c>
      <c r="G199" s="6">
        <f t="shared" si="15"/>
        <v>0.60788137255120822</v>
      </c>
      <c r="H199" s="6">
        <f t="shared" si="16"/>
        <v>-0.49777552698809763</v>
      </c>
    </row>
    <row r="200" spans="1:8" x14ac:dyDescent="0.3">
      <c r="A200" s="6">
        <v>2</v>
      </c>
      <c r="B200" s="6">
        <v>6</v>
      </c>
      <c r="C200" s="6">
        <v>0</v>
      </c>
      <c r="E200" s="6">
        <f>$L$4+$L$5*Student_Performance__28[[#This Row],[Hours Studied]]+$L$6*Student_Performance__28[[#This Row],[Sleep Hours]]</f>
        <v>-0.39582259730578584</v>
      </c>
      <c r="F200" s="6">
        <f t="shared" si="14"/>
        <v>0.67312609972943394</v>
      </c>
      <c r="G200" s="6">
        <f t="shared" si="15"/>
        <v>0.40231641825340425</v>
      </c>
      <c r="H200" s="6">
        <f t="shared" si="16"/>
        <v>-0.51469379258292292</v>
      </c>
    </row>
    <row r="201" spans="1:8" x14ac:dyDescent="0.3">
      <c r="A201" s="6">
        <v>8</v>
      </c>
      <c r="B201" s="6">
        <v>7</v>
      </c>
      <c r="C201" s="6">
        <v>1</v>
      </c>
      <c r="E201" s="6">
        <f>$L$4+$L$5*Student_Performance__28[[#This Row],[Hours Studied]]+$L$6*Student_Performance__28[[#This Row],[Sleep Hours]]</f>
        <v>1.1027315983852435</v>
      </c>
      <c r="F201" s="6">
        <f t="shared" si="14"/>
        <v>3.0123834172059332</v>
      </c>
      <c r="G201" s="6">
        <f t="shared" si="15"/>
        <v>0.7507715748919227</v>
      </c>
      <c r="H201" s="6">
        <f t="shared" si="16"/>
        <v>-0.28665383474684081</v>
      </c>
    </row>
    <row r="202" spans="1:8" x14ac:dyDescent="0.3">
      <c r="A202" s="6">
        <v>1</v>
      </c>
      <c r="B202" s="6">
        <v>4</v>
      </c>
      <c r="C202" s="6">
        <v>0</v>
      </c>
      <c r="E202" s="6">
        <f>$L$4+$L$5*Student_Performance__28[[#This Row],[Hours Studied]]+$L$6*Student_Performance__28[[#This Row],[Sleep Hours]]</f>
        <v>-0.91382454269254632</v>
      </c>
      <c r="F202" s="6">
        <f t="shared" si="14"/>
        <v>0.40098769309104837</v>
      </c>
      <c r="G202" s="6">
        <f t="shared" si="15"/>
        <v>0.28621785549474399</v>
      </c>
      <c r="H202" s="6">
        <f t="shared" si="16"/>
        <v>-0.33717748294158933</v>
      </c>
    </row>
    <row r="203" spans="1:8" x14ac:dyDescent="0.3">
      <c r="A203" s="6">
        <v>9</v>
      </c>
      <c r="B203" s="6">
        <v>4</v>
      </c>
      <c r="C203" s="6">
        <v>1</v>
      </c>
      <c r="E203" s="6">
        <f>$L$4+$L$5*Student_Performance__28[[#This Row],[Hours Studied]]+$L$6*Student_Performance__28[[#This Row],[Sleep Hours]]</f>
        <v>0.88916196348585264</v>
      </c>
      <c r="F203" s="6">
        <f t="shared" si="14"/>
        <v>2.4330897785886991</v>
      </c>
      <c r="G203" s="6">
        <f t="shared" si="15"/>
        <v>0.70871720097833046</v>
      </c>
      <c r="H203" s="6">
        <f t="shared" si="16"/>
        <v>-0.34429870229025311</v>
      </c>
    </row>
    <row r="204" spans="1:8" x14ac:dyDescent="0.3">
      <c r="A204" s="6">
        <v>9</v>
      </c>
      <c r="B204" s="6">
        <v>5</v>
      </c>
      <c r="C204" s="6">
        <v>0</v>
      </c>
      <c r="E204" s="6">
        <f>$L$4+$L$5*Student_Performance__28[[#This Row],[Hours Studied]]+$L$6*Student_Performance__28[[#This Row],[Sleep Hours]]</f>
        <v>1.035476279543083</v>
      </c>
      <c r="F204" s="6">
        <f t="shared" si="14"/>
        <v>2.8164473324788442</v>
      </c>
      <c r="G204" s="6">
        <f t="shared" si="15"/>
        <v>0.73797620853043877</v>
      </c>
      <c r="H204" s="6">
        <f t="shared" si="16"/>
        <v>-1.3393199722080287</v>
      </c>
    </row>
    <row r="205" spans="1:8" x14ac:dyDescent="0.3">
      <c r="A205" s="6">
        <v>2</v>
      </c>
      <c r="B205" s="6">
        <v>4</v>
      </c>
      <c r="C205" s="6">
        <v>0</v>
      </c>
      <c r="E205" s="6">
        <f>$L$4+$L$5*Student_Performance__28[[#This Row],[Hours Studied]]+$L$6*Student_Performance__28[[#This Row],[Sleep Hours]]</f>
        <v>-0.68845122942024639</v>
      </c>
      <c r="F205" s="6">
        <f t="shared" si="14"/>
        <v>0.5023534971988427</v>
      </c>
      <c r="G205" s="6">
        <f t="shared" si="15"/>
        <v>0.33437769348924018</v>
      </c>
      <c r="H205" s="6">
        <f t="shared" si="16"/>
        <v>-0.4070328766491394</v>
      </c>
    </row>
    <row r="206" spans="1:8" x14ac:dyDescent="0.3">
      <c r="A206" s="6">
        <v>7</v>
      </c>
      <c r="B206" s="6">
        <v>7</v>
      </c>
      <c r="C206" s="6">
        <v>0</v>
      </c>
      <c r="E206" s="6">
        <f>$L$4+$L$5*Student_Performance__28[[#This Row],[Hours Studied]]+$L$6*Student_Performance__28[[#This Row],[Sleep Hours]]</f>
        <v>0.87735828511294356</v>
      </c>
      <c r="F206" s="6">
        <f t="shared" si="14"/>
        <v>2.4045392017904299</v>
      </c>
      <c r="G206" s="6">
        <f t="shared" si="15"/>
        <v>0.70627449392443331</v>
      </c>
      <c r="H206" s="6">
        <f t="shared" si="16"/>
        <v>-1.2251096005729105</v>
      </c>
    </row>
    <row r="207" spans="1:8" x14ac:dyDescent="0.3">
      <c r="A207" s="6">
        <v>3</v>
      </c>
      <c r="B207" s="6">
        <v>9</v>
      </c>
      <c r="C207" s="6">
        <v>0</v>
      </c>
      <c r="E207" s="6">
        <f>$L$4+$L$5*Student_Performance__28[[#This Row],[Hours Studied]]+$L$6*Student_Performance__28[[#This Row],[Sleep Hours]]</f>
        <v>0.26849366413820452</v>
      </c>
      <c r="F207" s="6">
        <f t="shared" si="14"/>
        <v>1.3079926897434107</v>
      </c>
      <c r="G207" s="6">
        <f t="shared" si="15"/>
        <v>0.56672306439966491</v>
      </c>
      <c r="H207" s="6">
        <f t="shared" si="16"/>
        <v>-0.83637818128529584</v>
      </c>
    </row>
    <row r="208" spans="1:8" x14ac:dyDescent="0.3">
      <c r="A208" s="6">
        <v>7</v>
      </c>
      <c r="B208" s="6">
        <v>7</v>
      </c>
      <c r="C208" s="6">
        <v>1</v>
      </c>
      <c r="E208" s="6">
        <f>$L$4+$L$5*Student_Performance__28[[#This Row],[Hours Studied]]+$L$6*Student_Performance__28[[#This Row],[Sleep Hours]]</f>
        <v>0.87735828511294356</v>
      </c>
      <c r="F208" s="6">
        <f t="shared" si="14"/>
        <v>2.4045392017904299</v>
      </c>
      <c r="G208" s="6">
        <f t="shared" si="15"/>
        <v>0.70627449392443331</v>
      </c>
      <c r="H208" s="6">
        <f t="shared" si="16"/>
        <v>-0.3477513154599669</v>
      </c>
    </row>
    <row r="209" spans="1:8" x14ac:dyDescent="0.3">
      <c r="A209" s="6">
        <v>9</v>
      </c>
      <c r="B209" s="6">
        <v>4</v>
      </c>
      <c r="C209" s="6">
        <v>1</v>
      </c>
      <c r="E209" s="6">
        <f>$L$4+$L$5*Student_Performance__28[[#This Row],[Hours Studied]]+$L$6*Student_Performance__28[[#This Row],[Sleep Hours]]</f>
        <v>0.88916196348585264</v>
      </c>
      <c r="F209" s="6">
        <f t="shared" si="14"/>
        <v>2.4330897785886991</v>
      </c>
      <c r="G209" s="6">
        <f t="shared" si="15"/>
        <v>0.70871720097833046</v>
      </c>
      <c r="H209" s="6">
        <f t="shared" si="16"/>
        <v>-0.34429870229025311</v>
      </c>
    </row>
    <row r="210" spans="1:8" x14ac:dyDescent="0.3">
      <c r="A210" s="6">
        <v>4</v>
      </c>
      <c r="B210" s="6">
        <v>5</v>
      </c>
      <c r="C210" s="6">
        <v>0</v>
      </c>
      <c r="E210" s="6">
        <f>$L$4+$L$5*Student_Performance__28[[#This Row],[Hours Studied]]+$L$6*Student_Performance__28[[#This Row],[Sleep Hours]]</f>
        <v>-9.1390286818416544E-2</v>
      </c>
      <c r="F210" s="6">
        <f t="shared" si="14"/>
        <v>0.91266144164983931</v>
      </c>
      <c r="G210" s="6">
        <f t="shared" si="15"/>
        <v>0.47716831728598463</v>
      </c>
      <c r="H210" s="6">
        <f t="shared" si="16"/>
        <v>-0.64849569709045463</v>
      </c>
    </row>
    <row r="211" spans="1:8" x14ac:dyDescent="0.3">
      <c r="A211" s="6">
        <v>1</v>
      </c>
      <c r="B211" s="6">
        <v>7</v>
      </c>
      <c r="C211" s="6">
        <v>0</v>
      </c>
      <c r="E211" s="6">
        <f>$L$4+$L$5*Student_Performance__28[[#This Row],[Hours Studied]]+$L$6*Student_Performance__28[[#This Row],[Sleep Hours]]</f>
        <v>-0.47488159452085554</v>
      </c>
      <c r="F211" s="6">
        <f t="shared" si="14"/>
        <v>0.62195869542264559</v>
      </c>
      <c r="G211" s="6">
        <f t="shared" si="15"/>
        <v>0.38346148837074878</v>
      </c>
      <c r="H211" s="6">
        <f t="shared" si="16"/>
        <v>-0.48363449015482529</v>
      </c>
    </row>
    <row r="212" spans="1:8" x14ac:dyDescent="0.3">
      <c r="A212" s="6">
        <v>2</v>
      </c>
      <c r="B212" s="6">
        <v>6</v>
      </c>
      <c r="C212" s="6">
        <v>0</v>
      </c>
      <c r="E212" s="6">
        <f>$L$4+$L$5*Student_Performance__28[[#This Row],[Hours Studied]]+$L$6*Student_Performance__28[[#This Row],[Sleep Hours]]</f>
        <v>-0.39582259730578584</v>
      </c>
      <c r="F212" s="6">
        <f t="shared" si="14"/>
        <v>0.67312609972943394</v>
      </c>
      <c r="G212" s="6">
        <f t="shared" si="15"/>
        <v>0.40231641825340425</v>
      </c>
      <c r="H212" s="6">
        <f t="shared" si="16"/>
        <v>-0.51469379258292292</v>
      </c>
    </row>
    <row r="213" spans="1:8" x14ac:dyDescent="0.3">
      <c r="A213" s="6">
        <v>1</v>
      </c>
      <c r="B213" s="6">
        <v>9</v>
      </c>
      <c r="C213" s="6">
        <v>0</v>
      </c>
      <c r="E213" s="6">
        <f>$L$4+$L$5*Student_Performance__28[[#This Row],[Hours Studied]]+$L$6*Student_Performance__28[[#This Row],[Sleep Hours]]</f>
        <v>-0.1822529624063951</v>
      </c>
      <c r="F213" s="6">
        <f t="shared" si="14"/>
        <v>0.83339049728350689</v>
      </c>
      <c r="G213" s="6">
        <f t="shared" si="15"/>
        <v>0.45456246147142287</v>
      </c>
      <c r="H213" s="6">
        <f t="shared" si="16"/>
        <v>-0.60616698342067732</v>
      </c>
    </row>
    <row r="214" spans="1:8" x14ac:dyDescent="0.3">
      <c r="A214" s="6">
        <v>5</v>
      </c>
      <c r="B214" s="6">
        <v>8</v>
      </c>
      <c r="C214" s="6">
        <v>0</v>
      </c>
      <c r="E214" s="6">
        <f>$L$4+$L$5*Student_Performance__28[[#This Row],[Hours Studied]]+$L$6*Student_Performance__28[[#This Row],[Sleep Hours]]</f>
        <v>0.57292597462557415</v>
      </c>
      <c r="F214" s="6">
        <f t="shared" si="14"/>
        <v>1.7734485327021301</v>
      </c>
      <c r="G214" s="6">
        <f t="shared" si="15"/>
        <v>0.6394380540295389</v>
      </c>
      <c r="H214" s="6">
        <f t="shared" si="16"/>
        <v>-1.0200915035362601</v>
      </c>
    </row>
    <row r="215" spans="1:8" x14ac:dyDescent="0.3">
      <c r="A215" s="6">
        <v>5</v>
      </c>
      <c r="B215" s="6">
        <v>5</v>
      </c>
      <c r="C215" s="6">
        <v>1</v>
      </c>
      <c r="E215" s="6">
        <f>$L$4+$L$5*Student_Performance__28[[#This Row],[Hours Studied]]+$L$6*Student_Performance__28[[#This Row],[Sleep Hours]]</f>
        <v>0.13398302645388338</v>
      </c>
      <c r="F215" s="6">
        <f t="shared" si="14"/>
        <v>1.1433734123785988</v>
      </c>
      <c r="G215" s="6">
        <f t="shared" si="15"/>
        <v>0.53344573828120101</v>
      </c>
      <c r="H215" s="6">
        <f t="shared" si="16"/>
        <v>-0.62839792235173864</v>
      </c>
    </row>
    <row r="216" spans="1:8" x14ac:dyDescent="0.3">
      <c r="A216" s="6">
        <v>7</v>
      </c>
      <c r="B216" s="6">
        <v>5</v>
      </c>
      <c r="C216" s="6">
        <v>1</v>
      </c>
      <c r="E216" s="6">
        <f>$L$4+$L$5*Student_Performance__28[[#This Row],[Hours Studied]]+$L$6*Student_Performance__28[[#This Row],[Sleep Hours]]</f>
        <v>0.58472965299848301</v>
      </c>
      <c r="F216" s="6">
        <f t="shared" si="14"/>
        <v>1.7945057807989744</v>
      </c>
      <c r="G216" s="6">
        <f t="shared" si="15"/>
        <v>0.64215497177676584</v>
      </c>
      <c r="H216" s="6">
        <f t="shared" si="16"/>
        <v>-0.44292561536144459</v>
      </c>
    </row>
    <row r="217" spans="1:8" x14ac:dyDescent="0.3">
      <c r="A217" s="6">
        <v>9</v>
      </c>
      <c r="B217" s="6">
        <v>8</v>
      </c>
      <c r="C217" s="6">
        <v>0</v>
      </c>
      <c r="E217" s="6">
        <f>$L$4+$L$5*Student_Performance__28[[#This Row],[Hours Studied]]+$L$6*Student_Performance__28[[#This Row],[Sleep Hours]]</f>
        <v>1.4744192277147736</v>
      </c>
      <c r="F217" s="6">
        <f t="shared" si="14"/>
        <v>4.368497933519838</v>
      </c>
      <c r="G217" s="6">
        <f t="shared" si="15"/>
        <v>0.81372815778577501</v>
      </c>
      <c r="H217" s="6">
        <f t="shared" si="16"/>
        <v>-1.6805481549650603</v>
      </c>
    </row>
    <row r="218" spans="1:8" x14ac:dyDescent="0.3">
      <c r="A218" s="6">
        <v>9</v>
      </c>
      <c r="B218" s="6">
        <v>8</v>
      </c>
      <c r="C218" s="6">
        <v>0</v>
      </c>
      <c r="E218" s="6">
        <f>$L$4+$L$5*Student_Performance__28[[#This Row],[Hours Studied]]+$L$6*Student_Performance__28[[#This Row],[Sleep Hours]]</f>
        <v>1.4744192277147736</v>
      </c>
      <c r="F218" s="6">
        <f t="shared" si="14"/>
        <v>4.368497933519838</v>
      </c>
      <c r="G218" s="6">
        <f t="shared" si="15"/>
        <v>0.81372815778577501</v>
      </c>
      <c r="H218" s="6">
        <f t="shared" si="16"/>
        <v>-1.6805481549650603</v>
      </c>
    </row>
    <row r="219" spans="1:8" x14ac:dyDescent="0.3">
      <c r="A219" s="6">
        <v>3</v>
      </c>
      <c r="B219" s="6">
        <v>7</v>
      </c>
      <c r="C219" s="6">
        <v>1</v>
      </c>
      <c r="E219" s="6">
        <f>$L$4+$L$5*Student_Performance__28[[#This Row],[Hours Studied]]+$L$6*Student_Performance__28[[#This Row],[Sleep Hours]]</f>
        <v>-2.4134967976255917E-2</v>
      </c>
      <c r="F219" s="6">
        <f t="shared" si="14"/>
        <v>0.97615395134319904</v>
      </c>
      <c r="G219" s="6">
        <f t="shared" si="15"/>
        <v>0.49396655087509944</v>
      </c>
      <c r="H219" s="6">
        <f t="shared" si="16"/>
        <v>-0.70528747486584376</v>
      </c>
    </row>
    <row r="220" spans="1:8" x14ac:dyDescent="0.3">
      <c r="A220" s="6">
        <v>3</v>
      </c>
      <c r="B220" s="6">
        <v>4</v>
      </c>
      <c r="C220" s="6">
        <v>0</v>
      </c>
      <c r="E220" s="6">
        <f>$L$4+$L$5*Student_Performance__28[[#This Row],[Hours Studied]]+$L$6*Student_Performance__28[[#This Row],[Sleep Hours]]</f>
        <v>-0.46307791614794669</v>
      </c>
      <c r="F220" s="6">
        <f t="shared" si="14"/>
        <v>0.62934359456914024</v>
      </c>
      <c r="G220" s="6">
        <f t="shared" si="15"/>
        <v>0.38625591107169904</v>
      </c>
      <c r="H220" s="6">
        <f t="shared" si="16"/>
        <v>-0.48817723099383709</v>
      </c>
    </row>
    <row r="221" spans="1:8" x14ac:dyDescent="0.3">
      <c r="A221" s="6">
        <v>3</v>
      </c>
      <c r="B221" s="6">
        <v>4</v>
      </c>
      <c r="C221" s="6">
        <v>0</v>
      </c>
      <c r="E221" s="6">
        <f>$L$4+$L$5*Student_Performance__28[[#This Row],[Hours Studied]]+$L$6*Student_Performance__28[[#This Row],[Sleep Hours]]</f>
        <v>-0.46307791614794669</v>
      </c>
      <c r="F221" s="6">
        <f t="shared" si="14"/>
        <v>0.62934359456914024</v>
      </c>
      <c r="G221" s="6">
        <f t="shared" si="15"/>
        <v>0.38625591107169904</v>
      </c>
      <c r="H221" s="6">
        <f t="shared" si="16"/>
        <v>-0.48817723099383709</v>
      </c>
    </row>
    <row r="222" spans="1:8" x14ac:dyDescent="0.3">
      <c r="A222" s="6">
        <v>4</v>
      </c>
      <c r="B222" s="6">
        <v>6</v>
      </c>
      <c r="C222" s="6">
        <v>1</v>
      </c>
      <c r="E222" s="6">
        <f>$L$4+$L$5*Student_Performance__28[[#This Row],[Hours Studied]]+$L$6*Student_Performance__28[[#This Row],[Sleep Hours]]</f>
        <v>5.4924029238813787E-2</v>
      </c>
      <c r="F222" s="6">
        <f t="shared" si="14"/>
        <v>1.056460351529638</v>
      </c>
      <c r="G222" s="6">
        <f t="shared" si="15"/>
        <v>0.51372755654823155</v>
      </c>
      <c r="H222" s="6">
        <f t="shared" si="16"/>
        <v>-0.66606219967682168</v>
      </c>
    </row>
    <row r="223" spans="1:8" x14ac:dyDescent="0.3">
      <c r="A223" s="6">
        <v>8</v>
      </c>
      <c r="B223" s="6">
        <v>9</v>
      </c>
      <c r="C223" s="6">
        <v>1</v>
      </c>
      <c r="E223" s="6">
        <f>$L$4+$L$5*Student_Performance__28[[#This Row],[Hours Studied]]+$L$6*Student_Performance__28[[#This Row],[Sleep Hours]]</f>
        <v>1.3953602304997039</v>
      </c>
      <c r="F223" s="6">
        <f t="shared" si="14"/>
        <v>4.0364283553715152</v>
      </c>
      <c r="G223" s="6">
        <f t="shared" si="15"/>
        <v>0.80144659480096303</v>
      </c>
      <c r="H223" s="6">
        <f t="shared" si="16"/>
        <v>-0.22133694071712329</v>
      </c>
    </row>
    <row r="224" spans="1:8" x14ac:dyDescent="0.3">
      <c r="A224" s="6">
        <v>6</v>
      </c>
      <c r="B224" s="6">
        <v>4</v>
      </c>
      <c r="C224" s="6">
        <v>1</v>
      </c>
      <c r="E224" s="6">
        <f>$L$4+$L$5*Student_Performance__28[[#This Row],[Hours Studied]]+$L$6*Student_Performance__28[[#This Row],[Sleep Hours]]</f>
        <v>0.21304202366895286</v>
      </c>
      <c r="F224" s="6">
        <f t="shared" si="14"/>
        <v>1.2374366517791708</v>
      </c>
      <c r="G224" s="6">
        <f t="shared" si="15"/>
        <v>0.55305997190811307</v>
      </c>
      <c r="H224" s="6">
        <f t="shared" si="16"/>
        <v>-0.59228883504312502</v>
      </c>
    </row>
    <row r="225" spans="1:8" x14ac:dyDescent="0.3">
      <c r="A225" s="6">
        <v>8</v>
      </c>
      <c r="B225" s="6">
        <v>6</v>
      </c>
      <c r="C225" s="6">
        <v>1</v>
      </c>
      <c r="E225" s="6">
        <f>$L$4+$L$5*Student_Performance__28[[#This Row],[Hours Studied]]+$L$6*Student_Performance__28[[#This Row],[Sleep Hours]]</f>
        <v>0.95641728232801326</v>
      </c>
      <c r="F225" s="6">
        <f t="shared" si="14"/>
        <v>2.6023562440072392</v>
      </c>
      <c r="G225" s="6">
        <f t="shared" si="15"/>
        <v>0.72240391225505063</v>
      </c>
      <c r="H225" s="6">
        <f t="shared" si="16"/>
        <v>-0.32517086125857375</v>
      </c>
    </row>
    <row r="226" spans="1:8" x14ac:dyDescent="0.3">
      <c r="A226" s="6">
        <v>1</v>
      </c>
      <c r="B226" s="6">
        <v>6</v>
      </c>
      <c r="C226" s="6">
        <v>0</v>
      </c>
      <c r="E226" s="6">
        <f>$L$4+$L$5*Student_Performance__28[[#This Row],[Hours Studied]]+$L$6*Student_Performance__28[[#This Row],[Sleep Hours]]</f>
        <v>-0.62119591057808576</v>
      </c>
      <c r="F226" s="6">
        <f t="shared" si="14"/>
        <v>0.53730148868266403</v>
      </c>
      <c r="G226" s="6">
        <f t="shared" si="15"/>
        <v>0.34950950912243345</v>
      </c>
      <c r="H226" s="6">
        <f t="shared" si="16"/>
        <v>-0.4300285993108024</v>
      </c>
    </row>
    <row r="227" spans="1:8" x14ac:dyDescent="0.3">
      <c r="A227" s="6">
        <v>8</v>
      </c>
      <c r="B227" s="6">
        <v>5</v>
      </c>
      <c r="C227" s="6">
        <v>0</v>
      </c>
      <c r="E227" s="6">
        <f>$L$4+$L$5*Student_Performance__28[[#This Row],[Hours Studied]]+$L$6*Student_Performance__28[[#This Row],[Sleep Hours]]</f>
        <v>0.81010296627078293</v>
      </c>
      <c r="F227" s="6">
        <f t="shared" si="14"/>
        <v>2.2481394572955513</v>
      </c>
      <c r="G227" s="6">
        <f t="shared" si="15"/>
        <v>0.6921314453559162</v>
      </c>
      <c r="H227" s="6">
        <f t="shared" si="16"/>
        <v>-1.17808235773716</v>
      </c>
    </row>
    <row r="228" spans="1:8" x14ac:dyDescent="0.3">
      <c r="A228" s="6">
        <v>4</v>
      </c>
      <c r="B228" s="6">
        <v>5</v>
      </c>
      <c r="C228" s="6">
        <v>0</v>
      </c>
      <c r="E228" s="6">
        <f>$L$4+$L$5*Student_Performance__28[[#This Row],[Hours Studied]]+$L$6*Student_Performance__28[[#This Row],[Sleep Hours]]</f>
        <v>-9.1390286818416544E-2</v>
      </c>
      <c r="F228" s="6">
        <f t="shared" si="14"/>
        <v>0.91266144164983931</v>
      </c>
      <c r="G228" s="6">
        <f t="shared" si="15"/>
        <v>0.47716831728598463</v>
      </c>
      <c r="H228" s="6">
        <f t="shared" si="16"/>
        <v>-0.64849569709045463</v>
      </c>
    </row>
    <row r="229" spans="1:8" x14ac:dyDescent="0.3">
      <c r="A229" s="6">
        <v>1</v>
      </c>
      <c r="B229" s="6">
        <v>9</v>
      </c>
      <c r="C229" s="6">
        <v>1</v>
      </c>
      <c r="E229" s="6">
        <f>$L$4+$L$5*Student_Performance__28[[#This Row],[Hours Studied]]+$L$6*Student_Performance__28[[#This Row],[Sleep Hours]]</f>
        <v>-0.1822529624063951</v>
      </c>
      <c r="F229" s="6">
        <f t="shared" si="14"/>
        <v>0.83339049728350689</v>
      </c>
      <c r="G229" s="6">
        <f t="shared" si="15"/>
        <v>0.45456246147142287</v>
      </c>
      <c r="H229" s="6">
        <f t="shared" si="16"/>
        <v>-0.78841994582707242</v>
      </c>
    </row>
    <row r="230" spans="1:8" x14ac:dyDescent="0.3">
      <c r="A230" s="6">
        <v>8</v>
      </c>
      <c r="B230" s="6">
        <v>7</v>
      </c>
      <c r="C230" s="6">
        <v>1</v>
      </c>
      <c r="E230" s="6">
        <f>$L$4+$L$5*Student_Performance__28[[#This Row],[Hours Studied]]+$L$6*Student_Performance__28[[#This Row],[Sleep Hours]]</f>
        <v>1.1027315983852435</v>
      </c>
      <c r="F230" s="6">
        <f t="shared" si="14"/>
        <v>3.0123834172059332</v>
      </c>
      <c r="G230" s="6">
        <f t="shared" si="15"/>
        <v>0.7507715748919227</v>
      </c>
      <c r="H230" s="6">
        <f t="shared" si="16"/>
        <v>-0.28665383474684081</v>
      </c>
    </row>
    <row r="231" spans="1:8" x14ac:dyDescent="0.3">
      <c r="A231" s="6">
        <v>4</v>
      </c>
      <c r="B231" s="6">
        <v>8</v>
      </c>
      <c r="C231" s="6">
        <v>1</v>
      </c>
      <c r="E231" s="6">
        <f>$L$4+$L$5*Student_Performance__28[[#This Row],[Hours Studied]]+$L$6*Student_Performance__28[[#This Row],[Sleep Hours]]</f>
        <v>0.34755266135327423</v>
      </c>
      <c r="F231" s="6">
        <f t="shared" si="14"/>
        <v>1.4155988560032864</v>
      </c>
      <c r="G231" s="6">
        <f t="shared" si="15"/>
        <v>0.58602398013445678</v>
      </c>
      <c r="H231" s="6">
        <f t="shared" si="16"/>
        <v>-0.53439456851124068</v>
      </c>
    </row>
    <row r="232" spans="1:8" x14ac:dyDescent="0.3">
      <c r="A232" s="6">
        <v>6</v>
      </c>
      <c r="B232" s="6">
        <v>8</v>
      </c>
      <c r="C232" s="6">
        <v>1</v>
      </c>
      <c r="E232" s="6">
        <f>$L$4+$L$5*Student_Performance__28[[#This Row],[Hours Studied]]+$L$6*Student_Performance__28[[#This Row],[Sleep Hours]]</f>
        <v>0.79829928789787385</v>
      </c>
      <c r="F232" s="6">
        <f t="shared" si="14"/>
        <v>2.221759140879128</v>
      </c>
      <c r="G232" s="6">
        <f t="shared" si="15"/>
        <v>0.68961056482728622</v>
      </c>
      <c r="H232" s="6">
        <f t="shared" si="16"/>
        <v>-0.3716282395248241</v>
      </c>
    </row>
    <row r="233" spans="1:8" x14ac:dyDescent="0.3">
      <c r="A233" s="6">
        <v>8</v>
      </c>
      <c r="B233" s="6">
        <v>9</v>
      </c>
      <c r="C233" s="6">
        <v>1</v>
      </c>
      <c r="E233" s="6">
        <f>$L$4+$L$5*Student_Performance__28[[#This Row],[Hours Studied]]+$L$6*Student_Performance__28[[#This Row],[Sleep Hours]]</f>
        <v>1.3953602304997039</v>
      </c>
      <c r="F233" s="6">
        <f t="shared" si="14"/>
        <v>4.0364283553715152</v>
      </c>
      <c r="G233" s="6">
        <f t="shared" si="15"/>
        <v>0.80144659480096303</v>
      </c>
      <c r="H233" s="6">
        <f t="shared" si="16"/>
        <v>-0.22133694071712329</v>
      </c>
    </row>
    <row r="234" spans="1:8" x14ac:dyDescent="0.3">
      <c r="A234" s="6">
        <v>4</v>
      </c>
      <c r="B234" s="6">
        <v>6</v>
      </c>
      <c r="C234" s="6">
        <v>0</v>
      </c>
      <c r="E234" s="6">
        <f>$L$4+$L$5*Student_Performance__28[[#This Row],[Hours Studied]]+$L$6*Student_Performance__28[[#This Row],[Sleep Hours]]</f>
        <v>5.4924029238813787E-2</v>
      </c>
      <c r="F234" s="6">
        <f t="shared" si="14"/>
        <v>1.056460351529638</v>
      </c>
      <c r="G234" s="6">
        <f t="shared" si="15"/>
        <v>0.51372755654823155</v>
      </c>
      <c r="H234" s="6">
        <f t="shared" si="16"/>
        <v>-0.72098622891563591</v>
      </c>
    </row>
    <row r="235" spans="1:8" x14ac:dyDescent="0.3">
      <c r="A235" s="6">
        <v>3</v>
      </c>
      <c r="B235" s="6">
        <v>9</v>
      </c>
      <c r="C235" s="6">
        <v>1</v>
      </c>
      <c r="E235" s="6">
        <f>$L$4+$L$5*Student_Performance__28[[#This Row],[Hours Studied]]+$L$6*Student_Performance__28[[#This Row],[Sleep Hours]]</f>
        <v>0.26849366413820452</v>
      </c>
      <c r="F235" s="6">
        <f t="shared" si="14"/>
        <v>1.3079926897434107</v>
      </c>
      <c r="G235" s="6">
        <f t="shared" si="15"/>
        <v>0.56672306439966491</v>
      </c>
      <c r="H235" s="6">
        <f t="shared" si="16"/>
        <v>-0.56788451714709109</v>
      </c>
    </row>
    <row r="236" spans="1:8" x14ac:dyDescent="0.3">
      <c r="A236" s="6">
        <v>9</v>
      </c>
      <c r="B236" s="6">
        <v>8</v>
      </c>
      <c r="C236" s="6">
        <v>1</v>
      </c>
      <c r="E236" s="6">
        <f>$L$4+$L$5*Student_Performance__28[[#This Row],[Hours Studied]]+$L$6*Student_Performance__28[[#This Row],[Sleep Hours]]</f>
        <v>1.4744192277147736</v>
      </c>
      <c r="F236" s="6">
        <f t="shared" si="14"/>
        <v>4.368497933519838</v>
      </c>
      <c r="G236" s="6">
        <f t="shared" si="15"/>
        <v>0.81372815778577501</v>
      </c>
      <c r="H236" s="6">
        <f t="shared" si="16"/>
        <v>-0.20612892725028695</v>
      </c>
    </row>
    <row r="237" spans="1:8" x14ac:dyDescent="0.3">
      <c r="A237" s="6">
        <v>3</v>
      </c>
      <c r="B237" s="6">
        <v>6</v>
      </c>
      <c r="C237" s="6">
        <v>0</v>
      </c>
      <c r="E237" s="6">
        <f>$L$4+$L$5*Student_Performance__28[[#This Row],[Hours Studied]]+$L$6*Student_Performance__28[[#This Row],[Sleep Hours]]</f>
        <v>-0.17044928403348614</v>
      </c>
      <c r="F237" s="6">
        <f t="shared" si="14"/>
        <v>0.84328585660138511</v>
      </c>
      <c r="G237" s="6">
        <f t="shared" si="15"/>
        <v>0.45749054796971061</v>
      </c>
      <c r="H237" s="6">
        <f t="shared" si="16"/>
        <v>-0.61154977062199534</v>
      </c>
    </row>
    <row r="238" spans="1:8" x14ac:dyDescent="0.3">
      <c r="A238" s="6">
        <v>9</v>
      </c>
      <c r="B238" s="6">
        <v>8</v>
      </c>
      <c r="C238" s="6">
        <v>1</v>
      </c>
      <c r="E238" s="6">
        <f>$L$4+$L$5*Student_Performance__28[[#This Row],[Hours Studied]]+$L$6*Student_Performance__28[[#This Row],[Sleep Hours]]</f>
        <v>1.4744192277147736</v>
      </c>
      <c r="F238" s="6">
        <f t="shared" si="14"/>
        <v>4.368497933519838</v>
      </c>
      <c r="G238" s="6">
        <f t="shared" si="15"/>
        <v>0.81372815778577501</v>
      </c>
      <c r="H238" s="6">
        <f t="shared" si="16"/>
        <v>-0.20612892725028695</v>
      </c>
    </row>
    <row r="239" spans="1:8" x14ac:dyDescent="0.3">
      <c r="A239" s="6">
        <v>2</v>
      </c>
      <c r="B239" s="6">
        <v>7</v>
      </c>
      <c r="C239" s="6">
        <v>1</v>
      </c>
      <c r="E239" s="6">
        <f>$L$4+$L$5*Student_Performance__28[[#This Row],[Hours Studied]]+$L$6*Student_Performance__28[[#This Row],[Sleep Hours]]</f>
        <v>-0.24950828124855562</v>
      </c>
      <c r="F239" s="6">
        <f t="shared" si="14"/>
        <v>0.7791838281875958</v>
      </c>
      <c r="G239" s="6">
        <f t="shared" si="15"/>
        <v>0.43794453155598223</v>
      </c>
      <c r="H239" s="6">
        <f t="shared" si="16"/>
        <v>-0.82566301690839428</v>
      </c>
    </row>
    <row r="240" spans="1:8" x14ac:dyDescent="0.3">
      <c r="A240" s="6">
        <v>2</v>
      </c>
      <c r="B240" s="6">
        <v>5</v>
      </c>
      <c r="C240" s="6">
        <v>0</v>
      </c>
      <c r="E240" s="6">
        <f>$L$4+$L$5*Student_Performance__28[[#This Row],[Hours Studied]]+$L$6*Student_Performance__28[[#This Row],[Sleep Hours]]</f>
        <v>-0.54213691336301617</v>
      </c>
      <c r="F240" s="6">
        <f t="shared" si="14"/>
        <v>0.58150429942941784</v>
      </c>
      <c r="G240" s="6">
        <f t="shared" si="15"/>
        <v>0.36769062192193563</v>
      </c>
      <c r="H240" s="6">
        <f t="shared" si="16"/>
        <v>-0.45837648233680289</v>
      </c>
    </row>
    <row r="241" spans="1:8" x14ac:dyDescent="0.3">
      <c r="A241" s="6">
        <v>2</v>
      </c>
      <c r="B241" s="6">
        <v>5</v>
      </c>
      <c r="C241" s="6">
        <v>0</v>
      </c>
      <c r="E241" s="6">
        <f>$L$4+$L$5*Student_Performance__28[[#This Row],[Hours Studied]]+$L$6*Student_Performance__28[[#This Row],[Sleep Hours]]</f>
        <v>-0.54213691336301617</v>
      </c>
      <c r="F241" s="6">
        <f t="shared" si="14"/>
        <v>0.58150429942941784</v>
      </c>
      <c r="G241" s="6">
        <f t="shared" si="15"/>
        <v>0.36769062192193563</v>
      </c>
      <c r="H241" s="6">
        <f t="shared" si="16"/>
        <v>-0.45837648233680289</v>
      </c>
    </row>
    <row r="242" spans="1:8" x14ac:dyDescent="0.3">
      <c r="A242" s="6">
        <v>6</v>
      </c>
      <c r="B242" s="6">
        <v>6</v>
      </c>
      <c r="C242" s="6">
        <v>1</v>
      </c>
      <c r="E242" s="6">
        <f>$L$4+$L$5*Student_Performance__28[[#This Row],[Hours Studied]]+$L$6*Student_Performance__28[[#This Row],[Sleep Hours]]</f>
        <v>0.50567065578341341</v>
      </c>
      <c r="F242" s="6">
        <f t="shared" si="14"/>
        <v>1.6580971601052923</v>
      </c>
      <c r="G242" s="6">
        <f t="shared" si="15"/>
        <v>0.62379102802984521</v>
      </c>
      <c r="H242" s="6">
        <f t="shared" si="16"/>
        <v>-0.4719398576790278</v>
      </c>
    </row>
    <row r="243" spans="1:8" x14ac:dyDescent="0.3">
      <c r="A243" s="6">
        <v>3</v>
      </c>
      <c r="B243" s="6">
        <v>9</v>
      </c>
      <c r="C243" s="6">
        <v>0</v>
      </c>
      <c r="E243" s="6">
        <f>$L$4+$L$5*Student_Performance__28[[#This Row],[Hours Studied]]+$L$6*Student_Performance__28[[#This Row],[Sleep Hours]]</f>
        <v>0.26849366413820452</v>
      </c>
      <c r="F243" s="6">
        <f t="shared" si="14"/>
        <v>1.3079926897434107</v>
      </c>
      <c r="G243" s="6">
        <f t="shared" si="15"/>
        <v>0.56672306439966491</v>
      </c>
      <c r="H243" s="6">
        <f t="shared" si="16"/>
        <v>-0.83637818128529584</v>
      </c>
    </row>
    <row r="244" spans="1:8" x14ac:dyDescent="0.3">
      <c r="A244" s="6">
        <v>9</v>
      </c>
      <c r="B244" s="6">
        <v>8</v>
      </c>
      <c r="C244" s="6">
        <v>1</v>
      </c>
      <c r="E244" s="6">
        <f>$L$4+$L$5*Student_Performance__28[[#This Row],[Hours Studied]]+$L$6*Student_Performance__28[[#This Row],[Sleep Hours]]</f>
        <v>1.4744192277147736</v>
      </c>
      <c r="F244" s="6">
        <f t="shared" si="14"/>
        <v>4.368497933519838</v>
      </c>
      <c r="G244" s="6">
        <f t="shared" si="15"/>
        <v>0.81372815778577501</v>
      </c>
      <c r="H244" s="6">
        <f t="shared" si="16"/>
        <v>-0.20612892725028695</v>
      </c>
    </row>
    <row r="245" spans="1:8" x14ac:dyDescent="0.3">
      <c r="A245" s="6">
        <v>4</v>
      </c>
      <c r="B245" s="6">
        <v>4</v>
      </c>
      <c r="C245" s="6">
        <v>0</v>
      </c>
      <c r="E245" s="6">
        <f>$L$4+$L$5*Student_Performance__28[[#This Row],[Hours Studied]]+$L$6*Student_Performance__28[[#This Row],[Sleep Hours]]</f>
        <v>-0.23770460287564676</v>
      </c>
      <c r="F245" s="6">
        <f t="shared" si="14"/>
        <v>0.78843555829458445</v>
      </c>
      <c r="G245" s="6">
        <f t="shared" si="15"/>
        <v>0.44085209256654484</v>
      </c>
      <c r="H245" s="6">
        <f t="shared" si="16"/>
        <v>-0.58134124792135389</v>
      </c>
    </row>
    <row r="246" spans="1:8" x14ac:dyDescent="0.3">
      <c r="A246" s="6">
        <v>1</v>
      </c>
      <c r="B246" s="6">
        <v>7</v>
      </c>
      <c r="C246" s="6">
        <v>0</v>
      </c>
      <c r="E246" s="6">
        <f>$L$4+$L$5*Student_Performance__28[[#This Row],[Hours Studied]]+$L$6*Student_Performance__28[[#This Row],[Sleep Hours]]</f>
        <v>-0.47488159452085554</v>
      </c>
      <c r="F246" s="6">
        <f t="shared" si="14"/>
        <v>0.62195869542264559</v>
      </c>
      <c r="G246" s="6">
        <f t="shared" si="15"/>
        <v>0.38346148837074878</v>
      </c>
      <c r="H246" s="6">
        <f t="shared" si="16"/>
        <v>-0.48363449015482529</v>
      </c>
    </row>
    <row r="247" spans="1:8" x14ac:dyDescent="0.3">
      <c r="A247" s="6">
        <v>4</v>
      </c>
      <c r="B247" s="6">
        <v>8</v>
      </c>
      <c r="C247" s="6">
        <v>1</v>
      </c>
      <c r="E247" s="6">
        <f>$L$4+$L$5*Student_Performance__28[[#This Row],[Hours Studied]]+$L$6*Student_Performance__28[[#This Row],[Sleep Hours]]</f>
        <v>0.34755266135327423</v>
      </c>
      <c r="F247" s="6">
        <f t="shared" si="14"/>
        <v>1.4155988560032864</v>
      </c>
      <c r="G247" s="6">
        <f t="shared" si="15"/>
        <v>0.58602398013445678</v>
      </c>
      <c r="H247" s="6">
        <f t="shared" si="16"/>
        <v>-0.53439456851124068</v>
      </c>
    </row>
    <row r="248" spans="1:8" x14ac:dyDescent="0.3">
      <c r="A248" s="6">
        <v>1</v>
      </c>
      <c r="B248" s="6">
        <v>4</v>
      </c>
      <c r="C248" s="6">
        <v>0</v>
      </c>
      <c r="E248" s="6">
        <f>$L$4+$L$5*Student_Performance__28[[#This Row],[Hours Studied]]+$L$6*Student_Performance__28[[#This Row],[Sleep Hours]]</f>
        <v>-0.91382454269254632</v>
      </c>
      <c r="F248" s="6">
        <f t="shared" si="14"/>
        <v>0.40098769309104837</v>
      </c>
      <c r="G248" s="6">
        <f t="shared" si="15"/>
        <v>0.28621785549474399</v>
      </c>
      <c r="H248" s="6">
        <f t="shared" si="16"/>
        <v>-0.33717748294158933</v>
      </c>
    </row>
    <row r="249" spans="1:8" x14ac:dyDescent="0.3">
      <c r="A249" s="6">
        <v>5</v>
      </c>
      <c r="B249" s="6">
        <v>7</v>
      </c>
      <c r="C249" s="6">
        <v>1</v>
      </c>
      <c r="E249" s="6">
        <f>$L$4+$L$5*Student_Performance__28[[#This Row],[Hours Studied]]+$L$6*Student_Performance__28[[#This Row],[Sleep Hours]]</f>
        <v>0.42661165856834393</v>
      </c>
      <c r="F249" s="6">
        <f t="shared" si="14"/>
        <v>1.5320575847491342</v>
      </c>
      <c r="G249" s="6">
        <f t="shared" si="15"/>
        <v>0.60506427420011621</v>
      </c>
      <c r="H249" s="6">
        <f t="shared" si="16"/>
        <v>-0.50242058824688962</v>
      </c>
    </row>
    <row r="250" spans="1:8" x14ac:dyDescent="0.3">
      <c r="A250" s="6">
        <v>4</v>
      </c>
      <c r="B250" s="6">
        <v>7</v>
      </c>
      <c r="C250" s="6">
        <v>0</v>
      </c>
      <c r="E250" s="6">
        <f>$L$4+$L$5*Student_Performance__28[[#This Row],[Hours Studied]]+$L$6*Student_Performance__28[[#This Row],[Sleep Hours]]</f>
        <v>0.20123834529604401</v>
      </c>
      <c r="F250" s="6">
        <f t="shared" si="14"/>
        <v>1.2229162134170048</v>
      </c>
      <c r="G250" s="6">
        <f t="shared" si="15"/>
        <v>0.55014048934267845</v>
      </c>
      <c r="H250" s="6">
        <f t="shared" si="16"/>
        <v>-0.79881994350116647</v>
      </c>
    </row>
    <row r="251" spans="1:8" x14ac:dyDescent="0.3">
      <c r="A251" s="6">
        <v>8</v>
      </c>
      <c r="B251" s="6">
        <v>5</v>
      </c>
      <c r="C251" s="6">
        <v>1</v>
      </c>
      <c r="E251" s="6">
        <f>$L$4+$L$5*Student_Performance__28[[#This Row],[Hours Studied]]+$L$6*Student_Performance__28[[#This Row],[Sleep Hours]]</f>
        <v>0.81010296627078293</v>
      </c>
      <c r="F251" s="6">
        <f t="shared" si="14"/>
        <v>2.2481394572955513</v>
      </c>
      <c r="G251" s="6">
        <f t="shared" si="15"/>
        <v>0.6921314453559162</v>
      </c>
      <c r="H251" s="6">
        <f t="shared" si="16"/>
        <v>-0.36797939146637737</v>
      </c>
    </row>
    <row r="252" spans="1:8" x14ac:dyDescent="0.3">
      <c r="A252" s="6">
        <v>8</v>
      </c>
      <c r="B252" s="6">
        <v>6</v>
      </c>
      <c r="C252" s="6">
        <v>0</v>
      </c>
      <c r="E252" s="6">
        <f>$L$4+$L$5*Student_Performance__28[[#This Row],[Hours Studied]]+$L$6*Student_Performance__28[[#This Row],[Sleep Hours]]</f>
        <v>0.95641728232801326</v>
      </c>
      <c r="F252" s="6">
        <f t="shared" si="14"/>
        <v>2.6023562440072392</v>
      </c>
      <c r="G252" s="6">
        <f t="shared" si="15"/>
        <v>0.72240391225505063</v>
      </c>
      <c r="H252" s="6">
        <f t="shared" si="16"/>
        <v>-1.2815881435865872</v>
      </c>
    </row>
    <row r="253" spans="1:8" x14ac:dyDescent="0.3">
      <c r="A253" s="6">
        <v>7</v>
      </c>
      <c r="B253" s="6">
        <v>8</v>
      </c>
      <c r="C253" s="6">
        <v>0</v>
      </c>
      <c r="E253" s="6">
        <f>$L$4+$L$5*Student_Performance__28[[#This Row],[Hours Studied]]+$L$6*Student_Performance__28[[#This Row],[Sleep Hours]]</f>
        <v>1.0236726011701738</v>
      </c>
      <c r="F253" s="6">
        <f t="shared" si="14"/>
        <v>2.7833983276406995</v>
      </c>
      <c r="G253" s="6">
        <f t="shared" si="15"/>
        <v>0.73568736003972568</v>
      </c>
      <c r="H253" s="6">
        <f t="shared" si="16"/>
        <v>-1.3306226342238217</v>
      </c>
    </row>
    <row r="254" spans="1:8" x14ac:dyDescent="0.3">
      <c r="A254" s="6">
        <v>3</v>
      </c>
      <c r="B254" s="6">
        <v>7</v>
      </c>
      <c r="C254" s="6">
        <v>1</v>
      </c>
      <c r="E254" s="6">
        <f>$L$4+$L$5*Student_Performance__28[[#This Row],[Hours Studied]]+$L$6*Student_Performance__28[[#This Row],[Sleep Hours]]</f>
        <v>-2.4134967976255917E-2</v>
      </c>
      <c r="F254" s="6">
        <f t="shared" si="14"/>
        <v>0.97615395134319904</v>
      </c>
      <c r="G254" s="6">
        <f t="shared" si="15"/>
        <v>0.49396655087509944</v>
      </c>
      <c r="H254" s="6">
        <f t="shared" si="16"/>
        <v>-0.70528747486584376</v>
      </c>
    </row>
    <row r="255" spans="1:8" x14ac:dyDescent="0.3">
      <c r="A255" s="6">
        <v>1</v>
      </c>
      <c r="B255" s="6">
        <v>8</v>
      </c>
      <c r="C255" s="6">
        <v>1</v>
      </c>
      <c r="E255" s="6">
        <f>$L$4+$L$5*Student_Performance__28[[#This Row],[Hours Studied]]+$L$6*Student_Performance__28[[#This Row],[Sleep Hours]]</f>
        <v>-0.32856727846362532</v>
      </c>
      <c r="F255" s="6">
        <f t="shared" si="14"/>
        <v>0.7199544891644748</v>
      </c>
      <c r="G255" s="6">
        <f t="shared" si="15"/>
        <v>0.41858926715800293</v>
      </c>
      <c r="H255" s="6">
        <f t="shared" si="16"/>
        <v>-0.8708651091508246</v>
      </c>
    </row>
    <row r="256" spans="1:8" x14ac:dyDescent="0.3">
      <c r="A256" s="6">
        <v>1</v>
      </c>
      <c r="B256" s="6">
        <v>7</v>
      </c>
      <c r="C256" s="6">
        <v>0</v>
      </c>
      <c r="E256" s="6">
        <f>$L$4+$L$5*Student_Performance__28[[#This Row],[Hours Studied]]+$L$6*Student_Performance__28[[#This Row],[Sleep Hours]]</f>
        <v>-0.47488159452085554</v>
      </c>
      <c r="F256" s="6">
        <f t="shared" si="14"/>
        <v>0.62195869542264559</v>
      </c>
      <c r="G256" s="6">
        <f t="shared" si="15"/>
        <v>0.38346148837074878</v>
      </c>
      <c r="H256" s="6">
        <f t="shared" si="16"/>
        <v>-0.48363449015482529</v>
      </c>
    </row>
    <row r="257" spans="1:8" x14ac:dyDescent="0.3">
      <c r="A257" s="6">
        <v>3</v>
      </c>
      <c r="B257" s="6">
        <v>9</v>
      </c>
      <c r="C257" s="6">
        <v>0</v>
      </c>
      <c r="E257" s="6">
        <f>$L$4+$L$5*Student_Performance__28[[#This Row],[Hours Studied]]+$L$6*Student_Performance__28[[#This Row],[Sleep Hours]]</f>
        <v>0.26849366413820452</v>
      </c>
      <c r="F257" s="6">
        <f t="shared" si="14"/>
        <v>1.3079926897434107</v>
      </c>
      <c r="G257" s="6">
        <f t="shared" si="15"/>
        <v>0.56672306439966491</v>
      </c>
      <c r="H257" s="6">
        <f t="shared" si="16"/>
        <v>-0.83637818128529584</v>
      </c>
    </row>
    <row r="258" spans="1:8" x14ac:dyDescent="0.3">
      <c r="A258" s="6">
        <v>6</v>
      </c>
      <c r="B258" s="6">
        <v>5</v>
      </c>
      <c r="C258" s="6">
        <v>1</v>
      </c>
      <c r="E258" s="6">
        <f>$L$4+$L$5*Student_Performance__28[[#This Row],[Hours Studied]]+$L$6*Student_Performance__28[[#This Row],[Sleep Hours]]</f>
        <v>0.35935633972618308</v>
      </c>
      <c r="F258" s="6">
        <f t="shared" si="14"/>
        <v>1.4324071342063487</v>
      </c>
      <c r="G258" s="6">
        <f t="shared" si="15"/>
        <v>0.58888461313188745</v>
      </c>
      <c r="H258" s="6">
        <f t="shared" si="16"/>
        <v>-0.52952501752393877</v>
      </c>
    </row>
    <row r="259" spans="1:8" x14ac:dyDescent="0.3">
      <c r="A259" s="6">
        <v>7</v>
      </c>
      <c r="B259" s="6">
        <v>6</v>
      </c>
      <c r="C259" s="6">
        <v>0</v>
      </c>
      <c r="E259" s="6">
        <f>$L$4+$L$5*Student_Performance__28[[#This Row],[Hours Studied]]+$L$6*Student_Performance__28[[#This Row],[Sleep Hours]]</f>
        <v>0.73104396905571334</v>
      </c>
      <c r="F259" s="6">
        <f t="shared" ref="F259:F322" si="17">EXP(E259)</f>
        <v>2.077248058795742</v>
      </c>
      <c r="G259" s="6">
        <f t="shared" ref="G259:G322" si="18">F259/(1+F259)</f>
        <v>0.67503432258517937</v>
      </c>
      <c r="H259" s="6">
        <f t="shared" ref="H259:H322" si="19">C259*LN(G259)+(1-C259)*LN(1-G259)</f>
        <v>-1.1240357101837102</v>
      </c>
    </row>
    <row r="260" spans="1:8" x14ac:dyDescent="0.3">
      <c r="A260" s="6">
        <v>6</v>
      </c>
      <c r="B260" s="6">
        <v>4</v>
      </c>
      <c r="C260" s="6">
        <v>1</v>
      </c>
      <c r="E260" s="6">
        <f>$L$4+$L$5*Student_Performance__28[[#This Row],[Hours Studied]]+$L$6*Student_Performance__28[[#This Row],[Sleep Hours]]</f>
        <v>0.21304202366895286</v>
      </c>
      <c r="F260" s="6">
        <f t="shared" si="17"/>
        <v>1.2374366517791708</v>
      </c>
      <c r="G260" s="6">
        <f t="shared" si="18"/>
        <v>0.55305997190811307</v>
      </c>
      <c r="H260" s="6">
        <f t="shared" si="19"/>
        <v>-0.59228883504312502</v>
      </c>
    </row>
    <row r="261" spans="1:8" x14ac:dyDescent="0.3">
      <c r="A261" s="6">
        <v>6</v>
      </c>
      <c r="B261" s="6">
        <v>4</v>
      </c>
      <c r="C261" s="6">
        <v>1</v>
      </c>
      <c r="E261" s="6">
        <f>$L$4+$L$5*Student_Performance__28[[#This Row],[Hours Studied]]+$L$6*Student_Performance__28[[#This Row],[Sleep Hours]]</f>
        <v>0.21304202366895286</v>
      </c>
      <c r="F261" s="6">
        <f t="shared" si="17"/>
        <v>1.2374366517791708</v>
      </c>
      <c r="G261" s="6">
        <f t="shared" si="18"/>
        <v>0.55305997190811307</v>
      </c>
      <c r="H261" s="6">
        <f t="shared" si="19"/>
        <v>-0.59228883504312502</v>
      </c>
    </row>
    <row r="262" spans="1:8" x14ac:dyDescent="0.3">
      <c r="A262" s="6">
        <v>6</v>
      </c>
      <c r="B262" s="6">
        <v>9</v>
      </c>
      <c r="C262" s="6">
        <v>1</v>
      </c>
      <c r="E262" s="6">
        <f>$L$4+$L$5*Student_Performance__28[[#This Row],[Hours Studied]]+$L$6*Student_Performance__28[[#This Row],[Sleep Hours]]</f>
        <v>0.94461360395510408</v>
      </c>
      <c r="F262" s="6">
        <f t="shared" si="17"/>
        <v>2.5718194457128165</v>
      </c>
      <c r="G262" s="6">
        <f t="shared" si="18"/>
        <v>0.72003064119036586</v>
      </c>
      <c r="H262" s="6">
        <f t="shared" si="19"/>
        <v>-0.32846151066872692</v>
      </c>
    </row>
    <row r="263" spans="1:8" x14ac:dyDescent="0.3">
      <c r="A263" s="6">
        <v>3</v>
      </c>
      <c r="B263" s="6">
        <v>5</v>
      </c>
      <c r="C263" s="6">
        <v>0</v>
      </c>
      <c r="E263" s="6">
        <f>$L$4+$L$5*Student_Performance__28[[#This Row],[Hours Studied]]+$L$6*Student_Performance__28[[#This Row],[Sleep Hours]]</f>
        <v>-0.31676360009071647</v>
      </c>
      <c r="F263" s="6">
        <f t="shared" si="17"/>
        <v>0.72850295280309751</v>
      </c>
      <c r="G263" s="6">
        <f t="shared" si="18"/>
        <v>0.42146468516104696</v>
      </c>
      <c r="H263" s="6">
        <f t="shared" si="19"/>
        <v>-0.54725568868187102</v>
      </c>
    </row>
    <row r="264" spans="1:8" x14ac:dyDescent="0.3">
      <c r="A264" s="6">
        <v>6</v>
      </c>
      <c r="B264" s="6">
        <v>7</v>
      </c>
      <c r="C264" s="6">
        <v>1</v>
      </c>
      <c r="E264" s="6">
        <f>$L$4+$L$5*Student_Performance__28[[#This Row],[Hours Studied]]+$L$6*Student_Performance__28[[#This Row],[Sleep Hours]]</f>
        <v>0.65198497184064363</v>
      </c>
      <c r="F264" s="6">
        <f t="shared" si="17"/>
        <v>1.9193468998411038</v>
      </c>
      <c r="G264" s="6">
        <f t="shared" si="18"/>
        <v>0.65745763202912655</v>
      </c>
      <c r="H264" s="6">
        <f t="shared" si="19"/>
        <v>-0.41937495498494792</v>
      </c>
    </row>
    <row r="265" spans="1:8" x14ac:dyDescent="0.3">
      <c r="A265" s="6">
        <v>8</v>
      </c>
      <c r="B265" s="6">
        <v>5</v>
      </c>
      <c r="C265" s="6">
        <v>1</v>
      </c>
      <c r="E265" s="6">
        <f>$L$4+$L$5*Student_Performance__28[[#This Row],[Hours Studied]]+$L$6*Student_Performance__28[[#This Row],[Sleep Hours]]</f>
        <v>0.81010296627078293</v>
      </c>
      <c r="F265" s="6">
        <f t="shared" si="17"/>
        <v>2.2481394572955513</v>
      </c>
      <c r="G265" s="6">
        <f t="shared" si="18"/>
        <v>0.6921314453559162</v>
      </c>
      <c r="H265" s="6">
        <f t="shared" si="19"/>
        <v>-0.36797939146637737</v>
      </c>
    </row>
    <row r="266" spans="1:8" x14ac:dyDescent="0.3">
      <c r="A266" s="6">
        <v>2</v>
      </c>
      <c r="B266" s="6">
        <v>6</v>
      </c>
      <c r="C266" s="6">
        <v>0</v>
      </c>
      <c r="E266" s="6">
        <f>$L$4+$L$5*Student_Performance__28[[#This Row],[Hours Studied]]+$L$6*Student_Performance__28[[#This Row],[Sleep Hours]]</f>
        <v>-0.39582259730578584</v>
      </c>
      <c r="F266" s="6">
        <f t="shared" si="17"/>
        <v>0.67312609972943394</v>
      </c>
      <c r="G266" s="6">
        <f t="shared" si="18"/>
        <v>0.40231641825340425</v>
      </c>
      <c r="H266" s="6">
        <f t="shared" si="19"/>
        <v>-0.51469379258292292</v>
      </c>
    </row>
    <row r="267" spans="1:8" x14ac:dyDescent="0.3">
      <c r="A267" s="6">
        <v>5</v>
      </c>
      <c r="B267" s="6">
        <v>4</v>
      </c>
      <c r="C267" s="6">
        <v>1</v>
      </c>
      <c r="E267" s="6">
        <f>$L$4+$L$5*Student_Performance__28[[#This Row],[Hours Studied]]+$L$6*Student_Performance__28[[#This Row],[Sleep Hours]]</f>
        <v>-1.233128960334684E-2</v>
      </c>
      <c r="F267" s="6">
        <f t="shared" si="17"/>
        <v>0.98774442919193028</v>
      </c>
      <c r="G267" s="6">
        <f t="shared" si="18"/>
        <v>0.49691721666324784</v>
      </c>
      <c r="H267" s="6">
        <f t="shared" si="19"/>
        <v>-0.69933183282910061</v>
      </c>
    </row>
    <row r="268" spans="1:8" x14ac:dyDescent="0.3">
      <c r="A268" s="6">
        <v>1</v>
      </c>
      <c r="B268" s="6">
        <v>8</v>
      </c>
      <c r="C268" s="6">
        <v>1</v>
      </c>
      <c r="E268" s="6">
        <f>$L$4+$L$5*Student_Performance__28[[#This Row],[Hours Studied]]+$L$6*Student_Performance__28[[#This Row],[Sleep Hours]]</f>
        <v>-0.32856727846362532</v>
      </c>
      <c r="F268" s="6">
        <f t="shared" si="17"/>
        <v>0.7199544891644748</v>
      </c>
      <c r="G268" s="6">
        <f t="shared" si="18"/>
        <v>0.41858926715800293</v>
      </c>
      <c r="H268" s="6">
        <f t="shared" si="19"/>
        <v>-0.8708651091508246</v>
      </c>
    </row>
    <row r="269" spans="1:8" x14ac:dyDescent="0.3">
      <c r="A269" s="6">
        <v>1</v>
      </c>
      <c r="B269" s="6">
        <v>4</v>
      </c>
      <c r="C269" s="6">
        <v>1</v>
      </c>
      <c r="E269" s="6">
        <f>$L$4+$L$5*Student_Performance__28[[#This Row],[Hours Studied]]+$L$6*Student_Performance__28[[#This Row],[Sleep Hours]]</f>
        <v>-0.91382454269254632</v>
      </c>
      <c r="F269" s="6">
        <f t="shared" si="17"/>
        <v>0.40098769309104837</v>
      </c>
      <c r="G269" s="6">
        <f t="shared" si="18"/>
        <v>0.28621785549474399</v>
      </c>
      <c r="H269" s="6">
        <f t="shared" si="19"/>
        <v>-1.2510020256341354</v>
      </c>
    </row>
    <row r="270" spans="1:8" x14ac:dyDescent="0.3">
      <c r="A270" s="6">
        <v>5</v>
      </c>
      <c r="B270" s="6">
        <v>6</v>
      </c>
      <c r="C270" s="6">
        <v>0</v>
      </c>
      <c r="E270" s="6">
        <f>$L$4+$L$5*Student_Performance__28[[#This Row],[Hours Studied]]+$L$6*Student_Performance__28[[#This Row],[Sleep Hours]]</f>
        <v>0.28029734251111371</v>
      </c>
      <c r="F270" s="6">
        <f t="shared" si="17"/>
        <v>1.3235232935748173</v>
      </c>
      <c r="G270" s="6">
        <f t="shared" si="18"/>
        <v>0.56961911990928782</v>
      </c>
      <c r="H270" s="6">
        <f t="shared" si="19"/>
        <v>-0.8430846947023779</v>
      </c>
    </row>
    <row r="271" spans="1:8" x14ac:dyDescent="0.3">
      <c r="A271" s="6">
        <v>3</v>
      </c>
      <c r="B271" s="6">
        <v>7</v>
      </c>
      <c r="C271" s="6">
        <v>1</v>
      </c>
      <c r="E271" s="6">
        <f>$L$4+$L$5*Student_Performance__28[[#This Row],[Hours Studied]]+$L$6*Student_Performance__28[[#This Row],[Sleep Hours]]</f>
        <v>-2.4134967976255917E-2</v>
      </c>
      <c r="F271" s="6">
        <f t="shared" si="17"/>
        <v>0.97615395134319904</v>
      </c>
      <c r="G271" s="6">
        <f t="shared" si="18"/>
        <v>0.49396655087509944</v>
      </c>
      <c r="H271" s="6">
        <f t="shared" si="19"/>
        <v>-0.70528747486584376</v>
      </c>
    </row>
    <row r="272" spans="1:8" x14ac:dyDescent="0.3">
      <c r="A272" s="6">
        <v>4</v>
      </c>
      <c r="B272" s="6">
        <v>5</v>
      </c>
      <c r="C272" s="6">
        <v>0</v>
      </c>
      <c r="E272" s="6">
        <f>$L$4+$L$5*Student_Performance__28[[#This Row],[Hours Studied]]+$L$6*Student_Performance__28[[#This Row],[Sleep Hours]]</f>
        <v>-9.1390286818416544E-2</v>
      </c>
      <c r="F272" s="6">
        <f t="shared" si="17"/>
        <v>0.91266144164983931</v>
      </c>
      <c r="G272" s="6">
        <f t="shared" si="18"/>
        <v>0.47716831728598463</v>
      </c>
      <c r="H272" s="6">
        <f t="shared" si="19"/>
        <v>-0.64849569709045463</v>
      </c>
    </row>
    <row r="273" spans="1:8" x14ac:dyDescent="0.3">
      <c r="A273" s="6">
        <v>3</v>
      </c>
      <c r="B273" s="6">
        <v>4</v>
      </c>
      <c r="C273" s="6">
        <v>0</v>
      </c>
      <c r="E273" s="6">
        <f>$L$4+$L$5*Student_Performance__28[[#This Row],[Hours Studied]]+$L$6*Student_Performance__28[[#This Row],[Sleep Hours]]</f>
        <v>-0.46307791614794669</v>
      </c>
      <c r="F273" s="6">
        <f t="shared" si="17"/>
        <v>0.62934359456914024</v>
      </c>
      <c r="G273" s="6">
        <f t="shared" si="18"/>
        <v>0.38625591107169904</v>
      </c>
      <c r="H273" s="6">
        <f t="shared" si="19"/>
        <v>-0.48817723099383709</v>
      </c>
    </row>
    <row r="274" spans="1:8" x14ac:dyDescent="0.3">
      <c r="A274" s="6">
        <v>1</v>
      </c>
      <c r="B274" s="6">
        <v>4</v>
      </c>
      <c r="C274" s="6">
        <v>0</v>
      </c>
      <c r="E274" s="6">
        <f>$L$4+$L$5*Student_Performance__28[[#This Row],[Hours Studied]]+$L$6*Student_Performance__28[[#This Row],[Sleep Hours]]</f>
        <v>-0.91382454269254632</v>
      </c>
      <c r="F274" s="6">
        <f t="shared" si="17"/>
        <v>0.40098769309104837</v>
      </c>
      <c r="G274" s="6">
        <f t="shared" si="18"/>
        <v>0.28621785549474399</v>
      </c>
      <c r="H274" s="6">
        <f t="shared" si="19"/>
        <v>-0.33717748294158933</v>
      </c>
    </row>
    <row r="275" spans="1:8" x14ac:dyDescent="0.3">
      <c r="A275" s="6">
        <v>1</v>
      </c>
      <c r="B275" s="6">
        <v>8</v>
      </c>
      <c r="C275" s="6">
        <v>1</v>
      </c>
      <c r="E275" s="6">
        <f>$L$4+$L$5*Student_Performance__28[[#This Row],[Hours Studied]]+$L$6*Student_Performance__28[[#This Row],[Sleep Hours]]</f>
        <v>-0.32856727846362532</v>
      </c>
      <c r="F275" s="6">
        <f t="shared" si="17"/>
        <v>0.7199544891644748</v>
      </c>
      <c r="G275" s="6">
        <f t="shared" si="18"/>
        <v>0.41858926715800293</v>
      </c>
      <c r="H275" s="6">
        <f t="shared" si="19"/>
        <v>-0.8708651091508246</v>
      </c>
    </row>
    <row r="276" spans="1:8" x14ac:dyDescent="0.3">
      <c r="A276" s="6">
        <v>5</v>
      </c>
      <c r="B276" s="6">
        <v>5</v>
      </c>
      <c r="C276" s="6">
        <v>0</v>
      </c>
      <c r="E276" s="6">
        <f>$L$4+$L$5*Student_Performance__28[[#This Row],[Hours Studied]]+$L$6*Student_Performance__28[[#This Row],[Sleep Hours]]</f>
        <v>0.13398302645388338</v>
      </c>
      <c r="F276" s="6">
        <f t="shared" si="17"/>
        <v>1.1433734123785988</v>
      </c>
      <c r="G276" s="6">
        <f t="shared" si="18"/>
        <v>0.53344573828120101</v>
      </c>
      <c r="H276" s="6">
        <f t="shared" si="19"/>
        <v>-0.76238094880562191</v>
      </c>
    </row>
    <row r="277" spans="1:8" x14ac:dyDescent="0.3">
      <c r="A277" s="6">
        <v>6</v>
      </c>
      <c r="B277" s="6">
        <v>8</v>
      </c>
      <c r="C277" s="6">
        <v>0</v>
      </c>
      <c r="E277" s="6">
        <f>$L$4+$L$5*Student_Performance__28[[#This Row],[Hours Studied]]+$L$6*Student_Performance__28[[#This Row],[Sleep Hours]]</f>
        <v>0.79829928789787385</v>
      </c>
      <c r="F277" s="6">
        <f t="shared" si="17"/>
        <v>2.221759140879128</v>
      </c>
      <c r="G277" s="6">
        <f t="shared" si="18"/>
        <v>0.68961056482728622</v>
      </c>
      <c r="H277" s="6">
        <f t="shared" si="19"/>
        <v>-1.1699275274226979</v>
      </c>
    </row>
    <row r="278" spans="1:8" x14ac:dyDescent="0.3">
      <c r="A278" s="6">
        <v>3</v>
      </c>
      <c r="B278" s="6">
        <v>8</v>
      </c>
      <c r="C278" s="6">
        <v>0</v>
      </c>
      <c r="E278" s="6">
        <f>$L$4+$L$5*Student_Performance__28[[#This Row],[Hours Studied]]+$L$6*Student_Performance__28[[#This Row],[Sleep Hours]]</f>
        <v>0.1221793480809743</v>
      </c>
      <c r="F278" s="6">
        <f t="shared" si="17"/>
        <v>1.1299567391812171</v>
      </c>
      <c r="G278" s="6">
        <f t="shared" si="18"/>
        <v>0.53050689640559889</v>
      </c>
      <c r="H278" s="6">
        <f t="shared" si="19"/>
        <v>-0.75610166927151801</v>
      </c>
    </row>
    <row r="279" spans="1:8" x14ac:dyDescent="0.3">
      <c r="A279" s="6">
        <v>9</v>
      </c>
      <c r="B279" s="6">
        <v>7</v>
      </c>
      <c r="C279" s="6">
        <v>1</v>
      </c>
      <c r="E279" s="6">
        <f>$L$4+$L$5*Student_Performance__28[[#This Row],[Hours Studied]]+$L$6*Student_Performance__28[[#This Row],[Sleep Hours]]</f>
        <v>1.3281049116575434</v>
      </c>
      <c r="F279" s="6">
        <f t="shared" si="17"/>
        <v>3.7738847615794402</v>
      </c>
      <c r="G279" s="6">
        <f t="shared" si="18"/>
        <v>0.79052699217876599</v>
      </c>
      <c r="H279" s="6">
        <f t="shared" si="19"/>
        <v>-0.23505547721187284</v>
      </c>
    </row>
    <row r="280" spans="1:8" x14ac:dyDescent="0.3">
      <c r="A280" s="6">
        <v>5</v>
      </c>
      <c r="B280" s="6">
        <v>4</v>
      </c>
      <c r="C280" s="6">
        <v>1</v>
      </c>
      <c r="E280" s="6">
        <f>$L$4+$L$5*Student_Performance__28[[#This Row],[Hours Studied]]+$L$6*Student_Performance__28[[#This Row],[Sleep Hours]]</f>
        <v>-1.233128960334684E-2</v>
      </c>
      <c r="F280" s="6">
        <f t="shared" si="17"/>
        <v>0.98774442919193028</v>
      </c>
      <c r="G280" s="6">
        <f t="shared" si="18"/>
        <v>0.49691721666324784</v>
      </c>
      <c r="H280" s="6">
        <f t="shared" si="19"/>
        <v>-0.69933183282910061</v>
      </c>
    </row>
    <row r="281" spans="1:8" x14ac:dyDescent="0.3">
      <c r="A281" s="6">
        <v>8</v>
      </c>
      <c r="B281" s="6">
        <v>9</v>
      </c>
      <c r="C281" s="6">
        <v>0</v>
      </c>
      <c r="E281" s="6">
        <f>$L$4+$L$5*Student_Performance__28[[#This Row],[Hours Studied]]+$L$6*Student_Performance__28[[#This Row],[Sleep Hours]]</f>
        <v>1.3953602304997039</v>
      </c>
      <c r="F281" s="6">
        <f t="shared" si="17"/>
        <v>4.0364283553715152</v>
      </c>
      <c r="G281" s="6">
        <f t="shared" si="18"/>
        <v>0.80144659480096303</v>
      </c>
      <c r="H281" s="6">
        <f t="shared" si="19"/>
        <v>-1.6166971712168274</v>
      </c>
    </row>
    <row r="282" spans="1:8" x14ac:dyDescent="0.3">
      <c r="A282" s="6">
        <v>1</v>
      </c>
      <c r="B282" s="6">
        <v>5</v>
      </c>
      <c r="C282" s="6">
        <v>0</v>
      </c>
      <c r="E282" s="6">
        <f>$L$4+$L$5*Student_Performance__28[[#This Row],[Hours Studied]]+$L$6*Student_Performance__28[[#This Row],[Sleep Hours]]</f>
        <v>-0.7675102266353161</v>
      </c>
      <c r="F282" s="6">
        <f t="shared" si="17"/>
        <v>0.46416730221036412</v>
      </c>
      <c r="G282" s="6">
        <f t="shared" si="18"/>
        <v>0.3170179401695688</v>
      </c>
      <c r="H282" s="6">
        <f t="shared" si="19"/>
        <v>-0.3812866864760433</v>
      </c>
    </row>
    <row r="283" spans="1:8" x14ac:dyDescent="0.3">
      <c r="A283" s="6">
        <v>5</v>
      </c>
      <c r="B283" s="6">
        <v>7</v>
      </c>
      <c r="C283" s="6">
        <v>1</v>
      </c>
      <c r="E283" s="6">
        <f>$L$4+$L$5*Student_Performance__28[[#This Row],[Hours Studied]]+$L$6*Student_Performance__28[[#This Row],[Sleep Hours]]</f>
        <v>0.42661165856834393</v>
      </c>
      <c r="F283" s="6">
        <f t="shared" si="17"/>
        <v>1.5320575847491342</v>
      </c>
      <c r="G283" s="6">
        <f t="shared" si="18"/>
        <v>0.60506427420011621</v>
      </c>
      <c r="H283" s="6">
        <f t="shared" si="19"/>
        <v>-0.50242058824688962</v>
      </c>
    </row>
    <row r="284" spans="1:8" x14ac:dyDescent="0.3">
      <c r="A284" s="6">
        <v>3</v>
      </c>
      <c r="B284" s="6">
        <v>9</v>
      </c>
      <c r="C284" s="6">
        <v>1</v>
      </c>
      <c r="E284" s="6">
        <f>$L$4+$L$5*Student_Performance__28[[#This Row],[Hours Studied]]+$L$6*Student_Performance__28[[#This Row],[Sleep Hours]]</f>
        <v>0.26849366413820452</v>
      </c>
      <c r="F284" s="6">
        <f t="shared" si="17"/>
        <v>1.3079926897434107</v>
      </c>
      <c r="G284" s="6">
        <f t="shared" si="18"/>
        <v>0.56672306439966491</v>
      </c>
      <c r="H284" s="6">
        <f t="shared" si="19"/>
        <v>-0.56788451714709109</v>
      </c>
    </row>
    <row r="285" spans="1:8" x14ac:dyDescent="0.3">
      <c r="A285" s="6">
        <v>1</v>
      </c>
      <c r="B285" s="6">
        <v>7</v>
      </c>
      <c r="C285" s="6">
        <v>1</v>
      </c>
      <c r="E285" s="6">
        <f>$L$4+$L$5*Student_Performance__28[[#This Row],[Hours Studied]]+$L$6*Student_Performance__28[[#This Row],[Sleep Hours]]</f>
        <v>-0.47488159452085554</v>
      </c>
      <c r="F285" s="6">
        <f t="shared" si="17"/>
        <v>0.62195869542264559</v>
      </c>
      <c r="G285" s="6">
        <f t="shared" si="18"/>
        <v>0.38346148837074878</v>
      </c>
      <c r="H285" s="6">
        <f t="shared" si="19"/>
        <v>-0.95851608467568061</v>
      </c>
    </row>
    <row r="286" spans="1:8" x14ac:dyDescent="0.3">
      <c r="A286" s="6">
        <v>4</v>
      </c>
      <c r="B286" s="6">
        <v>7</v>
      </c>
      <c r="C286" s="6">
        <v>1</v>
      </c>
      <c r="E286" s="6">
        <f>$L$4+$L$5*Student_Performance__28[[#This Row],[Hours Studied]]+$L$6*Student_Performance__28[[#This Row],[Sleep Hours]]</f>
        <v>0.20123834529604401</v>
      </c>
      <c r="F286" s="6">
        <f t="shared" si="17"/>
        <v>1.2229162134170048</v>
      </c>
      <c r="G286" s="6">
        <f t="shared" si="18"/>
        <v>0.55014048934267845</v>
      </c>
      <c r="H286" s="6">
        <f t="shared" si="19"/>
        <v>-0.59758159820512247</v>
      </c>
    </row>
    <row r="287" spans="1:8" x14ac:dyDescent="0.3">
      <c r="A287" s="6">
        <v>5</v>
      </c>
      <c r="B287" s="6">
        <v>6</v>
      </c>
      <c r="C287" s="6">
        <v>1</v>
      </c>
      <c r="E287" s="6">
        <f>$L$4+$L$5*Student_Performance__28[[#This Row],[Hours Studied]]+$L$6*Student_Performance__28[[#This Row],[Sleep Hours]]</f>
        <v>0.28029734251111371</v>
      </c>
      <c r="F287" s="6">
        <f t="shared" si="17"/>
        <v>1.3235232935748173</v>
      </c>
      <c r="G287" s="6">
        <f t="shared" si="18"/>
        <v>0.56961911990928782</v>
      </c>
      <c r="H287" s="6">
        <f t="shared" si="19"/>
        <v>-0.56278735219126441</v>
      </c>
    </row>
    <row r="288" spans="1:8" x14ac:dyDescent="0.3">
      <c r="A288" s="6">
        <v>7</v>
      </c>
      <c r="B288" s="6">
        <v>6</v>
      </c>
      <c r="C288" s="6">
        <v>0</v>
      </c>
      <c r="E288" s="6">
        <f>$L$4+$L$5*Student_Performance__28[[#This Row],[Hours Studied]]+$L$6*Student_Performance__28[[#This Row],[Sleep Hours]]</f>
        <v>0.73104396905571334</v>
      </c>
      <c r="F288" s="6">
        <f t="shared" si="17"/>
        <v>2.077248058795742</v>
      </c>
      <c r="G288" s="6">
        <f t="shared" si="18"/>
        <v>0.67503432258517937</v>
      </c>
      <c r="H288" s="6">
        <f t="shared" si="19"/>
        <v>-1.1240357101837102</v>
      </c>
    </row>
    <row r="289" spans="1:8" x14ac:dyDescent="0.3">
      <c r="A289" s="6">
        <v>1</v>
      </c>
      <c r="B289" s="6">
        <v>7</v>
      </c>
      <c r="C289" s="6">
        <v>1</v>
      </c>
      <c r="E289" s="6">
        <f>$L$4+$L$5*Student_Performance__28[[#This Row],[Hours Studied]]+$L$6*Student_Performance__28[[#This Row],[Sleep Hours]]</f>
        <v>-0.47488159452085554</v>
      </c>
      <c r="F289" s="6">
        <f t="shared" si="17"/>
        <v>0.62195869542264559</v>
      </c>
      <c r="G289" s="6">
        <f t="shared" si="18"/>
        <v>0.38346148837074878</v>
      </c>
      <c r="H289" s="6">
        <f t="shared" si="19"/>
        <v>-0.95851608467568061</v>
      </c>
    </row>
    <row r="290" spans="1:8" x14ac:dyDescent="0.3">
      <c r="A290" s="6">
        <v>3</v>
      </c>
      <c r="B290" s="6">
        <v>6</v>
      </c>
      <c r="C290" s="6">
        <v>1</v>
      </c>
      <c r="E290" s="6">
        <f>$L$4+$L$5*Student_Performance__28[[#This Row],[Hours Studied]]+$L$6*Student_Performance__28[[#This Row],[Sleep Hours]]</f>
        <v>-0.17044928403348614</v>
      </c>
      <c r="F290" s="6">
        <f t="shared" si="17"/>
        <v>0.84328585660138511</v>
      </c>
      <c r="G290" s="6">
        <f t="shared" si="18"/>
        <v>0.45749054796971061</v>
      </c>
      <c r="H290" s="6">
        <f t="shared" si="19"/>
        <v>-0.78199905465548136</v>
      </c>
    </row>
    <row r="291" spans="1:8" x14ac:dyDescent="0.3">
      <c r="A291" s="6">
        <v>2</v>
      </c>
      <c r="B291" s="6">
        <v>5</v>
      </c>
      <c r="C291" s="6">
        <v>1</v>
      </c>
      <c r="E291" s="6">
        <f>$L$4+$L$5*Student_Performance__28[[#This Row],[Hours Studied]]+$L$6*Student_Performance__28[[#This Row],[Sleep Hours]]</f>
        <v>-0.54213691336301617</v>
      </c>
      <c r="F291" s="6">
        <f t="shared" si="17"/>
        <v>0.58150429942941784</v>
      </c>
      <c r="G291" s="6">
        <f t="shared" si="18"/>
        <v>0.36769062192193563</v>
      </c>
      <c r="H291" s="6">
        <f t="shared" si="19"/>
        <v>-1.0005133956998193</v>
      </c>
    </row>
    <row r="292" spans="1:8" x14ac:dyDescent="0.3">
      <c r="A292" s="6">
        <v>9</v>
      </c>
      <c r="B292" s="6">
        <v>4</v>
      </c>
      <c r="C292" s="6">
        <v>0</v>
      </c>
      <c r="E292" s="6">
        <f>$L$4+$L$5*Student_Performance__28[[#This Row],[Hours Studied]]+$L$6*Student_Performance__28[[#This Row],[Sleep Hours]]</f>
        <v>0.88916196348585264</v>
      </c>
      <c r="F292" s="6">
        <f t="shared" si="17"/>
        <v>2.4330897785886991</v>
      </c>
      <c r="G292" s="6">
        <f t="shared" si="18"/>
        <v>0.70871720097833046</v>
      </c>
      <c r="H292" s="6">
        <f t="shared" si="19"/>
        <v>-1.2334606657761058</v>
      </c>
    </row>
    <row r="293" spans="1:8" x14ac:dyDescent="0.3">
      <c r="A293" s="6">
        <v>6</v>
      </c>
      <c r="B293" s="6">
        <v>9</v>
      </c>
      <c r="C293" s="6">
        <v>1</v>
      </c>
      <c r="E293" s="6">
        <f>$L$4+$L$5*Student_Performance__28[[#This Row],[Hours Studied]]+$L$6*Student_Performance__28[[#This Row],[Sleep Hours]]</f>
        <v>0.94461360395510408</v>
      </c>
      <c r="F293" s="6">
        <f t="shared" si="17"/>
        <v>2.5718194457128165</v>
      </c>
      <c r="G293" s="6">
        <f t="shared" si="18"/>
        <v>0.72003064119036586</v>
      </c>
      <c r="H293" s="6">
        <f t="shared" si="19"/>
        <v>-0.32846151066872692</v>
      </c>
    </row>
    <row r="294" spans="1:8" x14ac:dyDescent="0.3">
      <c r="A294" s="6">
        <v>3</v>
      </c>
      <c r="B294" s="6">
        <v>5</v>
      </c>
      <c r="C294" s="6">
        <v>0</v>
      </c>
      <c r="E294" s="6">
        <f>$L$4+$L$5*Student_Performance__28[[#This Row],[Hours Studied]]+$L$6*Student_Performance__28[[#This Row],[Sleep Hours]]</f>
        <v>-0.31676360009071647</v>
      </c>
      <c r="F294" s="6">
        <f t="shared" si="17"/>
        <v>0.72850295280309751</v>
      </c>
      <c r="G294" s="6">
        <f t="shared" si="18"/>
        <v>0.42146468516104696</v>
      </c>
      <c r="H294" s="6">
        <f t="shared" si="19"/>
        <v>-0.54725568868187102</v>
      </c>
    </row>
    <row r="295" spans="1:8" x14ac:dyDescent="0.3">
      <c r="A295" s="6">
        <v>8</v>
      </c>
      <c r="B295" s="6">
        <v>4</v>
      </c>
      <c r="C295" s="6">
        <v>1</v>
      </c>
      <c r="E295" s="6">
        <f>$L$4+$L$5*Student_Performance__28[[#This Row],[Hours Studied]]+$L$6*Student_Performance__28[[#This Row],[Sleep Hours]]</f>
        <v>0.66378865021355271</v>
      </c>
      <c r="F295" s="6">
        <f t="shared" si="17"/>
        <v>1.9421364892250614</v>
      </c>
      <c r="G295" s="6">
        <f t="shared" si="18"/>
        <v>0.66011094194226416</v>
      </c>
      <c r="H295" s="6">
        <f t="shared" si="19"/>
        <v>-0.41534736423593893</v>
      </c>
    </row>
    <row r="296" spans="1:8" x14ac:dyDescent="0.3">
      <c r="A296" s="6">
        <v>8</v>
      </c>
      <c r="B296" s="6">
        <v>6</v>
      </c>
      <c r="C296" s="6">
        <v>0</v>
      </c>
      <c r="E296" s="6">
        <f>$L$4+$L$5*Student_Performance__28[[#This Row],[Hours Studied]]+$L$6*Student_Performance__28[[#This Row],[Sleep Hours]]</f>
        <v>0.95641728232801326</v>
      </c>
      <c r="F296" s="6">
        <f t="shared" si="17"/>
        <v>2.6023562440072392</v>
      </c>
      <c r="G296" s="6">
        <f t="shared" si="18"/>
        <v>0.72240391225505063</v>
      </c>
      <c r="H296" s="6">
        <f t="shared" si="19"/>
        <v>-1.2815881435865872</v>
      </c>
    </row>
    <row r="297" spans="1:8" x14ac:dyDescent="0.3">
      <c r="A297" s="6">
        <v>2</v>
      </c>
      <c r="B297" s="6">
        <v>9</v>
      </c>
      <c r="C297" s="6">
        <v>1</v>
      </c>
      <c r="E297" s="6">
        <f>$L$4+$L$5*Student_Performance__28[[#This Row],[Hours Studied]]+$L$6*Student_Performance__28[[#This Row],[Sleep Hours]]</f>
        <v>4.3120350865904822E-2</v>
      </c>
      <c r="F297" s="6">
        <f t="shared" si="17"/>
        <v>1.044063541240883</v>
      </c>
      <c r="G297" s="6">
        <f t="shared" si="18"/>
        <v>0.51077841768415222</v>
      </c>
      <c r="H297" s="6">
        <f t="shared" si="19"/>
        <v>-0.67181940770513204</v>
      </c>
    </row>
    <row r="298" spans="1:8" x14ac:dyDescent="0.3">
      <c r="A298" s="6">
        <v>6</v>
      </c>
      <c r="B298" s="6">
        <v>5</v>
      </c>
      <c r="C298" s="6">
        <v>1</v>
      </c>
      <c r="E298" s="6">
        <f>$L$4+$L$5*Student_Performance__28[[#This Row],[Hours Studied]]+$L$6*Student_Performance__28[[#This Row],[Sleep Hours]]</f>
        <v>0.35935633972618308</v>
      </c>
      <c r="F298" s="6">
        <f t="shared" si="17"/>
        <v>1.4324071342063487</v>
      </c>
      <c r="G298" s="6">
        <f t="shared" si="18"/>
        <v>0.58888461313188745</v>
      </c>
      <c r="H298" s="6">
        <f t="shared" si="19"/>
        <v>-0.52952501752393877</v>
      </c>
    </row>
    <row r="299" spans="1:8" x14ac:dyDescent="0.3">
      <c r="A299" s="6">
        <v>7</v>
      </c>
      <c r="B299" s="6">
        <v>8</v>
      </c>
      <c r="C299" s="6">
        <v>1</v>
      </c>
      <c r="E299" s="6">
        <f>$L$4+$L$5*Student_Performance__28[[#This Row],[Hours Studied]]+$L$6*Student_Performance__28[[#This Row],[Sleep Hours]]</f>
        <v>1.0236726011701738</v>
      </c>
      <c r="F299" s="6">
        <f t="shared" si="17"/>
        <v>2.7833983276406995</v>
      </c>
      <c r="G299" s="6">
        <f t="shared" si="18"/>
        <v>0.73568736003972568</v>
      </c>
      <c r="H299" s="6">
        <f t="shared" si="19"/>
        <v>-0.30695003305364821</v>
      </c>
    </row>
    <row r="300" spans="1:8" x14ac:dyDescent="0.3">
      <c r="A300" s="6">
        <v>2</v>
      </c>
      <c r="B300" s="6">
        <v>7</v>
      </c>
      <c r="C300" s="6">
        <v>0</v>
      </c>
      <c r="E300" s="6">
        <f>$L$4+$L$5*Student_Performance__28[[#This Row],[Hours Studied]]+$L$6*Student_Performance__28[[#This Row],[Sleep Hours]]</f>
        <v>-0.24950828124855562</v>
      </c>
      <c r="F300" s="6">
        <f t="shared" si="17"/>
        <v>0.7791838281875958</v>
      </c>
      <c r="G300" s="6">
        <f t="shared" si="18"/>
        <v>0.43794453155598223</v>
      </c>
      <c r="H300" s="6">
        <f t="shared" si="19"/>
        <v>-0.57615473565983866</v>
      </c>
    </row>
    <row r="301" spans="1:8" x14ac:dyDescent="0.3">
      <c r="A301" s="6">
        <v>2</v>
      </c>
      <c r="B301" s="6">
        <v>4</v>
      </c>
      <c r="C301" s="6">
        <v>0</v>
      </c>
      <c r="E301" s="6">
        <f>$L$4+$L$5*Student_Performance__28[[#This Row],[Hours Studied]]+$L$6*Student_Performance__28[[#This Row],[Sleep Hours]]</f>
        <v>-0.68845122942024639</v>
      </c>
      <c r="F301" s="6">
        <f t="shared" si="17"/>
        <v>0.5023534971988427</v>
      </c>
      <c r="G301" s="6">
        <f t="shared" si="18"/>
        <v>0.33437769348924018</v>
      </c>
      <c r="H301" s="6">
        <f t="shared" si="19"/>
        <v>-0.4070328766491394</v>
      </c>
    </row>
    <row r="302" spans="1:8" x14ac:dyDescent="0.3">
      <c r="A302" s="6">
        <v>1</v>
      </c>
      <c r="B302" s="6">
        <v>4</v>
      </c>
      <c r="C302" s="6">
        <v>1</v>
      </c>
      <c r="E302" s="6">
        <f>$L$4+$L$5*Student_Performance__28[[#This Row],[Hours Studied]]+$L$6*Student_Performance__28[[#This Row],[Sleep Hours]]</f>
        <v>-0.91382454269254632</v>
      </c>
      <c r="F302" s="6">
        <f t="shared" si="17"/>
        <v>0.40098769309104837</v>
      </c>
      <c r="G302" s="6">
        <f t="shared" si="18"/>
        <v>0.28621785549474399</v>
      </c>
      <c r="H302" s="6">
        <f t="shared" si="19"/>
        <v>-1.2510020256341354</v>
      </c>
    </row>
    <row r="303" spans="1:8" x14ac:dyDescent="0.3">
      <c r="A303" s="6">
        <v>8</v>
      </c>
      <c r="B303" s="6">
        <v>8</v>
      </c>
      <c r="C303" s="6">
        <v>1</v>
      </c>
      <c r="E303" s="6">
        <f>$L$4+$L$5*Student_Performance__28[[#This Row],[Hours Studied]]+$L$6*Student_Performance__28[[#This Row],[Sleep Hours]]</f>
        <v>1.2490459144424737</v>
      </c>
      <c r="F303" s="6">
        <f t="shared" si="17"/>
        <v>3.4870144597436026</v>
      </c>
      <c r="G303" s="6">
        <f t="shared" si="18"/>
        <v>0.7771346607032904</v>
      </c>
      <c r="H303" s="6">
        <f t="shared" si="19"/>
        <v>-0.25214163513222926</v>
      </c>
    </row>
    <row r="304" spans="1:8" x14ac:dyDescent="0.3">
      <c r="A304" s="6">
        <v>1</v>
      </c>
      <c r="B304" s="6">
        <v>8</v>
      </c>
      <c r="C304" s="6">
        <v>0</v>
      </c>
      <c r="E304" s="6">
        <f>$L$4+$L$5*Student_Performance__28[[#This Row],[Hours Studied]]+$L$6*Student_Performance__28[[#This Row],[Sleep Hours]]</f>
        <v>-0.32856727846362532</v>
      </c>
      <c r="F304" s="6">
        <f t="shared" si="17"/>
        <v>0.7199544891644748</v>
      </c>
      <c r="G304" s="6">
        <f t="shared" si="18"/>
        <v>0.41858926715800293</v>
      </c>
      <c r="H304" s="6">
        <f t="shared" si="19"/>
        <v>-0.54229783068719928</v>
      </c>
    </row>
    <row r="305" spans="1:8" x14ac:dyDescent="0.3">
      <c r="A305" s="6">
        <v>9</v>
      </c>
      <c r="B305" s="6">
        <v>7</v>
      </c>
      <c r="C305" s="6">
        <v>1</v>
      </c>
      <c r="E305" s="6">
        <f>$L$4+$L$5*Student_Performance__28[[#This Row],[Hours Studied]]+$L$6*Student_Performance__28[[#This Row],[Sleep Hours]]</f>
        <v>1.3281049116575434</v>
      </c>
      <c r="F305" s="6">
        <f t="shared" si="17"/>
        <v>3.7738847615794402</v>
      </c>
      <c r="G305" s="6">
        <f t="shared" si="18"/>
        <v>0.79052699217876599</v>
      </c>
      <c r="H305" s="6">
        <f t="shared" si="19"/>
        <v>-0.23505547721187284</v>
      </c>
    </row>
    <row r="306" spans="1:8" x14ac:dyDescent="0.3">
      <c r="A306" s="6">
        <v>6</v>
      </c>
      <c r="B306" s="6">
        <v>6</v>
      </c>
      <c r="C306" s="6">
        <v>0</v>
      </c>
      <c r="E306" s="6">
        <f>$L$4+$L$5*Student_Performance__28[[#This Row],[Hours Studied]]+$L$6*Student_Performance__28[[#This Row],[Sleep Hours]]</f>
        <v>0.50567065578341341</v>
      </c>
      <c r="F306" s="6">
        <f t="shared" si="17"/>
        <v>1.6580971601052923</v>
      </c>
      <c r="G306" s="6">
        <f t="shared" si="18"/>
        <v>0.62379102802984521</v>
      </c>
      <c r="H306" s="6">
        <f t="shared" si="19"/>
        <v>-0.97761051346244121</v>
      </c>
    </row>
    <row r="307" spans="1:8" x14ac:dyDescent="0.3">
      <c r="A307" s="6">
        <v>7</v>
      </c>
      <c r="B307" s="6">
        <v>5</v>
      </c>
      <c r="C307" s="6">
        <v>1</v>
      </c>
      <c r="E307" s="6">
        <f>$L$4+$L$5*Student_Performance__28[[#This Row],[Hours Studied]]+$L$6*Student_Performance__28[[#This Row],[Sleep Hours]]</f>
        <v>0.58472965299848301</v>
      </c>
      <c r="F307" s="6">
        <f t="shared" si="17"/>
        <v>1.7945057807989744</v>
      </c>
      <c r="G307" s="6">
        <f t="shared" si="18"/>
        <v>0.64215497177676584</v>
      </c>
      <c r="H307" s="6">
        <f t="shared" si="19"/>
        <v>-0.44292561536144459</v>
      </c>
    </row>
    <row r="308" spans="1:8" x14ac:dyDescent="0.3">
      <c r="A308" s="6">
        <v>7</v>
      </c>
      <c r="B308" s="6">
        <v>5</v>
      </c>
      <c r="C308" s="6">
        <v>1</v>
      </c>
      <c r="E308" s="6">
        <f>$L$4+$L$5*Student_Performance__28[[#This Row],[Hours Studied]]+$L$6*Student_Performance__28[[#This Row],[Sleep Hours]]</f>
        <v>0.58472965299848301</v>
      </c>
      <c r="F308" s="6">
        <f t="shared" si="17"/>
        <v>1.7945057807989744</v>
      </c>
      <c r="G308" s="6">
        <f t="shared" si="18"/>
        <v>0.64215497177676584</v>
      </c>
      <c r="H308" s="6">
        <f t="shared" si="19"/>
        <v>-0.44292561536144459</v>
      </c>
    </row>
    <row r="309" spans="1:8" x14ac:dyDescent="0.3">
      <c r="A309" s="6">
        <v>3</v>
      </c>
      <c r="B309" s="6">
        <v>5</v>
      </c>
      <c r="C309" s="6">
        <v>1</v>
      </c>
      <c r="E309" s="6">
        <f>$L$4+$L$5*Student_Performance__28[[#This Row],[Hours Studied]]+$L$6*Student_Performance__28[[#This Row],[Sleep Hours]]</f>
        <v>-0.31676360009071647</v>
      </c>
      <c r="F309" s="6">
        <f t="shared" si="17"/>
        <v>0.72850295280309751</v>
      </c>
      <c r="G309" s="6">
        <f t="shared" si="18"/>
        <v>0.42146468516104696</v>
      </c>
      <c r="H309" s="6">
        <f t="shared" si="19"/>
        <v>-0.86401928877258749</v>
      </c>
    </row>
    <row r="310" spans="1:8" x14ac:dyDescent="0.3">
      <c r="A310" s="6">
        <v>2</v>
      </c>
      <c r="B310" s="6">
        <v>6</v>
      </c>
      <c r="C310" s="6">
        <v>0</v>
      </c>
      <c r="E310" s="6">
        <f>$L$4+$L$5*Student_Performance__28[[#This Row],[Hours Studied]]+$L$6*Student_Performance__28[[#This Row],[Sleep Hours]]</f>
        <v>-0.39582259730578584</v>
      </c>
      <c r="F310" s="6">
        <f t="shared" si="17"/>
        <v>0.67312609972943394</v>
      </c>
      <c r="G310" s="6">
        <f t="shared" si="18"/>
        <v>0.40231641825340425</v>
      </c>
      <c r="H310" s="6">
        <f t="shared" si="19"/>
        <v>-0.51469379258292292</v>
      </c>
    </row>
    <row r="311" spans="1:8" x14ac:dyDescent="0.3">
      <c r="A311" s="6">
        <v>9</v>
      </c>
      <c r="B311" s="6">
        <v>7</v>
      </c>
      <c r="C311" s="6">
        <v>1</v>
      </c>
      <c r="E311" s="6">
        <f>$L$4+$L$5*Student_Performance__28[[#This Row],[Hours Studied]]+$L$6*Student_Performance__28[[#This Row],[Sleep Hours]]</f>
        <v>1.3281049116575434</v>
      </c>
      <c r="F311" s="6">
        <f t="shared" si="17"/>
        <v>3.7738847615794402</v>
      </c>
      <c r="G311" s="6">
        <f t="shared" si="18"/>
        <v>0.79052699217876599</v>
      </c>
      <c r="H311" s="6">
        <f t="shared" si="19"/>
        <v>-0.23505547721187284</v>
      </c>
    </row>
    <row r="312" spans="1:8" x14ac:dyDescent="0.3">
      <c r="A312" s="6">
        <v>8</v>
      </c>
      <c r="B312" s="6">
        <v>5</v>
      </c>
      <c r="C312" s="6">
        <v>1</v>
      </c>
      <c r="E312" s="6">
        <f>$L$4+$L$5*Student_Performance__28[[#This Row],[Hours Studied]]+$L$6*Student_Performance__28[[#This Row],[Sleep Hours]]</f>
        <v>0.81010296627078293</v>
      </c>
      <c r="F312" s="6">
        <f t="shared" si="17"/>
        <v>2.2481394572955513</v>
      </c>
      <c r="G312" s="6">
        <f t="shared" si="18"/>
        <v>0.6921314453559162</v>
      </c>
      <c r="H312" s="6">
        <f t="shared" si="19"/>
        <v>-0.36797939146637737</v>
      </c>
    </row>
    <row r="313" spans="1:8" x14ac:dyDescent="0.3">
      <c r="A313" s="6">
        <v>7</v>
      </c>
      <c r="B313" s="6">
        <v>4</v>
      </c>
      <c r="C313" s="6">
        <v>1</v>
      </c>
      <c r="E313" s="6">
        <f>$L$4+$L$5*Student_Performance__28[[#This Row],[Hours Studied]]+$L$6*Student_Performance__28[[#This Row],[Sleep Hours]]</f>
        <v>0.43841533694125279</v>
      </c>
      <c r="F313" s="6">
        <f t="shared" si="17"/>
        <v>1.5502486492575356</v>
      </c>
      <c r="G313" s="6">
        <f t="shared" si="18"/>
        <v>0.60788137255120822</v>
      </c>
      <c r="H313" s="6">
        <f t="shared" si="19"/>
        <v>-0.49777552698809763</v>
      </c>
    </row>
    <row r="314" spans="1:8" x14ac:dyDescent="0.3">
      <c r="A314" s="6">
        <v>9</v>
      </c>
      <c r="B314" s="6">
        <v>4</v>
      </c>
      <c r="C314" s="6">
        <v>1</v>
      </c>
      <c r="E314" s="6">
        <f>$L$4+$L$5*Student_Performance__28[[#This Row],[Hours Studied]]+$L$6*Student_Performance__28[[#This Row],[Sleep Hours]]</f>
        <v>0.88916196348585264</v>
      </c>
      <c r="F314" s="6">
        <f t="shared" si="17"/>
        <v>2.4330897785886991</v>
      </c>
      <c r="G314" s="6">
        <f t="shared" si="18"/>
        <v>0.70871720097833046</v>
      </c>
      <c r="H314" s="6">
        <f t="shared" si="19"/>
        <v>-0.34429870229025311</v>
      </c>
    </row>
    <row r="315" spans="1:8" x14ac:dyDescent="0.3">
      <c r="A315" s="6">
        <v>4</v>
      </c>
      <c r="B315" s="6">
        <v>4</v>
      </c>
      <c r="C315" s="6">
        <v>1</v>
      </c>
      <c r="E315" s="6">
        <f>$L$4+$L$5*Student_Performance__28[[#This Row],[Hours Studied]]+$L$6*Student_Performance__28[[#This Row],[Sleep Hours]]</f>
        <v>-0.23770460287564676</v>
      </c>
      <c r="F315" s="6">
        <f t="shared" si="17"/>
        <v>0.78843555829458445</v>
      </c>
      <c r="G315" s="6">
        <f t="shared" si="18"/>
        <v>0.44085209256654484</v>
      </c>
      <c r="H315" s="6">
        <f t="shared" si="19"/>
        <v>-0.81904585079700054</v>
      </c>
    </row>
    <row r="316" spans="1:8" x14ac:dyDescent="0.3">
      <c r="A316" s="6">
        <v>4</v>
      </c>
      <c r="B316" s="6">
        <v>8</v>
      </c>
      <c r="C316" s="6">
        <v>0</v>
      </c>
      <c r="E316" s="6">
        <f>$L$4+$L$5*Student_Performance__28[[#This Row],[Hours Studied]]+$L$6*Student_Performance__28[[#This Row],[Sleep Hours]]</f>
        <v>0.34755266135327423</v>
      </c>
      <c r="F316" s="6">
        <f t="shared" si="17"/>
        <v>1.4155988560032864</v>
      </c>
      <c r="G316" s="6">
        <f t="shared" si="18"/>
        <v>0.58602398013445678</v>
      </c>
      <c r="H316" s="6">
        <f t="shared" si="19"/>
        <v>-0.88194722986451501</v>
      </c>
    </row>
    <row r="317" spans="1:8" x14ac:dyDescent="0.3">
      <c r="A317" s="6">
        <v>1</v>
      </c>
      <c r="B317" s="6">
        <v>8</v>
      </c>
      <c r="C317" s="6">
        <v>0</v>
      </c>
      <c r="E317" s="6">
        <f>$L$4+$L$5*Student_Performance__28[[#This Row],[Hours Studied]]+$L$6*Student_Performance__28[[#This Row],[Sleep Hours]]</f>
        <v>-0.32856727846362532</v>
      </c>
      <c r="F317" s="6">
        <f t="shared" si="17"/>
        <v>0.7199544891644748</v>
      </c>
      <c r="G317" s="6">
        <f t="shared" si="18"/>
        <v>0.41858926715800293</v>
      </c>
      <c r="H317" s="6">
        <f t="shared" si="19"/>
        <v>-0.54229783068719928</v>
      </c>
    </row>
    <row r="318" spans="1:8" x14ac:dyDescent="0.3">
      <c r="A318" s="6">
        <v>8</v>
      </c>
      <c r="B318" s="6">
        <v>6</v>
      </c>
      <c r="C318" s="6">
        <v>0</v>
      </c>
      <c r="E318" s="6">
        <f>$L$4+$L$5*Student_Performance__28[[#This Row],[Hours Studied]]+$L$6*Student_Performance__28[[#This Row],[Sleep Hours]]</f>
        <v>0.95641728232801326</v>
      </c>
      <c r="F318" s="6">
        <f t="shared" si="17"/>
        <v>2.6023562440072392</v>
      </c>
      <c r="G318" s="6">
        <f t="shared" si="18"/>
        <v>0.72240391225505063</v>
      </c>
      <c r="H318" s="6">
        <f t="shared" si="19"/>
        <v>-1.2815881435865872</v>
      </c>
    </row>
    <row r="319" spans="1:8" x14ac:dyDescent="0.3">
      <c r="A319" s="6">
        <v>3</v>
      </c>
      <c r="B319" s="6">
        <v>5</v>
      </c>
      <c r="C319" s="6">
        <v>0</v>
      </c>
      <c r="E319" s="6">
        <f>$L$4+$L$5*Student_Performance__28[[#This Row],[Hours Studied]]+$L$6*Student_Performance__28[[#This Row],[Sleep Hours]]</f>
        <v>-0.31676360009071647</v>
      </c>
      <c r="F319" s="6">
        <f t="shared" si="17"/>
        <v>0.72850295280309751</v>
      </c>
      <c r="G319" s="6">
        <f t="shared" si="18"/>
        <v>0.42146468516104696</v>
      </c>
      <c r="H319" s="6">
        <f t="shared" si="19"/>
        <v>-0.54725568868187102</v>
      </c>
    </row>
    <row r="320" spans="1:8" x14ac:dyDescent="0.3">
      <c r="A320" s="6">
        <v>7</v>
      </c>
      <c r="B320" s="6">
        <v>8</v>
      </c>
      <c r="C320" s="6">
        <v>1</v>
      </c>
      <c r="E320" s="6">
        <f>$L$4+$L$5*Student_Performance__28[[#This Row],[Hours Studied]]+$L$6*Student_Performance__28[[#This Row],[Sleep Hours]]</f>
        <v>1.0236726011701738</v>
      </c>
      <c r="F320" s="6">
        <f t="shared" si="17"/>
        <v>2.7833983276406995</v>
      </c>
      <c r="G320" s="6">
        <f t="shared" si="18"/>
        <v>0.73568736003972568</v>
      </c>
      <c r="H320" s="6">
        <f t="shared" si="19"/>
        <v>-0.30695003305364821</v>
      </c>
    </row>
    <row r="321" spans="1:8" x14ac:dyDescent="0.3">
      <c r="A321" s="6">
        <v>2</v>
      </c>
      <c r="B321" s="6">
        <v>4</v>
      </c>
      <c r="C321" s="6">
        <v>0</v>
      </c>
      <c r="E321" s="6">
        <f>$L$4+$L$5*Student_Performance__28[[#This Row],[Hours Studied]]+$L$6*Student_Performance__28[[#This Row],[Sleep Hours]]</f>
        <v>-0.68845122942024639</v>
      </c>
      <c r="F321" s="6">
        <f t="shared" si="17"/>
        <v>0.5023534971988427</v>
      </c>
      <c r="G321" s="6">
        <f t="shared" si="18"/>
        <v>0.33437769348924018</v>
      </c>
      <c r="H321" s="6">
        <f t="shared" si="19"/>
        <v>-0.4070328766491394</v>
      </c>
    </row>
    <row r="322" spans="1:8" x14ac:dyDescent="0.3">
      <c r="A322" s="6">
        <v>2</v>
      </c>
      <c r="B322" s="6">
        <v>8</v>
      </c>
      <c r="C322" s="6">
        <v>0</v>
      </c>
      <c r="E322" s="6">
        <f>$L$4+$L$5*Student_Performance__28[[#This Row],[Hours Studied]]+$L$6*Student_Performance__28[[#This Row],[Sleep Hours]]</f>
        <v>-0.1031939651913254</v>
      </c>
      <c r="F322" s="6">
        <f t="shared" si="17"/>
        <v>0.90195200921954211</v>
      </c>
      <c r="G322" s="6">
        <f t="shared" si="18"/>
        <v>0.47422437834782921</v>
      </c>
      <c r="H322" s="6">
        <f t="shared" si="19"/>
        <v>-0.64288073205910101</v>
      </c>
    </row>
    <row r="323" spans="1:8" x14ac:dyDescent="0.3">
      <c r="A323" s="6">
        <v>7</v>
      </c>
      <c r="B323" s="6">
        <v>4</v>
      </c>
      <c r="C323" s="6">
        <v>1</v>
      </c>
      <c r="E323" s="6">
        <f>$L$4+$L$5*Student_Performance__28[[#This Row],[Hours Studied]]+$L$6*Student_Performance__28[[#This Row],[Sleep Hours]]</f>
        <v>0.43841533694125279</v>
      </c>
      <c r="F323" s="6">
        <f t="shared" ref="F323:F386" si="20">EXP(E323)</f>
        <v>1.5502486492575356</v>
      </c>
      <c r="G323" s="6">
        <f t="shared" ref="G323:G386" si="21">F323/(1+F323)</f>
        <v>0.60788137255120822</v>
      </c>
      <c r="H323" s="6">
        <f t="shared" ref="H323:H386" si="22">C323*LN(G323)+(1-C323)*LN(1-G323)</f>
        <v>-0.49777552698809763</v>
      </c>
    </row>
    <row r="324" spans="1:8" x14ac:dyDescent="0.3">
      <c r="A324" s="6">
        <v>6</v>
      </c>
      <c r="B324" s="6">
        <v>5</v>
      </c>
      <c r="C324" s="6">
        <v>1</v>
      </c>
      <c r="E324" s="6">
        <f>$L$4+$L$5*Student_Performance__28[[#This Row],[Hours Studied]]+$L$6*Student_Performance__28[[#This Row],[Sleep Hours]]</f>
        <v>0.35935633972618308</v>
      </c>
      <c r="F324" s="6">
        <f t="shared" si="20"/>
        <v>1.4324071342063487</v>
      </c>
      <c r="G324" s="6">
        <f t="shared" si="21"/>
        <v>0.58888461313188745</v>
      </c>
      <c r="H324" s="6">
        <f t="shared" si="22"/>
        <v>-0.52952501752393877</v>
      </c>
    </row>
    <row r="325" spans="1:8" x14ac:dyDescent="0.3">
      <c r="A325" s="6">
        <v>3</v>
      </c>
      <c r="B325" s="6">
        <v>6</v>
      </c>
      <c r="C325" s="6">
        <v>1</v>
      </c>
      <c r="E325" s="6">
        <f>$L$4+$L$5*Student_Performance__28[[#This Row],[Hours Studied]]+$L$6*Student_Performance__28[[#This Row],[Sleep Hours]]</f>
        <v>-0.17044928403348614</v>
      </c>
      <c r="F325" s="6">
        <f t="shared" si="20"/>
        <v>0.84328585660138511</v>
      </c>
      <c r="G325" s="6">
        <f t="shared" si="21"/>
        <v>0.45749054796971061</v>
      </c>
      <c r="H325" s="6">
        <f t="shared" si="22"/>
        <v>-0.78199905465548136</v>
      </c>
    </row>
    <row r="326" spans="1:8" x14ac:dyDescent="0.3">
      <c r="A326" s="6">
        <v>9</v>
      </c>
      <c r="B326" s="6">
        <v>7</v>
      </c>
      <c r="C326" s="6">
        <v>1</v>
      </c>
      <c r="E326" s="6">
        <f>$L$4+$L$5*Student_Performance__28[[#This Row],[Hours Studied]]+$L$6*Student_Performance__28[[#This Row],[Sleep Hours]]</f>
        <v>1.3281049116575434</v>
      </c>
      <c r="F326" s="6">
        <f t="shared" si="20"/>
        <v>3.7738847615794402</v>
      </c>
      <c r="G326" s="6">
        <f t="shared" si="21"/>
        <v>0.79052699217876599</v>
      </c>
      <c r="H326" s="6">
        <f t="shared" si="22"/>
        <v>-0.23505547721187284</v>
      </c>
    </row>
    <row r="327" spans="1:8" x14ac:dyDescent="0.3">
      <c r="A327" s="6">
        <v>6</v>
      </c>
      <c r="B327" s="6">
        <v>7</v>
      </c>
      <c r="C327" s="6">
        <v>1</v>
      </c>
      <c r="E327" s="6">
        <f>$L$4+$L$5*Student_Performance__28[[#This Row],[Hours Studied]]+$L$6*Student_Performance__28[[#This Row],[Sleep Hours]]</f>
        <v>0.65198497184064363</v>
      </c>
      <c r="F327" s="6">
        <f t="shared" si="20"/>
        <v>1.9193468998411038</v>
      </c>
      <c r="G327" s="6">
        <f t="shared" si="21"/>
        <v>0.65745763202912655</v>
      </c>
      <c r="H327" s="6">
        <f t="shared" si="22"/>
        <v>-0.41937495498494792</v>
      </c>
    </row>
    <row r="328" spans="1:8" x14ac:dyDescent="0.3">
      <c r="A328" s="6">
        <v>6</v>
      </c>
      <c r="B328" s="6">
        <v>4</v>
      </c>
      <c r="C328" s="6">
        <v>0</v>
      </c>
      <c r="E328" s="6">
        <f>$L$4+$L$5*Student_Performance__28[[#This Row],[Hours Studied]]+$L$6*Student_Performance__28[[#This Row],[Sleep Hours]]</f>
        <v>0.21304202366895286</v>
      </c>
      <c r="F328" s="6">
        <f t="shared" si="20"/>
        <v>1.2374366517791708</v>
      </c>
      <c r="G328" s="6">
        <f t="shared" si="21"/>
        <v>0.55305997190811307</v>
      </c>
      <c r="H328" s="6">
        <f t="shared" si="22"/>
        <v>-0.80533085871207766</v>
      </c>
    </row>
    <row r="329" spans="1:8" x14ac:dyDescent="0.3">
      <c r="A329" s="6">
        <v>1</v>
      </c>
      <c r="B329" s="6">
        <v>8</v>
      </c>
      <c r="C329" s="6">
        <v>0</v>
      </c>
      <c r="E329" s="6">
        <f>$L$4+$L$5*Student_Performance__28[[#This Row],[Hours Studied]]+$L$6*Student_Performance__28[[#This Row],[Sleep Hours]]</f>
        <v>-0.32856727846362532</v>
      </c>
      <c r="F329" s="6">
        <f t="shared" si="20"/>
        <v>0.7199544891644748</v>
      </c>
      <c r="G329" s="6">
        <f t="shared" si="21"/>
        <v>0.41858926715800293</v>
      </c>
      <c r="H329" s="6">
        <f t="shared" si="22"/>
        <v>-0.54229783068719928</v>
      </c>
    </row>
    <row r="330" spans="1:8" x14ac:dyDescent="0.3">
      <c r="A330" s="6">
        <v>4</v>
      </c>
      <c r="B330" s="6">
        <v>8</v>
      </c>
      <c r="C330" s="6">
        <v>0</v>
      </c>
      <c r="E330" s="6">
        <f>$L$4+$L$5*Student_Performance__28[[#This Row],[Hours Studied]]+$L$6*Student_Performance__28[[#This Row],[Sleep Hours]]</f>
        <v>0.34755266135327423</v>
      </c>
      <c r="F330" s="6">
        <f t="shared" si="20"/>
        <v>1.4155988560032864</v>
      </c>
      <c r="G330" s="6">
        <f t="shared" si="21"/>
        <v>0.58602398013445678</v>
      </c>
      <c r="H330" s="6">
        <f t="shared" si="22"/>
        <v>-0.88194722986451501</v>
      </c>
    </row>
    <row r="331" spans="1:8" x14ac:dyDescent="0.3">
      <c r="A331" s="6">
        <v>6</v>
      </c>
      <c r="B331" s="6">
        <v>4</v>
      </c>
      <c r="C331" s="6">
        <v>1</v>
      </c>
      <c r="E331" s="6">
        <f>$L$4+$L$5*Student_Performance__28[[#This Row],[Hours Studied]]+$L$6*Student_Performance__28[[#This Row],[Sleep Hours]]</f>
        <v>0.21304202366895286</v>
      </c>
      <c r="F331" s="6">
        <f t="shared" si="20"/>
        <v>1.2374366517791708</v>
      </c>
      <c r="G331" s="6">
        <f t="shared" si="21"/>
        <v>0.55305997190811307</v>
      </c>
      <c r="H331" s="6">
        <f t="shared" si="22"/>
        <v>-0.59228883504312502</v>
      </c>
    </row>
    <row r="332" spans="1:8" x14ac:dyDescent="0.3">
      <c r="A332" s="6">
        <v>6</v>
      </c>
      <c r="B332" s="6">
        <v>5</v>
      </c>
      <c r="C332" s="6">
        <v>0</v>
      </c>
      <c r="E332" s="6">
        <f>$L$4+$L$5*Student_Performance__28[[#This Row],[Hours Studied]]+$L$6*Student_Performance__28[[#This Row],[Sleep Hours]]</f>
        <v>0.35935633972618308</v>
      </c>
      <c r="F332" s="6">
        <f t="shared" si="20"/>
        <v>1.4324071342063487</v>
      </c>
      <c r="G332" s="6">
        <f t="shared" si="21"/>
        <v>0.58888461313188745</v>
      </c>
      <c r="H332" s="6">
        <f t="shared" si="22"/>
        <v>-0.88888135725012185</v>
      </c>
    </row>
    <row r="333" spans="1:8" x14ac:dyDescent="0.3">
      <c r="A333" s="6">
        <v>5</v>
      </c>
      <c r="B333" s="6">
        <v>4</v>
      </c>
      <c r="C333" s="6">
        <v>1</v>
      </c>
      <c r="E333" s="6">
        <f>$L$4+$L$5*Student_Performance__28[[#This Row],[Hours Studied]]+$L$6*Student_Performance__28[[#This Row],[Sleep Hours]]</f>
        <v>-1.233128960334684E-2</v>
      </c>
      <c r="F333" s="6">
        <f t="shared" si="20"/>
        <v>0.98774442919193028</v>
      </c>
      <c r="G333" s="6">
        <f t="shared" si="21"/>
        <v>0.49691721666324784</v>
      </c>
      <c r="H333" s="6">
        <f t="shared" si="22"/>
        <v>-0.69933183282910061</v>
      </c>
    </row>
    <row r="334" spans="1:8" x14ac:dyDescent="0.3">
      <c r="A334" s="6">
        <v>1</v>
      </c>
      <c r="B334" s="6">
        <v>5</v>
      </c>
      <c r="C334" s="6">
        <v>0</v>
      </c>
      <c r="E334" s="6">
        <f>$L$4+$L$5*Student_Performance__28[[#This Row],[Hours Studied]]+$L$6*Student_Performance__28[[#This Row],[Sleep Hours]]</f>
        <v>-0.7675102266353161</v>
      </c>
      <c r="F334" s="6">
        <f t="shared" si="20"/>
        <v>0.46416730221036412</v>
      </c>
      <c r="G334" s="6">
        <f t="shared" si="21"/>
        <v>0.3170179401695688</v>
      </c>
      <c r="H334" s="6">
        <f t="shared" si="22"/>
        <v>-0.3812866864760433</v>
      </c>
    </row>
    <row r="335" spans="1:8" x14ac:dyDescent="0.3">
      <c r="A335" s="6">
        <v>8</v>
      </c>
      <c r="B335" s="6">
        <v>6</v>
      </c>
      <c r="C335" s="6">
        <v>0</v>
      </c>
      <c r="E335" s="6">
        <f>$L$4+$L$5*Student_Performance__28[[#This Row],[Hours Studied]]+$L$6*Student_Performance__28[[#This Row],[Sleep Hours]]</f>
        <v>0.95641728232801326</v>
      </c>
      <c r="F335" s="6">
        <f t="shared" si="20"/>
        <v>2.6023562440072392</v>
      </c>
      <c r="G335" s="6">
        <f t="shared" si="21"/>
        <v>0.72240391225505063</v>
      </c>
      <c r="H335" s="6">
        <f t="shared" si="22"/>
        <v>-1.2815881435865872</v>
      </c>
    </row>
    <row r="336" spans="1:8" x14ac:dyDescent="0.3">
      <c r="A336" s="6">
        <v>5</v>
      </c>
      <c r="B336" s="6">
        <v>6</v>
      </c>
      <c r="C336" s="6">
        <v>0</v>
      </c>
      <c r="E336" s="6">
        <f>$L$4+$L$5*Student_Performance__28[[#This Row],[Hours Studied]]+$L$6*Student_Performance__28[[#This Row],[Sleep Hours]]</f>
        <v>0.28029734251111371</v>
      </c>
      <c r="F336" s="6">
        <f t="shared" si="20"/>
        <v>1.3235232935748173</v>
      </c>
      <c r="G336" s="6">
        <f t="shared" si="21"/>
        <v>0.56961911990928782</v>
      </c>
      <c r="H336" s="6">
        <f t="shared" si="22"/>
        <v>-0.8430846947023779</v>
      </c>
    </row>
    <row r="337" spans="1:8" x14ac:dyDescent="0.3">
      <c r="A337" s="6">
        <v>5</v>
      </c>
      <c r="B337" s="6">
        <v>4</v>
      </c>
      <c r="C337" s="6">
        <v>1</v>
      </c>
      <c r="E337" s="6">
        <f>$L$4+$L$5*Student_Performance__28[[#This Row],[Hours Studied]]+$L$6*Student_Performance__28[[#This Row],[Sleep Hours]]</f>
        <v>-1.233128960334684E-2</v>
      </c>
      <c r="F337" s="6">
        <f t="shared" si="20"/>
        <v>0.98774442919193028</v>
      </c>
      <c r="G337" s="6">
        <f t="shared" si="21"/>
        <v>0.49691721666324784</v>
      </c>
      <c r="H337" s="6">
        <f t="shared" si="22"/>
        <v>-0.69933183282910061</v>
      </c>
    </row>
    <row r="338" spans="1:8" x14ac:dyDescent="0.3">
      <c r="A338" s="6">
        <v>7</v>
      </c>
      <c r="B338" s="6">
        <v>6</v>
      </c>
      <c r="C338" s="6">
        <v>1</v>
      </c>
      <c r="E338" s="6">
        <f>$L$4+$L$5*Student_Performance__28[[#This Row],[Hours Studied]]+$L$6*Student_Performance__28[[#This Row],[Sleep Hours]]</f>
        <v>0.73104396905571334</v>
      </c>
      <c r="F338" s="6">
        <f t="shared" si="20"/>
        <v>2.077248058795742</v>
      </c>
      <c r="G338" s="6">
        <f t="shared" si="21"/>
        <v>0.67503432258517937</v>
      </c>
      <c r="H338" s="6">
        <f t="shared" si="22"/>
        <v>-0.39299174112799712</v>
      </c>
    </row>
    <row r="339" spans="1:8" x14ac:dyDescent="0.3">
      <c r="A339" s="6">
        <v>4</v>
      </c>
      <c r="B339" s="6">
        <v>8</v>
      </c>
      <c r="C339" s="6">
        <v>1</v>
      </c>
      <c r="E339" s="6">
        <f>$L$4+$L$5*Student_Performance__28[[#This Row],[Hours Studied]]+$L$6*Student_Performance__28[[#This Row],[Sleep Hours]]</f>
        <v>0.34755266135327423</v>
      </c>
      <c r="F339" s="6">
        <f t="shared" si="20"/>
        <v>1.4155988560032864</v>
      </c>
      <c r="G339" s="6">
        <f t="shared" si="21"/>
        <v>0.58602398013445678</v>
      </c>
      <c r="H339" s="6">
        <f t="shared" si="22"/>
        <v>-0.53439456851124068</v>
      </c>
    </row>
    <row r="340" spans="1:8" x14ac:dyDescent="0.3">
      <c r="A340" s="6">
        <v>6</v>
      </c>
      <c r="B340" s="6">
        <v>5</v>
      </c>
      <c r="C340" s="6">
        <v>1</v>
      </c>
      <c r="E340" s="6">
        <f>$L$4+$L$5*Student_Performance__28[[#This Row],[Hours Studied]]+$L$6*Student_Performance__28[[#This Row],[Sleep Hours]]</f>
        <v>0.35935633972618308</v>
      </c>
      <c r="F340" s="6">
        <f t="shared" si="20"/>
        <v>1.4324071342063487</v>
      </c>
      <c r="G340" s="6">
        <f t="shared" si="21"/>
        <v>0.58888461313188745</v>
      </c>
      <c r="H340" s="6">
        <f t="shared" si="22"/>
        <v>-0.52952501752393877</v>
      </c>
    </row>
    <row r="341" spans="1:8" x14ac:dyDescent="0.3">
      <c r="A341" s="6">
        <v>4</v>
      </c>
      <c r="B341" s="6">
        <v>7</v>
      </c>
      <c r="C341" s="6">
        <v>1</v>
      </c>
      <c r="E341" s="6">
        <f>$L$4+$L$5*Student_Performance__28[[#This Row],[Hours Studied]]+$L$6*Student_Performance__28[[#This Row],[Sleep Hours]]</f>
        <v>0.20123834529604401</v>
      </c>
      <c r="F341" s="6">
        <f t="shared" si="20"/>
        <v>1.2229162134170048</v>
      </c>
      <c r="G341" s="6">
        <f t="shared" si="21"/>
        <v>0.55014048934267845</v>
      </c>
      <c r="H341" s="6">
        <f t="shared" si="22"/>
        <v>-0.59758159820512247</v>
      </c>
    </row>
    <row r="342" spans="1:8" x14ac:dyDescent="0.3">
      <c r="A342" s="6">
        <v>3</v>
      </c>
      <c r="B342" s="6">
        <v>7</v>
      </c>
      <c r="C342" s="6">
        <v>1</v>
      </c>
      <c r="E342" s="6">
        <f>$L$4+$L$5*Student_Performance__28[[#This Row],[Hours Studied]]+$L$6*Student_Performance__28[[#This Row],[Sleep Hours]]</f>
        <v>-2.4134967976255917E-2</v>
      </c>
      <c r="F342" s="6">
        <f t="shared" si="20"/>
        <v>0.97615395134319904</v>
      </c>
      <c r="G342" s="6">
        <f t="shared" si="21"/>
        <v>0.49396655087509944</v>
      </c>
      <c r="H342" s="6">
        <f t="shared" si="22"/>
        <v>-0.70528747486584376</v>
      </c>
    </row>
    <row r="343" spans="1:8" x14ac:dyDescent="0.3">
      <c r="A343" s="6">
        <v>7</v>
      </c>
      <c r="B343" s="6">
        <v>6</v>
      </c>
      <c r="C343" s="6">
        <v>0</v>
      </c>
      <c r="E343" s="6">
        <f>$L$4+$L$5*Student_Performance__28[[#This Row],[Hours Studied]]+$L$6*Student_Performance__28[[#This Row],[Sleep Hours]]</f>
        <v>0.73104396905571334</v>
      </c>
      <c r="F343" s="6">
        <f t="shared" si="20"/>
        <v>2.077248058795742</v>
      </c>
      <c r="G343" s="6">
        <f t="shared" si="21"/>
        <v>0.67503432258517937</v>
      </c>
      <c r="H343" s="6">
        <f t="shared" si="22"/>
        <v>-1.1240357101837102</v>
      </c>
    </row>
    <row r="344" spans="1:8" x14ac:dyDescent="0.3">
      <c r="A344" s="6">
        <v>8</v>
      </c>
      <c r="B344" s="6">
        <v>5</v>
      </c>
      <c r="C344" s="6">
        <v>1</v>
      </c>
      <c r="E344" s="6">
        <f>$L$4+$L$5*Student_Performance__28[[#This Row],[Hours Studied]]+$L$6*Student_Performance__28[[#This Row],[Sleep Hours]]</f>
        <v>0.81010296627078293</v>
      </c>
      <c r="F344" s="6">
        <f t="shared" si="20"/>
        <v>2.2481394572955513</v>
      </c>
      <c r="G344" s="6">
        <f t="shared" si="21"/>
        <v>0.6921314453559162</v>
      </c>
      <c r="H344" s="6">
        <f t="shared" si="22"/>
        <v>-0.36797939146637737</v>
      </c>
    </row>
    <row r="345" spans="1:8" x14ac:dyDescent="0.3">
      <c r="A345" s="6">
        <v>4</v>
      </c>
      <c r="B345" s="6">
        <v>8</v>
      </c>
      <c r="C345" s="6">
        <v>1</v>
      </c>
      <c r="E345" s="6">
        <f>$L$4+$L$5*Student_Performance__28[[#This Row],[Hours Studied]]+$L$6*Student_Performance__28[[#This Row],[Sleep Hours]]</f>
        <v>0.34755266135327423</v>
      </c>
      <c r="F345" s="6">
        <f t="shared" si="20"/>
        <v>1.4155988560032864</v>
      </c>
      <c r="G345" s="6">
        <f t="shared" si="21"/>
        <v>0.58602398013445678</v>
      </c>
      <c r="H345" s="6">
        <f t="shared" si="22"/>
        <v>-0.53439456851124068</v>
      </c>
    </row>
    <row r="346" spans="1:8" x14ac:dyDescent="0.3">
      <c r="A346" s="6">
        <v>2</v>
      </c>
      <c r="B346" s="6">
        <v>7</v>
      </c>
      <c r="C346" s="6">
        <v>0</v>
      </c>
      <c r="E346" s="6">
        <f>$L$4+$L$5*Student_Performance__28[[#This Row],[Hours Studied]]+$L$6*Student_Performance__28[[#This Row],[Sleep Hours]]</f>
        <v>-0.24950828124855562</v>
      </c>
      <c r="F346" s="6">
        <f t="shared" si="20"/>
        <v>0.7791838281875958</v>
      </c>
      <c r="G346" s="6">
        <f t="shared" si="21"/>
        <v>0.43794453155598223</v>
      </c>
      <c r="H346" s="6">
        <f t="shared" si="22"/>
        <v>-0.57615473565983866</v>
      </c>
    </row>
    <row r="347" spans="1:8" x14ac:dyDescent="0.3">
      <c r="A347" s="6">
        <v>3</v>
      </c>
      <c r="B347" s="6">
        <v>8</v>
      </c>
      <c r="C347" s="6">
        <v>1</v>
      </c>
      <c r="E347" s="6">
        <f>$L$4+$L$5*Student_Performance__28[[#This Row],[Hours Studied]]+$L$6*Student_Performance__28[[#This Row],[Sleep Hours]]</f>
        <v>0.1221793480809743</v>
      </c>
      <c r="F347" s="6">
        <f t="shared" si="20"/>
        <v>1.1299567391812171</v>
      </c>
      <c r="G347" s="6">
        <f t="shared" si="21"/>
        <v>0.53050689640559889</v>
      </c>
      <c r="H347" s="6">
        <f t="shared" si="22"/>
        <v>-0.63392232119054359</v>
      </c>
    </row>
    <row r="348" spans="1:8" x14ac:dyDescent="0.3">
      <c r="A348" s="6">
        <v>1</v>
      </c>
      <c r="B348" s="6">
        <v>8</v>
      </c>
      <c r="C348" s="6">
        <v>0</v>
      </c>
      <c r="E348" s="6">
        <f>$L$4+$L$5*Student_Performance__28[[#This Row],[Hours Studied]]+$L$6*Student_Performance__28[[#This Row],[Sleep Hours]]</f>
        <v>-0.32856727846362532</v>
      </c>
      <c r="F348" s="6">
        <f t="shared" si="20"/>
        <v>0.7199544891644748</v>
      </c>
      <c r="G348" s="6">
        <f t="shared" si="21"/>
        <v>0.41858926715800293</v>
      </c>
      <c r="H348" s="6">
        <f t="shared" si="22"/>
        <v>-0.54229783068719928</v>
      </c>
    </row>
    <row r="349" spans="1:8" x14ac:dyDescent="0.3">
      <c r="A349" s="6">
        <v>8</v>
      </c>
      <c r="B349" s="6">
        <v>7</v>
      </c>
      <c r="C349" s="6">
        <v>1</v>
      </c>
      <c r="E349" s="6">
        <f>$L$4+$L$5*Student_Performance__28[[#This Row],[Hours Studied]]+$L$6*Student_Performance__28[[#This Row],[Sleep Hours]]</f>
        <v>1.1027315983852435</v>
      </c>
      <c r="F349" s="6">
        <f t="shared" si="20"/>
        <v>3.0123834172059332</v>
      </c>
      <c r="G349" s="6">
        <f t="shared" si="21"/>
        <v>0.7507715748919227</v>
      </c>
      <c r="H349" s="6">
        <f t="shared" si="22"/>
        <v>-0.28665383474684081</v>
      </c>
    </row>
    <row r="350" spans="1:8" x14ac:dyDescent="0.3">
      <c r="A350" s="6">
        <v>3</v>
      </c>
      <c r="B350" s="6">
        <v>7</v>
      </c>
      <c r="C350" s="6">
        <v>1</v>
      </c>
      <c r="E350" s="6">
        <f>$L$4+$L$5*Student_Performance__28[[#This Row],[Hours Studied]]+$L$6*Student_Performance__28[[#This Row],[Sleep Hours]]</f>
        <v>-2.4134967976255917E-2</v>
      </c>
      <c r="F350" s="6">
        <f t="shared" si="20"/>
        <v>0.97615395134319904</v>
      </c>
      <c r="G350" s="6">
        <f t="shared" si="21"/>
        <v>0.49396655087509944</v>
      </c>
      <c r="H350" s="6">
        <f t="shared" si="22"/>
        <v>-0.70528747486584376</v>
      </c>
    </row>
    <row r="351" spans="1:8" x14ac:dyDescent="0.3">
      <c r="A351" s="6">
        <v>7</v>
      </c>
      <c r="B351" s="6">
        <v>6</v>
      </c>
      <c r="C351" s="6">
        <v>0</v>
      </c>
      <c r="E351" s="6">
        <f>$L$4+$L$5*Student_Performance__28[[#This Row],[Hours Studied]]+$L$6*Student_Performance__28[[#This Row],[Sleep Hours]]</f>
        <v>0.73104396905571334</v>
      </c>
      <c r="F351" s="6">
        <f t="shared" si="20"/>
        <v>2.077248058795742</v>
      </c>
      <c r="G351" s="6">
        <f t="shared" si="21"/>
        <v>0.67503432258517937</v>
      </c>
      <c r="H351" s="6">
        <f t="shared" si="22"/>
        <v>-1.1240357101837102</v>
      </c>
    </row>
    <row r="352" spans="1:8" x14ac:dyDescent="0.3">
      <c r="A352" s="6">
        <v>5</v>
      </c>
      <c r="B352" s="6">
        <v>5</v>
      </c>
      <c r="C352" s="6">
        <v>1</v>
      </c>
      <c r="E352" s="6">
        <f>$L$4+$L$5*Student_Performance__28[[#This Row],[Hours Studied]]+$L$6*Student_Performance__28[[#This Row],[Sleep Hours]]</f>
        <v>0.13398302645388338</v>
      </c>
      <c r="F352" s="6">
        <f t="shared" si="20"/>
        <v>1.1433734123785988</v>
      </c>
      <c r="G352" s="6">
        <f t="shared" si="21"/>
        <v>0.53344573828120101</v>
      </c>
      <c r="H352" s="6">
        <f t="shared" si="22"/>
        <v>-0.62839792235173864</v>
      </c>
    </row>
    <row r="353" spans="1:8" x14ac:dyDescent="0.3">
      <c r="A353" s="6">
        <v>5</v>
      </c>
      <c r="B353" s="6">
        <v>4</v>
      </c>
      <c r="C353" s="6">
        <v>0</v>
      </c>
      <c r="E353" s="6">
        <f>$L$4+$L$5*Student_Performance__28[[#This Row],[Hours Studied]]+$L$6*Student_Performance__28[[#This Row],[Sleep Hours]]</f>
        <v>-1.233128960334684E-2</v>
      </c>
      <c r="F353" s="6">
        <f t="shared" si="20"/>
        <v>0.98774442919193028</v>
      </c>
      <c r="G353" s="6">
        <f t="shared" si="21"/>
        <v>0.49691721666324784</v>
      </c>
      <c r="H353" s="6">
        <f t="shared" si="22"/>
        <v>-0.68700054322575388</v>
      </c>
    </row>
    <row r="354" spans="1:8" x14ac:dyDescent="0.3">
      <c r="A354" s="6">
        <v>7</v>
      </c>
      <c r="B354" s="6">
        <v>5</v>
      </c>
      <c r="C354" s="6">
        <v>1</v>
      </c>
      <c r="E354" s="6">
        <f>$L$4+$L$5*Student_Performance__28[[#This Row],[Hours Studied]]+$L$6*Student_Performance__28[[#This Row],[Sleep Hours]]</f>
        <v>0.58472965299848301</v>
      </c>
      <c r="F354" s="6">
        <f t="shared" si="20"/>
        <v>1.7945057807989744</v>
      </c>
      <c r="G354" s="6">
        <f t="shared" si="21"/>
        <v>0.64215497177676584</v>
      </c>
      <c r="H354" s="6">
        <f t="shared" si="22"/>
        <v>-0.44292561536144459</v>
      </c>
    </row>
    <row r="355" spans="1:8" x14ac:dyDescent="0.3">
      <c r="A355" s="6">
        <v>9</v>
      </c>
      <c r="B355" s="6">
        <v>4</v>
      </c>
      <c r="C355" s="6">
        <v>0</v>
      </c>
      <c r="E355" s="6">
        <f>$L$4+$L$5*Student_Performance__28[[#This Row],[Hours Studied]]+$L$6*Student_Performance__28[[#This Row],[Sleep Hours]]</f>
        <v>0.88916196348585264</v>
      </c>
      <c r="F355" s="6">
        <f t="shared" si="20"/>
        <v>2.4330897785886991</v>
      </c>
      <c r="G355" s="6">
        <f t="shared" si="21"/>
        <v>0.70871720097833046</v>
      </c>
      <c r="H355" s="6">
        <f t="shared" si="22"/>
        <v>-1.2334606657761058</v>
      </c>
    </row>
    <row r="356" spans="1:8" x14ac:dyDescent="0.3">
      <c r="A356" s="6">
        <v>5</v>
      </c>
      <c r="B356" s="6">
        <v>7</v>
      </c>
      <c r="C356" s="6">
        <v>1</v>
      </c>
      <c r="E356" s="6">
        <f>$L$4+$L$5*Student_Performance__28[[#This Row],[Hours Studied]]+$L$6*Student_Performance__28[[#This Row],[Sleep Hours]]</f>
        <v>0.42661165856834393</v>
      </c>
      <c r="F356" s="6">
        <f t="shared" si="20"/>
        <v>1.5320575847491342</v>
      </c>
      <c r="G356" s="6">
        <f t="shared" si="21"/>
        <v>0.60506427420011621</v>
      </c>
      <c r="H356" s="6">
        <f t="shared" si="22"/>
        <v>-0.50242058824688962</v>
      </c>
    </row>
    <row r="357" spans="1:8" x14ac:dyDescent="0.3">
      <c r="A357" s="6">
        <v>1</v>
      </c>
      <c r="B357" s="6">
        <v>8</v>
      </c>
      <c r="C357" s="6">
        <v>1</v>
      </c>
      <c r="E357" s="6">
        <f>$L$4+$L$5*Student_Performance__28[[#This Row],[Hours Studied]]+$L$6*Student_Performance__28[[#This Row],[Sleep Hours]]</f>
        <v>-0.32856727846362532</v>
      </c>
      <c r="F357" s="6">
        <f t="shared" si="20"/>
        <v>0.7199544891644748</v>
      </c>
      <c r="G357" s="6">
        <f t="shared" si="21"/>
        <v>0.41858926715800293</v>
      </c>
      <c r="H357" s="6">
        <f t="shared" si="22"/>
        <v>-0.8708651091508246</v>
      </c>
    </row>
    <row r="358" spans="1:8" x14ac:dyDescent="0.3">
      <c r="A358" s="6">
        <v>1</v>
      </c>
      <c r="B358" s="6">
        <v>5</v>
      </c>
      <c r="C358" s="6">
        <v>1</v>
      </c>
      <c r="E358" s="6">
        <f>$L$4+$L$5*Student_Performance__28[[#This Row],[Hours Studied]]+$L$6*Student_Performance__28[[#This Row],[Sleep Hours]]</f>
        <v>-0.7675102266353161</v>
      </c>
      <c r="F358" s="6">
        <f t="shared" si="20"/>
        <v>0.46416730221036412</v>
      </c>
      <c r="G358" s="6">
        <f t="shared" si="21"/>
        <v>0.3170179401695688</v>
      </c>
      <c r="H358" s="6">
        <f t="shared" si="22"/>
        <v>-1.1487969131113593</v>
      </c>
    </row>
    <row r="359" spans="1:8" x14ac:dyDescent="0.3">
      <c r="A359" s="6">
        <v>2</v>
      </c>
      <c r="B359" s="6">
        <v>8</v>
      </c>
      <c r="C359" s="6">
        <v>0</v>
      </c>
      <c r="E359" s="6">
        <f>$L$4+$L$5*Student_Performance__28[[#This Row],[Hours Studied]]+$L$6*Student_Performance__28[[#This Row],[Sleep Hours]]</f>
        <v>-0.1031939651913254</v>
      </c>
      <c r="F359" s="6">
        <f t="shared" si="20"/>
        <v>0.90195200921954211</v>
      </c>
      <c r="G359" s="6">
        <f t="shared" si="21"/>
        <v>0.47422437834782921</v>
      </c>
      <c r="H359" s="6">
        <f t="shared" si="22"/>
        <v>-0.64288073205910101</v>
      </c>
    </row>
    <row r="360" spans="1:8" x14ac:dyDescent="0.3">
      <c r="A360" s="6">
        <v>6</v>
      </c>
      <c r="B360" s="6">
        <v>5</v>
      </c>
      <c r="C360" s="6">
        <v>1</v>
      </c>
      <c r="E360" s="6">
        <f>$L$4+$L$5*Student_Performance__28[[#This Row],[Hours Studied]]+$L$6*Student_Performance__28[[#This Row],[Sleep Hours]]</f>
        <v>0.35935633972618308</v>
      </c>
      <c r="F360" s="6">
        <f t="shared" si="20"/>
        <v>1.4324071342063487</v>
      </c>
      <c r="G360" s="6">
        <f t="shared" si="21"/>
        <v>0.58888461313188745</v>
      </c>
      <c r="H360" s="6">
        <f t="shared" si="22"/>
        <v>-0.52952501752393877</v>
      </c>
    </row>
    <row r="361" spans="1:8" x14ac:dyDescent="0.3">
      <c r="A361" s="6">
        <v>9</v>
      </c>
      <c r="B361" s="6">
        <v>9</v>
      </c>
      <c r="C361" s="6">
        <v>1</v>
      </c>
      <c r="E361" s="6">
        <f>$L$4+$L$5*Student_Performance__28[[#This Row],[Hours Studied]]+$L$6*Student_Performance__28[[#This Row],[Sleep Hours]]</f>
        <v>1.6207335437720038</v>
      </c>
      <c r="F361" s="6">
        <f t="shared" si="20"/>
        <v>5.0567983393271883</v>
      </c>
      <c r="G361" s="6">
        <f t="shared" si="21"/>
        <v>0.83489626961707897</v>
      </c>
      <c r="H361" s="6">
        <f t="shared" si="22"/>
        <v>-0.18044778985171736</v>
      </c>
    </row>
    <row r="362" spans="1:8" x14ac:dyDescent="0.3">
      <c r="A362" s="6">
        <v>8</v>
      </c>
      <c r="B362" s="6">
        <v>5</v>
      </c>
      <c r="C362" s="6">
        <v>1</v>
      </c>
      <c r="E362" s="6">
        <f>$L$4+$L$5*Student_Performance__28[[#This Row],[Hours Studied]]+$L$6*Student_Performance__28[[#This Row],[Sleep Hours]]</f>
        <v>0.81010296627078293</v>
      </c>
      <c r="F362" s="6">
        <f t="shared" si="20"/>
        <v>2.2481394572955513</v>
      </c>
      <c r="G362" s="6">
        <f t="shared" si="21"/>
        <v>0.6921314453559162</v>
      </c>
      <c r="H362" s="6">
        <f t="shared" si="22"/>
        <v>-0.36797939146637737</v>
      </c>
    </row>
    <row r="363" spans="1:8" x14ac:dyDescent="0.3">
      <c r="A363" s="6">
        <v>5</v>
      </c>
      <c r="B363" s="6">
        <v>8</v>
      </c>
      <c r="C363" s="6">
        <v>1</v>
      </c>
      <c r="E363" s="6">
        <f>$L$4+$L$5*Student_Performance__28[[#This Row],[Hours Studied]]+$L$6*Student_Performance__28[[#This Row],[Sleep Hours]]</f>
        <v>0.57292597462557415</v>
      </c>
      <c r="F363" s="6">
        <f t="shared" si="20"/>
        <v>1.7734485327021301</v>
      </c>
      <c r="G363" s="6">
        <f t="shared" si="21"/>
        <v>0.6394380540295389</v>
      </c>
      <c r="H363" s="6">
        <f t="shared" si="22"/>
        <v>-0.44716552891068606</v>
      </c>
    </row>
    <row r="364" spans="1:8" x14ac:dyDescent="0.3">
      <c r="A364" s="6">
        <v>1</v>
      </c>
      <c r="B364" s="6">
        <v>9</v>
      </c>
      <c r="C364" s="6">
        <v>1</v>
      </c>
      <c r="E364" s="6">
        <f>$L$4+$L$5*Student_Performance__28[[#This Row],[Hours Studied]]+$L$6*Student_Performance__28[[#This Row],[Sleep Hours]]</f>
        <v>-0.1822529624063951</v>
      </c>
      <c r="F364" s="6">
        <f t="shared" si="20"/>
        <v>0.83339049728350689</v>
      </c>
      <c r="G364" s="6">
        <f t="shared" si="21"/>
        <v>0.45456246147142287</v>
      </c>
      <c r="H364" s="6">
        <f t="shared" si="22"/>
        <v>-0.78841994582707242</v>
      </c>
    </row>
    <row r="365" spans="1:8" x14ac:dyDescent="0.3">
      <c r="A365" s="6">
        <v>7</v>
      </c>
      <c r="B365" s="6">
        <v>6</v>
      </c>
      <c r="C365" s="6">
        <v>1</v>
      </c>
      <c r="E365" s="6">
        <f>$L$4+$L$5*Student_Performance__28[[#This Row],[Hours Studied]]+$L$6*Student_Performance__28[[#This Row],[Sleep Hours]]</f>
        <v>0.73104396905571334</v>
      </c>
      <c r="F365" s="6">
        <f t="shared" si="20"/>
        <v>2.077248058795742</v>
      </c>
      <c r="G365" s="6">
        <f t="shared" si="21"/>
        <v>0.67503432258517937</v>
      </c>
      <c r="H365" s="6">
        <f t="shared" si="22"/>
        <v>-0.39299174112799712</v>
      </c>
    </row>
    <row r="366" spans="1:8" x14ac:dyDescent="0.3">
      <c r="A366" s="6">
        <v>5</v>
      </c>
      <c r="B366" s="6">
        <v>7</v>
      </c>
      <c r="C366" s="6">
        <v>0</v>
      </c>
      <c r="E366" s="6">
        <f>$L$4+$L$5*Student_Performance__28[[#This Row],[Hours Studied]]+$L$6*Student_Performance__28[[#This Row],[Sleep Hours]]</f>
        <v>0.42661165856834393</v>
      </c>
      <c r="F366" s="6">
        <f t="shared" si="20"/>
        <v>1.5320575847491342</v>
      </c>
      <c r="G366" s="6">
        <f t="shared" si="21"/>
        <v>0.60506427420011621</v>
      </c>
      <c r="H366" s="6">
        <f t="shared" si="22"/>
        <v>-0.92903224681523344</v>
      </c>
    </row>
    <row r="367" spans="1:8" x14ac:dyDescent="0.3">
      <c r="A367" s="6">
        <v>6</v>
      </c>
      <c r="B367" s="6">
        <v>6</v>
      </c>
      <c r="C367" s="6">
        <v>1</v>
      </c>
      <c r="E367" s="6">
        <f>$L$4+$L$5*Student_Performance__28[[#This Row],[Hours Studied]]+$L$6*Student_Performance__28[[#This Row],[Sleep Hours]]</f>
        <v>0.50567065578341341</v>
      </c>
      <c r="F367" s="6">
        <f t="shared" si="20"/>
        <v>1.6580971601052923</v>
      </c>
      <c r="G367" s="6">
        <f t="shared" si="21"/>
        <v>0.62379102802984521</v>
      </c>
      <c r="H367" s="6">
        <f t="shared" si="22"/>
        <v>-0.4719398576790278</v>
      </c>
    </row>
    <row r="368" spans="1:8" x14ac:dyDescent="0.3">
      <c r="A368" s="6">
        <v>7</v>
      </c>
      <c r="B368" s="6">
        <v>6</v>
      </c>
      <c r="C368" s="6">
        <v>0</v>
      </c>
      <c r="E368" s="6">
        <f>$L$4+$L$5*Student_Performance__28[[#This Row],[Hours Studied]]+$L$6*Student_Performance__28[[#This Row],[Sleep Hours]]</f>
        <v>0.73104396905571334</v>
      </c>
      <c r="F368" s="6">
        <f t="shared" si="20"/>
        <v>2.077248058795742</v>
      </c>
      <c r="G368" s="6">
        <f t="shared" si="21"/>
        <v>0.67503432258517937</v>
      </c>
      <c r="H368" s="6">
        <f t="shared" si="22"/>
        <v>-1.1240357101837102</v>
      </c>
    </row>
    <row r="369" spans="1:8" x14ac:dyDescent="0.3">
      <c r="A369" s="6">
        <v>3</v>
      </c>
      <c r="B369" s="6">
        <v>5</v>
      </c>
      <c r="C369" s="6">
        <v>0</v>
      </c>
      <c r="E369" s="6">
        <f>$L$4+$L$5*Student_Performance__28[[#This Row],[Hours Studied]]+$L$6*Student_Performance__28[[#This Row],[Sleep Hours]]</f>
        <v>-0.31676360009071647</v>
      </c>
      <c r="F369" s="6">
        <f t="shared" si="20"/>
        <v>0.72850295280309751</v>
      </c>
      <c r="G369" s="6">
        <f t="shared" si="21"/>
        <v>0.42146468516104696</v>
      </c>
      <c r="H369" s="6">
        <f t="shared" si="22"/>
        <v>-0.54725568868187102</v>
      </c>
    </row>
    <row r="370" spans="1:8" x14ac:dyDescent="0.3">
      <c r="A370" s="6">
        <v>3</v>
      </c>
      <c r="B370" s="6">
        <v>7</v>
      </c>
      <c r="C370" s="6">
        <v>0</v>
      </c>
      <c r="E370" s="6">
        <f>$L$4+$L$5*Student_Performance__28[[#This Row],[Hours Studied]]+$L$6*Student_Performance__28[[#This Row],[Sleep Hours]]</f>
        <v>-2.4134967976255917E-2</v>
      </c>
      <c r="F370" s="6">
        <f t="shared" si="20"/>
        <v>0.97615395134319904</v>
      </c>
      <c r="G370" s="6">
        <f t="shared" si="21"/>
        <v>0.49396655087509944</v>
      </c>
      <c r="H370" s="6">
        <f t="shared" si="22"/>
        <v>-0.68115250688958806</v>
      </c>
    </row>
    <row r="371" spans="1:8" x14ac:dyDescent="0.3">
      <c r="A371" s="6">
        <v>5</v>
      </c>
      <c r="B371" s="6">
        <v>9</v>
      </c>
      <c r="C371" s="6">
        <v>1</v>
      </c>
      <c r="E371" s="6">
        <f>$L$4+$L$5*Student_Performance__28[[#This Row],[Hours Studied]]+$L$6*Student_Performance__28[[#This Row],[Sleep Hours]]</f>
        <v>0.71924029068280437</v>
      </c>
      <c r="F371" s="6">
        <f t="shared" si="20"/>
        <v>2.0528730313086334</v>
      </c>
      <c r="G371" s="6">
        <f t="shared" si="21"/>
        <v>0.67243970196449876</v>
      </c>
      <c r="H371" s="6">
        <f t="shared" si="22"/>
        <v>-0.39684283403238724</v>
      </c>
    </row>
    <row r="372" spans="1:8" x14ac:dyDescent="0.3">
      <c r="A372" s="6">
        <v>6</v>
      </c>
      <c r="B372" s="6">
        <v>5</v>
      </c>
      <c r="C372" s="6">
        <v>1</v>
      </c>
      <c r="E372" s="6">
        <f>$L$4+$L$5*Student_Performance__28[[#This Row],[Hours Studied]]+$L$6*Student_Performance__28[[#This Row],[Sleep Hours]]</f>
        <v>0.35935633972618308</v>
      </c>
      <c r="F372" s="6">
        <f t="shared" si="20"/>
        <v>1.4324071342063487</v>
      </c>
      <c r="G372" s="6">
        <f t="shared" si="21"/>
        <v>0.58888461313188745</v>
      </c>
      <c r="H372" s="6">
        <f t="shared" si="22"/>
        <v>-0.52952501752393877</v>
      </c>
    </row>
    <row r="373" spans="1:8" x14ac:dyDescent="0.3">
      <c r="A373" s="6">
        <v>9</v>
      </c>
      <c r="B373" s="6">
        <v>4</v>
      </c>
      <c r="C373" s="6">
        <v>1</v>
      </c>
      <c r="E373" s="6">
        <f>$L$4+$L$5*Student_Performance__28[[#This Row],[Hours Studied]]+$L$6*Student_Performance__28[[#This Row],[Sleep Hours]]</f>
        <v>0.88916196348585264</v>
      </c>
      <c r="F373" s="6">
        <f t="shared" si="20"/>
        <v>2.4330897785886991</v>
      </c>
      <c r="G373" s="6">
        <f t="shared" si="21"/>
        <v>0.70871720097833046</v>
      </c>
      <c r="H373" s="6">
        <f t="shared" si="22"/>
        <v>-0.34429870229025311</v>
      </c>
    </row>
    <row r="374" spans="1:8" x14ac:dyDescent="0.3">
      <c r="A374" s="6">
        <v>5</v>
      </c>
      <c r="B374" s="6">
        <v>5</v>
      </c>
      <c r="C374" s="6">
        <v>1</v>
      </c>
      <c r="E374" s="6">
        <f>$L$4+$L$5*Student_Performance__28[[#This Row],[Hours Studied]]+$L$6*Student_Performance__28[[#This Row],[Sleep Hours]]</f>
        <v>0.13398302645388338</v>
      </c>
      <c r="F374" s="6">
        <f t="shared" si="20"/>
        <v>1.1433734123785988</v>
      </c>
      <c r="G374" s="6">
        <f t="shared" si="21"/>
        <v>0.53344573828120101</v>
      </c>
      <c r="H374" s="6">
        <f t="shared" si="22"/>
        <v>-0.62839792235173864</v>
      </c>
    </row>
    <row r="375" spans="1:8" x14ac:dyDescent="0.3">
      <c r="A375" s="6">
        <v>1</v>
      </c>
      <c r="B375" s="6">
        <v>9</v>
      </c>
      <c r="C375" s="6">
        <v>1</v>
      </c>
      <c r="E375" s="6">
        <f>$L$4+$L$5*Student_Performance__28[[#This Row],[Hours Studied]]+$L$6*Student_Performance__28[[#This Row],[Sleep Hours]]</f>
        <v>-0.1822529624063951</v>
      </c>
      <c r="F375" s="6">
        <f t="shared" si="20"/>
        <v>0.83339049728350689</v>
      </c>
      <c r="G375" s="6">
        <f t="shared" si="21"/>
        <v>0.45456246147142287</v>
      </c>
      <c r="H375" s="6">
        <f t="shared" si="22"/>
        <v>-0.78841994582707242</v>
      </c>
    </row>
    <row r="376" spans="1:8" x14ac:dyDescent="0.3">
      <c r="A376" s="6">
        <v>4</v>
      </c>
      <c r="B376" s="6">
        <v>8</v>
      </c>
      <c r="C376" s="6">
        <v>0</v>
      </c>
      <c r="E376" s="6">
        <f>$L$4+$L$5*Student_Performance__28[[#This Row],[Hours Studied]]+$L$6*Student_Performance__28[[#This Row],[Sleep Hours]]</f>
        <v>0.34755266135327423</v>
      </c>
      <c r="F376" s="6">
        <f t="shared" si="20"/>
        <v>1.4155988560032864</v>
      </c>
      <c r="G376" s="6">
        <f t="shared" si="21"/>
        <v>0.58602398013445678</v>
      </c>
      <c r="H376" s="6">
        <f t="shared" si="22"/>
        <v>-0.88194722986451501</v>
      </c>
    </row>
    <row r="377" spans="1:8" x14ac:dyDescent="0.3">
      <c r="A377" s="6">
        <v>5</v>
      </c>
      <c r="B377" s="6">
        <v>5</v>
      </c>
      <c r="C377" s="6">
        <v>0</v>
      </c>
      <c r="E377" s="6">
        <f>$L$4+$L$5*Student_Performance__28[[#This Row],[Hours Studied]]+$L$6*Student_Performance__28[[#This Row],[Sleep Hours]]</f>
        <v>0.13398302645388338</v>
      </c>
      <c r="F377" s="6">
        <f t="shared" si="20"/>
        <v>1.1433734123785988</v>
      </c>
      <c r="G377" s="6">
        <f t="shared" si="21"/>
        <v>0.53344573828120101</v>
      </c>
      <c r="H377" s="6">
        <f t="shared" si="22"/>
        <v>-0.76238094880562191</v>
      </c>
    </row>
    <row r="378" spans="1:8" x14ac:dyDescent="0.3">
      <c r="A378" s="6">
        <v>5</v>
      </c>
      <c r="B378" s="6">
        <v>4</v>
      </c>
      <c r="C378" s="6">
        <v>0</v>
      </c>
      <c r="E378" s="6">
        <f>$L$4+$L$5*Student_Performance__28[[#This Row],[Hours Studied]]+$L$6*Student_Performance__28[[#This Row],[Sleep Hours]]</f>
        <v>-1.233128960334684E-2</v>
      </c>
      <c r="F378" s="6">
        <f t="shared" si="20"/>
        <v>0.98774442919193028</v>
      </c>
      <c r="G378" s="6">
        <f t="shared" si="21"/>
        <v>0.49691721666324784</v>
      </c>
      <c r="H378" s="6">
        <f t="shared" si="22"/>
        <v>-0.68700054322575388</v>
      </c>
    </row>
    <row r="379" spans="1:8" x14ac:dyDescent="0.3">
      <c r="A379" s="6">
        <v>7</v>
      </c>
      <c r="B379" s="6">
        <v>5</v>
      </c>
      <c r="C379" s="6">
        <v>0</v>
      </c>
      <c r="E379" s="6">
        <f>$L$4+$L$5*Student_Performance__28[[#This Row],[Hours Studied]]+$L$6*Student_Performance__28[[#This Row],[Sleep Hours]]</f>
        <v>0.58472965299848301</v>
      </c>
      <c r="F379" s="6">
        <f t="shared" si="20"/>
        <v>1.7945057807989744</v>
      </c>
      <c r="G379" s="6">
        <f t="shared" si="21"/>
        <v>0.64215497177676584</v>
      </c>
      <c r="H379" s="6">
        <f t="shared" si="22"/>
        <v>-1.0276552683599276</v>
      </c>
    </row>
    <row r="380" spans="1:8" x14ac:dyDescent="0.3">
      <c r="A380" s="6">
        <v>4</v>
      </c>
      <c r="B380" s="6">
        <v>9</v>
      </c>
      <c r="C380" s="6">
        <v>0</v>
      </c>
      <c r="E380" s="6">
        <f>$L$4+$L$5*Student_Performance__28[[#This Row],[Hours Studied]]+$L$6*Student_Performance__28[[#This Row],[Sleep Hours]]</f>
        <v>0.49386697741050445</v>
      </c>
      <c r="F380" s="6">
        <f t="shared" si="20"/>
        <v>1.6386405700833506</v>
      </c>
      <c r="G380" s="6">
        <f t="shared" si="21"/>
        <v>0.62101696936752104</v>
      </c>
      <c r="H380" s="6">
        <f t="shared" si="22"/>
        <v>-0.97026384895888251</v>
      </c>
    </row>
    <row r="381" spans="1:8" x14ac:dyDescent="0.3">
      <c r="A381" s="6">
        <v>1</v>
      </c>
      <c r="B381" s="6">
        <v>4</v>
      </c>
      <c r="C381" s="6">
        <v>1</v>
      </c>
      <c r="E381" s="6">
        <f>$L$4+$L$5*Student_Performance__28[[#This Row],[Hours Studied]]+$L$6*Student_Performance__28[[#This Row],[Sleep Hours]]</f>
        <v>-0.91382454269254632</v>
      </c>
      <c r="F381" s="6">
        <f t="shared" si="20"/>
        <v>0.40098769309104837</v>
      </c>
      <c r="G381" s="6">
        <f t="shared" si="21"/>
        <v>0.28621785549474399</v>
      </c>
      <c r="H381" s="6">
        <f t="shared" si="22"/>
        <v>-1.2510020256341354</v>
      </c>
    </row>
    <row r="382" spans="1:8" x14ac:dyDescent="0.3">
      <c r="A382" s="6">
        <v>5</v>
      </c>
      <c r="B382" s="6">
        <v>7</v>
      </c>
      <c r="C382" s="6">
        <v>0</v>
      </c>
      <c r="E382" s="6">
        <f>$L$4+$L$5*Student_Performance__28[[#This Row],[Hours Studied]]+$L$6*Student_Performance__28[[#This Row],[Sleep Hours]]</f>
        <v>0.42661165856834393</v>
      </c>
      <c r="F382" s="6">
        <f t="shared" si="20"/>
        <v>1.5320575847491342</v>
      </c>
      <c r="G382" s="6">
        <f t="shared" si="21"/>
        <v>0.60506427420011621</v>
      </c>
      <c r="H382" s="6">
        <f t="shared" si="22"/>
        <v>-0.92903224681523344</v>
      </c>
    </row>
    <row r="383" spans="1:8" x14ac:dyDescent="0.3">
      <c r="A383" s="6">
        <v>7</v>
      </c>
      <c r="B383" s="6">
        <v>9</v>
      </c>
      <c r="C383" s="6">
        <v>1</v>
      </c>
      <c r="E383" s="6">
        <f>$L$4+$L$5*Student_Performance__28[[#This Row],[Hours Studied]]+$L$6*Student_Performance__28[[#This Row],[Sleep Hours]]</f>
        <v>1.169986917227404</v>
      </c>
      <c r="F383" s="6">
        <f t="shared" si="20"/>
        <v>3.2219504862072395</v>
      </c>
      <c r="G383" s="6">
        <f t="shared" si="21"/>
        <v>0.76314265094606948</v>
      </c>
      <c r="H383" s="6">
        <f t="shared" si="22"/>
        <v>-0.27031030456179889</v>
      </c>
    </row>
    <row r="384" spans="1:8" x14ac:dyDescent="0.3">
      <c r="A384" s="6">
        <v>6</v>
      </c>
      <c r="B384" s="6">
        <v>5</v>
      </c>
      <c r="C384" s="6">
        <v>1</v>
      </c>
      <c r="E384" s="6">
        <f>$L$4+$L$5*Student_Performance__28[[#This Row],[Hours Studied]]+$L$6*Student_Performance__28[[#This Row],[Sleep Hours]]</f>
        <v>0.35935633972618308</v>
      </c>
      <c r="F384" s="6">
        <f t="shared" si="20"/>
        <v>1.4324071342063487</v>
      </c>
      <c r="G384" s="6">
        <f t="shared" si="21"/>
        <v>0.58888461313188745</v>
      </c>
      <c r="H384" s="6">
        <f t="shared" si="22"/>
        <v>-0.52952501752393877</v>
      </c>
    </row>
    <row r="385" spans="1:8" x14ac:dyDescent="0.3">
      <c r="A385" s="6">
        <v>5</v>
      </c>
      <c r="B385" s="6">
        <v>4</v>
      </c>
      <c r="C385" s="6">
        <v>0</v>
      </c>
      <c r="E385" s="6">
        <f>$L$4+$L$5*Student_Performance__28[[#This Row],[Hours Studied]]+$L$6*Student_Performance__28[[#This Row],[Sleep Hours]]</f>
        <v>-1.233128960334684E-2</v>
      </c>
      <c r="F385" s="6">
        <f t="shared" si="20"/>
        <v>0.98774442919193028</v>
      </c>
      <c r="G385" s="6">
        <f t="shared" si="21"/>
        <v>0.49691721666324784</v>
      </c>
      <c r="H385" s="6">
        <f t="shared" si="22"/>
        <v>-0.68700054322575388</v>
      </c>
    </row>
    <row r="386" spans="1:8" x14ac:dyDescent="0.3">
      <c r="A386" s="6">
        <v>4</v>
      </c>
      <c r="B386" s="6">
        <v>9</v>
      </c>
      <c r="C386" s="6">
        <v>1</v>
      </c>
      <c r="E386" s="6">
        <f>$L$4+$L$5*Student_Performance__28[[#This Row],[Hours Studied]]+$L$6*Student_Performance__28[[#This Row],[Sleep Hours]]</f>
        <v>0.49386697741050445</v>
      </c>
      <c r="F386" s="6">
        <f t="shared" si="20"/>
        <v>1.6386405700833506</v>
      </c>
      <c r="G386" s="6">
        <f t="shared" si="21"/>
        <v>0.62101696936752104</v>
      </c>
      <c r="H386" s="6">
        <f t="shared" si="22"/>
        <v>-0.47639687154837829</v>
      </c>
    </row>
    <row r="387" spans="1:8" x14ac:dyDescent="0.3">
      <c r="A387" s="6">
        <v>2</v>
      </c>
      <c r="B387" s="6">
        <v>7</v>
      </c>
      <c r="C387" s="6">
        <v>0</v>
      </c>
      <c r="E387" s="6">
        <f>$L$4+$L$5*Student_Performance__28[[#This Row],[Hours Studied]]+$L$6*Student_Performance__28[[#This Row],[Sleep Hours]]</f>
        <v>-0.24950828124855562</v>
      </c>
      <c r="F387" s="6">
        <f t="shared" ref="F387:F450" si="23">EXP(E387)</f>
        <v>0.7791838281875958</v>
      </c>
      <c r="G387" s="6">
        <f t="shared" ref="G387:G450" si="24">F387/(1+F387)</f>
        <v>0.43794453155598223</v>
      </c>
      <c r="H387" s="6">
        <f t="shared" ref="H387:H450" si="25">C387*LN(G387)+(1-C387)*LN(1-G387)</f>
        <v>-0.57615473565983866</v>
      </c>
    </row>
    <row r="388" spans="1:8" x14ac:dyDescent="0.3">
      <c r="A388" s="6">
        <v>4</v>
      </c>
      <c r="B388" s="6">
        <v>8</v>
      </c>
      <c r="C388" s="6">
        <v>1</v>
      </c>
      <c r="E388" s="6">
        <f>$L$4+$L$5*Student_Performance__28[[#This Row],[Hours Studied]]+$L$6*Student_Performance__28[[#This Row],[Sleep Hours]]</f>
        <v>0.34755266135327423</v>
      </c>
      <c r="F388" s="6">
        <f t="shared" si="23"/>
        <v>1.4155988560032864</v>
      </c>
      <c r="G388" s="6">
        <f t="shared" si="24"/>
        <v>0.58602398013445678</v>
      </c>
      <c r="H388" s="6">
        <f t="shared" si="25"/>
        <v>-0.53439456851124068</v>
      </c>
    </row>
    <row r="389" spans="1:8" x14ac:dyDescent="0.3">
      <c r="A389" s="6">
        <v>3</v>
      </c>
      <c r="B389" s="6">
        <v>6</v>
      </c>
      <c r="C389" s="6">
        <v>1</v>
      </c>
      <c r="E389" s="6">
        <f>$L$4+$L$5*Student_Performance__28[[#This Row],[Hours Studied]]+$L$6*Student_Performance__28[[#This Row],[Sleep Hours]]</f>
        <v>-0.17044928403348614</v>
      </c>
      <c r="F389" s="6">
        <f t="shared" si="23"/>
        <v>0.84328585660138511</v>
      </c>
      <c r="G389" s="6">
        <f t="shared" si="24"/>
        <v>0.45749054796971061</v>
      </c>
      <c r="H389" s="6">
        <f t="shared" si="25"/>
        <v>-0.78199905465548136</v>
      </c>
    </row>
    <row r="390" spans="1:8" x14ac:dyDescent="0.3">
      <c r="A390" s="6">
        <v>1</v>
      </c>
      <c r="B390" s="6">
        <v>4</v>
      </c>
      <c r="C390" s="6">
        <v>0</v>
      </c>
      <c r="E390" s="6">
        <f>$L$4+$L$5*Student_Performance__28[[#This Row],[Hours Studied]]+$L$6*Student_Performance__28[[#This Row],[Sleep Hours]]</f>
        <v>-0.91382454269254632</v>
      </c>
      <c r="F390" s="6">
        <f t="shared" si="23"/>
        <v>0.40098769309104837</v>
      </c>
      <c r="G390" s="6">
        <f t="shared" si="24"/>
        <v>0.28621785549474399</v>
      </c>
      <c r="H390" s="6">
        <f t="shared" si="25"/>
        <v>-0.33717748294158933</v>
      </c>
    </row>
    <row r="391" spans="1:8" x14ac:dyDescent="0.3">
      <c r="A391" s="6">
        <v>8</v>
      </c>
      <c r="B391" s="6">
        <v>8</v>
      </c>
      <c r="C391" s="6">
        <v>1</v>
      </c>
      <c r="E391" s="6">
        <f>$L$4+$L$5*Student_Performance__28[[#This Row],[Hours Studied]]+$L$6*Student_Performance__28[[#This Row],[Sleep Hours]]</f>
        <v>1.2490459144424737</v>
      </c>
      <c r="F391" s="6">
        <f t="shared" si="23"/>
        <v>3.4870144597436026</v>
      </c>
      <c r="G391" s="6">
        <f t="shared" si="24"/>
        <v>0.7771346607032904</v>
      </c>
      <c r="H391" s="6">
        <f t="shared" si="25"/>
        <v>-0.25214163513222926</v>
      </c>
    </row>
    <row r="392" spans="1:8" x14ac:dyDescent="0.3">
      <c r="A392" s="6">
        <v>5</v>
      </c>
      <c r="B392" s="6">
        <v>7</v>
      </c>
      <c r="C392" s="6">
        <v>1</v>
      </c>
      <c r="E392" s="6">
        <f>$L$4+$L$5*Student_Performance__28[[#This Row],[Hours Studied]]+$L$6*Student_Performance__28[[#This Row],[Sleep Hours]]</f>
        <v>0.42661165856834393</v>
      </c>
      <c r="F392" s="6">
        <f t="shared" si="23"/>
        <v>1.5320575847491342</v>
      </c>
      <c r="G392" s="6">
        <f t="shared" si="24"/>
        <v>0.60506427420011621</v>
      </c>
      <c r="H392" s="6">
        <f t="shared" si="25"/>
        <v>-0.50242058824688962</v>
      </c>
    </row>
    <row r="393" spans="1:8" x14ac:dyDescent="0.3">
      <c r="A393" s="6">
        <v>4</v>
      </c>
      <c r="B393" s="6">
        <v>8</v>
      </c>
      <c r="C393" s="6">
        <v>1</v>
      </c>
      <c r="E393" s="6">
        <f>$L$4+$L$5*Student_Performance__28[[#This Row],[Hours Studied]]+$L$6*Student_Performance__28[[#This Row],[Sleep Hours]]</f>
        <v>0.34755266135327423</v>
      </c>
      <c r="F393" s="6">
        <f t="shared" si="23"/>
        <v>1.4155988560032864</v>
      </c>
      <c r="G393" s="6">
        <f t="shared" si="24"/>
        <v>0.58602398013445678</v>
      </c>
      <c r="H393" s="6">
        <f t="shared" si="25"/>
        <v>-0.53439456851124068</v>
      </c>
    </row>
    <row r="394" spans="1:8" x14ac:dyDescent="0.3">
      <c r="A394" s="6">
        <v>8</v>
      </c>
      <c r="B394" s="6">
        <v>5</v>
      </c>
      <c r="C394" s="6">
        <v>1</v>
      </c>
      <c r="E394" s="6">
        <f>$L$4+$L$5*Student_Performance__28[[#This Row],[Hours Studied]]+$L$6*Student_Performance__28[[#This Row],[Sleep Hours]]</f>
        <v>0.81010296627078293</v>
      </c>
      <c r="F394" s="6">
        <f t="shared" si="23"/>
        <v>2.2481394572955513</v>
      </c>
      <c r="G394" s="6">
        <f t="shared" si="24"/>
        <v>0.6921314453559162</v>
      </c>
      <c r="H394" s="6">
        <f t="shared" si="25"/>
        <v>-0.36797939146637737</v>
      </c>
    </row>
    <row r="395" spans="1:8" x14ac:dyDescent="0.3">
      <c r="A395" s="6">
        <v>7</v>
      </c>
      <c r="B395" s="6">
        <v>6</v>
      </c>
      <c r="C395" s="6">
        <v>1</v>
      </c>
      <c r="E395" s="6">
        <f>$L$4+$L$5*Student_Performance__28[[#This Row],[Hours Studied]]+$L$6*Student_Performance__28[[#This Row],[Sleep Hours]]</f>
        <v>0.73104396905571334</v>
      </c>
      <c r="F395" s="6">
        <f t="shared" si="23"/>
        <v>2.077248058795742</v>
      </c>
      <c r="G395" s="6">
        <f t="shared" si="24"/>
        <v>0.67503432258517937</v>
      </c>
      <c r="H395" s="6">
        <f t="shared" si="25"/>
        <v>-0.39299174112799712</v>
      </c>
    </row>
    <row r="396" spans="1:8" x14ac:dyDescent="0.3">
      <c r="A396" s="6">
        <v>2</v>
      </c>
      <c r="B396" s="6">
        <v>4</v>
      </c>
      <c r="C396" s="6">
        <v>0</v>
      </c>
      <c r="E396" s="6">
        <f>$L$4+$L$5*Student_Performance__28[[#This Row],[Hours Studied]]+$L$6*Student_Performance__28[[#This Row],[Sleep Hours]]</f>
        <v>-0.68845122942024639</v>
      </c>
      <c r="F396" s="6">
        <f t="shared" si="23"/>
        <v>0.5023534971988427</v>
      </c>
      <c r="G396" s="6">
        <f t="shared" si="24"/>
        <v>0.33437769348924018</v>
      </c>
      <c r="H396" s="6">
        <f t="shared" si="25"/>
        <v>-0.4070328766491394</v>
      </c>
    </row>
    <row r="397" spans="1:8" x14ac:dyDescent="0.3">
      <c r="A397" s="6">
        <v>1</v>
      </c>
      <c r="B397" s="6">
        <v>9</v>
      </c>
      <c r="C397" s="6">
        <v>1</v>
      </c>
      <c r="E397" s="6">
        <f>$L$4+$L$5*Student_Performance__28[[#This Row],[Hours Studied]]+$L$6*Student_Performance__28[[#This Row],[Sleep Hours]]</f>
        <v>-0.1822529624063951</v>
      </c>
      <c r="F397" s="6">
        <f t="shared" si="23"/>
        <v>0.83339049728350689</v>
      </c>
      <c r="G397" s="6">
        <f t="shared" si="24"/>
        <v>0.45456246147142287</v>
      </c>
      <c r="H397" s="6">
        <f t="shared" si="25"/>
        <v>-0.78841994582707242</v>
      </c>
    </row>
    <row r="398" spans="1:8" x14ac:dyDescent="0.3">
      <c r="A398" s="6">
        <v>4</v>
      </c>
      <c r="B398" s="6">
        <v>7</v>
      </c>
      <c r="C398" s="6">
        <v>1</v>
      </c>
      <c r="E398" s="6">
        <f>$L$4+$L$5*Student_Performance__28[[#This Row],[Hours Studied]]+$L$6*Student_Performance__28[[#This Row],[Sleep Hours]]</f>
        <v>0.20123834529604401</v>
      </c>
      <c r="F398" s="6">
        <f t="shared" si="23"/>
        <v>1.2229162134170048</v>
      </c>
      <c r="G398" s="6">
        <f t="shared" si="24"/>
        <v>0.55014048934267845</v>
      </c>
      <c r="H398" s="6">
        <f t="shared" si="25"/>
        <v>-0.59758159820512247</v>
      </c>
    </row>
    <row r="399" spans="1:8" x14ac:dyDescent="0.3">
      <c r="A399" s="6">
        <v>8</v>
      </c>
      <c r="B399" s="6">
        <v>6</v>
      </c>
      <c r="C399" s="6">
        <v>0</v>
      </c>
      <c r="E399" s="6">
        <f>$L$4+$L$5*Student_Performance__28[[#This Row],[Hours Studied]]+$L$6*Student_Performance__28[[#This Row],[Sleep Hours]]</f>
        <v>0.95641728232801326</v>
      </c>
      <c r="F399" s="6">
        <f t="shared" si="23"/>
        <v>2.6023562440072392</v>
      </c>
      <c r="G399" s="6">
        <f t="shared" si="24"/>
        <v>0.72240391225505063</v>
      </c>
      <c r="H399" s="6">
        <f t="shared" si="25"/>
        <v>-1.2815881435865872</v>
      </c>
    </row>
    <row r="400" spans="1:8" x14ac:dyDescent="0.3">
      <c r="A400" s="6">
        <v>2</v>
      </c>
      <c r="B400" s="6">
        <v>7</v>
      </c>
      <c r="C400" s="6">
        <v>1</v>
      </c>
      <c r="E400" s="6">
        <f>$L$4+$L$5*Student_Performance__28[[#This Row],[Hours Studied]]+$L$6*Student_Performance__28[[#This Row],[Sleep Hours]]</f>
        <v>-0.24950828124855562</v>
      </c>
      <c r="F400" s="6">
        <f t="shared" si="23"/>
        <v>0.7791838281875958</v>
      </c>
      <c r="G400" s="6">
        <f t="shared" si="24"/>
        <v>0.43794453155598223</v>
      </c>
      <c r="H400" s="6">
        <f t="shared" si="25"/>
        <v>-0.82566301690839428</v>
      </c>
    </row>
    <row r="401" spans="1:8" x14ac:dyDescent="0.3">
      <c r="A401" s="6">
        <v>3</v>
      </c>
      <c r="B401" s="6">
        <v>8</v>
      </c>
      <c r="C401" s="6">
        <v>1</v>
      </c>
      <c r="E401" s="6">
        <f>$L$4+$L$5*Student_Performance__28[[#This Row],[Hours Studied]]+$L$6*Student_Performance__28[[#This Row],[Sleep Hours]]</f>
        <v>0.1221793480809743</v>
      </c>
      <c r="F401" s="6">
        <f t="shared" si="23"/>
        <v>1.1299567391812171</v>
      </c>
      <c r="G401" s="6">
        <f t="shared" si="24"/>
        <v>0.53050689640559889</v>
      </c>
      <c r="H401" s="6">
        <f t="shared" si="25"/>
        <v>-0.63392232119054359</v>
      </c>
    </row>
    <row r="402" spans="1:8" x14ac:dyDescent="0.3">
      <c r="A402" s="6">
        <v>1</v>
      </c>
      <c r="B402" s="6">
        <v>7</v>
      </c>
      <c r="C402" s="6">
        <v>0</v>
      </c>
      <c r="E402" s="6">
        <f>$L$4+$L$5*Student_Performance__28[[#This Row],[Hours Studied]]+$L$6*Student_Performance__28[[#This Row],[Sleep Hours]]</f>
        <v>-0.47488159452085554</v>
      </c>
      <c r="F402" s="6">
        <f t="shared" si="23"/>
        <v>0.62195869542264559</v>
      </c>
      <c r="G402" s="6">
        <f t="shared" si="24"/>
        <v>0.38346148837074878</v>
      </c>
      <c r="H402" s="6">
        <f t="shared" si="25"/>
        <v>-0.48363449015482529</v>
      </c>
    </row>
    <row r="403" spans="1:8" x14ac:dyDescent="0.3">
      <c r="A403" s="6">
        <v>1</v>
      </c>
      <c r="B403" s="6">
        <v>7</v>
      </c>
      <c r="C403" s="6">
        <v>0</v>
      </c>
      <c r="E403" s="6">
        <f>$L$4+$L$5*Student_Performance__28[[#This Row],[Hours Studied]]+$L$6*Student_Performance__28[[#This Row],[Sleep Hours]]</f>
        <v>-0.47488159452085554</v>
      </c>
      <c r="F403" s="6">
        <f t="shared" si="23"/>
        <v>0.62195869542264559</v>
      </c>
      <c r="G403" s="6">
        <f t="shared" si="24"/>
        <v>0.38346148837074878</v>
      </c>
      <c r="H403" s="6">
        <f t="shared" si="25"/>
        <v>-0.48363449015482529</v>
      </c>
    </row>
    <row r="404" spans="1:8" x14ac:dyDescent="0.3">
      <c r="A404" s="6">
        <v>3</v>
      </c>
      <c r="B404" s="6">
        <v>8</v>
      </c>
      <c r="C404" s="6">
        <v>1</v>
      </c>
      <c r="E404" s="6">
        <f>$L$4+$L$5*Student_Performance__28[[#This Row],[Hours Studied]]+$L$6*Student_Performance__28[[#This Row],[Sleep Hours]]</f>
        <v>0.1221793480809743</v>
      </c>
      <c r="F404" s="6">
        <f t="shared" si="23"/>
        <v>1.1299567391812171</v>
      </c>
      <c r="G404" s="6">
        <f t="shared" si="24"/>
        <v>0.53050689640559889</v>
      </c>
      <c r="H404" s="6">
        <f t="shared" si="25"/>
        <v>-0.63392232119054359</v>
      </c>
    </row>
    <row r="405" spans="1:8" x14ac:dyDescent="0.3">
      <c r="A405" s="6">
        <v>5</v>
      </c>
      <c r="B405" s="6">
        <v>8</v>
      </c>
      <c r="C405" s="6">
        <v>0</v>
      </c>
      <c r="E405" s="6">
        <f>$L$4+$L$5*Student_Performance__28[[#This Row],[Hours Studied]]+$L$6*Student_Performance__28[[#This Row],[Sleep Hours]]</f>
        <v>0.57292597462557415</v>
      </c>
      <c r="F405" s="6">
        <f t="shared" si="23"/>
        <v>1.7734485327021301</v>
      </c>
      <c r="G405" s="6">
        <f t="shared" si="24"/>
        <v>0.6394380540295389</v>
      </c>
      <c r="H405" s="6">
        <f t="shared" si="25"/>
        <v>-1.0200915035362601</v>
      </c>
    </row>
    <row r="406" spans="1:8" x14ac:dyDescent="0.3">
      <c r="A406" s="6">
        <v>3</v>
      </c>
      <c r="B406" s="6">
        <v>6</v>
      </c>
      <c r="C406" s="6">
        <v>0</v>
      </c>
      <c r="E406" s="6">
        <f>$L$4+$L$5*Student_Performance__28[[#This Row],[Hours Studied]]+$L$6*Student_Performance__28[[#This Row],[Sleep Hours]]</f>
        <v>-0.17044928403348614</v>
      </c>
      <c r="F406" s="6">
        <f t="shared" si="23"/>
        <v>0.84328585660138511</v>
      </c>
      <c r="G406" s="6">
        <f t="shared" si="24"/>
        <v>0.45749054796971061</v>
      </c>
      <c r="H406" s="6">
        <f t="shared" si="25"/>
        <v>-0.61154977062199534</v>
      </c>
    </row>
    <row r="407" spans="1:8" x14ac:dyDescent="0.3">
      <c r="A407" s="6">
        <v>1</v>
      </c>
      <c r="B407" s="6">
        <v>4</v>
      </c>
      <c r="C407" s="6">
        <v>0</v>
      </c>
      <c r="E407" s="6">
        <f>$L$4+$L$5*Student_Performance__28[[#This Row],[Hours Studied]]+$L$6*Student_Performance__28[[#This Row],[Sleep Hours]]</f>
        <v>-0.91382454269254632</v>
      </c>
      <c r="F407" s="6">
        <f t="shared" si="23"/>
        <v>0.40098769309104837</v>
      </c>
      <c r="G407" s="6">
        <f t="shared" si="24"/>
        <v>0.28621785549474399</v>
      </c>
      <c r="H407" s="6">
        <f t="shared" si="25"/>
        <v>-0.33717748294158933</v>
      </c>
    </row>
    <row r="408" spans="1:8" x14ac:dyDescent="0.3">
      <c r="A408" s="6">
        <v>1</v>
      </c>
      <c r="B408" s="6">
        <v>8</v>
      </c>
      <c r="C408" s="6">
        <v>0</v>
      </c>
      <c r="E408" s="6">
        <f>$L$4+$L$5*Student_Performance__28[[#This Row],[Hours Studied]]+$L$6*Student_Performance__28[[#This Row],[Sleep Hours]]</f>
        <v>-0.32856727846362532</v>
      </c>
      <c r="F408" s="6">
        <f t="shared" si="23"/>
        <v>0.7199544891644748</v>
      </c>
      <c r="G408" s="6">
        <f t="shared" si="24"/>
        <v>0.41858926715800293</v>
      </c>
      <c r="H408" s="6">
        <f t="shared" si="25"/>
        <v>-0.54229783068719928</v>
      </c>
    </row>
    <row r="409" spans="1:8" x14ac:dyDescent="0.3">
      <c r="A409" s="6">
        <v>8</v>
      </c>
      <c r="B409" s="6">
        <v>6</v>
      </c>
      <c r="C409" s="6">
        <v>1</v>
      </c>
      <c r="E409" s="6">
        <f>$L$4+$L$5*Student_Performance__28[[#This Row],[Hours Studied]]+$L$6*Student_Performance__28[[#This Row],[Sleep Hours]]</f>
        <v>0.95641728232801326</v>
      </c>
      <c r="F409" s="6">
        <f t="shared" si="23"/>
        <v>2.6023562440072392</v>
      </c>
      <c r="G409" s="6">
        <f t="shared" si="24"/>
        <v>0.72240391225505063</v>
      </c>
      <c r="H409" s="6">
        <f t="shared" si="25"/>
        <v>-0.32517086125857375</v>
      </c>
    </row>
    <row r="410" spans="1:8" x14ac:dyDescent="0.3">
      <c r="A410" s="6">
        <v>2</v>
      </c>
      <c r="B410" s="6">
        <v>7</v>
      </c>
      <c r="C410" s="6">
        <v>1</v>
      </c>
      <c r="E410" s="6">
        <f>$L$4+$L$5*Student_Performance__28[[#This Row],[Hours Studied]]+$L$6*Student_Performance__28[[#This Row],[Sleep Hours]]</f>
        <v>-0.24950828124855562</v>
      </c>
      <c r="F410" s="6">
        <f t="shared" si="23"/>
        <v>0.7791838281875958</v>
      </c>
      <c r="G410" s="6">
        <f t="shared" si="24"/>
        <v>0.43794453155598223</v>
      </c>
      <c r="H410" s="6">
        <f t="shared" si="25"/>
        <v>-0.82566301690839428</v>
      </c>
    </row>
    <row r="411" spans="1:8" x14ac:dyDescent="0.3">
      <c r="A411" s="6">
        <v>3</v>
      </c>
      <c r="B411" s="6">
        <v>7</v>
      </c>
      <c r="C411" s="6">
        <v>1</v>
      </c>
      <c r="E411" s="6">
        <f>$L$4+$L$5*Student_Performance__28[[#This Row],[Hours Studied]]+$L$6*Student_Performance__28[[#This Row],[Sleep Hours]]</f>
        <v>-2.4134967976255917E-2</v>
      </c>
      <c r="F411" s="6">
        <f t="shared" si="23"/>
        <v>0.97615395134319904</v>
      </c>
      <c r="G411" s="6">
        <f t="shared" si="24"/>
        <v>0.49396655087509944</v>
      </c>
      <c r="H411" s="6">
        <f t="shared" si="25"/>
        <v>-0.70528747486584376</v>
      </c>
    </row>
    <row r="412" spans="1:8" x14ac:dyDescent="0.3">
      <c r="A412" s="6">
        <v>2</v>
      </c>
      <c r="B412" s="6">
        <v>9</v>
      </c>
      <c r="C412" s="6">
        <v>1</v>
      </c>
      <c r="E412" s="6">
        <f>$L$4+$L$5*Student_Performance__28[[#This Row],[Hours Studied]]+$L$6*Student_Performance__28[[#This Row],[Sleep Hours]]</f>
        <v>4.3120350865904822E-2</v>
      </c>
      <c r="F412" s="6">
        <f t="shared" si="23"/>
        <v>1.044063541240883</v>
      </c>
      <c r="G412" s="6">
        <f t="shared" si="24"/>
        <v>0.51077841768415222</v>
      </c>
      <c r="H412" s="6">
        <f t="shared" si="25"/>
        <v>-0.67181940770513204</v>
      </c>
    </row>
    <row r="413" spans="1:8" x14ac:dyDescent="0.3">
      <c r="A413" s="6">
        <v>3</v>
      </c>
      <c r="B413" s="6">
        <v>5</v>
      </c>
      <c r="C413" s="6">
        <v>0</v>
      </c>
      <c r="E413" s="6">
        <f>$L$4+$L$5*Student_Performance__28[[#This Row],[Hours Studied]]+$L$6*Student_Performance__28[[#This Row],[Sleep Hours]]</f>
        <v>-0.31676360009071647</v>
      </c>
      <c r="F413" s="6">
        <f t="shared" si="23"/>
        <v>0.72850295280309751</v>
      </c>
      <c r="G413" s="6">
        <f t="shared" si="24"/>
        <v>0.42146468516104696</v>
      </c>
      <c r="H413" s="6">
        <f t="shared" si="25"/>
        <v>-0.54725568868187102</v>
      </c>
    </row>
    <row r="414" spans="1:8" x14ac:dyDescent="0.3">
      <c r="A414" s="6">
        <v>7</v>
      </c>
      <c r="B414" s="6">
        <v>8</v>
      </c>
      <c r="C414" s="6">
        <v>0</v>
      </c>
      <c r="E414" s="6">
        <f>$L$4+$L$5*Student_Performance__28[[#This Row],[Hours Studied]]+$L$6*Student_Performance__28[[#This Row],[Sleep Hours]]</f>
        <v>1.0236726011701738</v>
      </c>
      <c r="F414" s="6">
        <f t="shared" si="23"/>
        <v>2.7833983276406995</v>
      </c>
      <c r="G414" s="6">
        <f t="shared" si="24"/>
        <v>0.73568736003972568</v>
      </c>
      <c r="H414" s="6">
        <f t="shared" si="25"/>
        <v>-1.3306226342238217</v>
      </c>
    </row>
    <row r="415" spans="1:8" x14ac:dyDescent="0.3">
      <c r="A415" s="6">
        <v>1</v>
      </c>
      <c r="B415" s="6">
        <v>6</v>
      </c>
      <c r="C415" s="6">
        <v>1</v>
      </c>
      <c r="E415" s="6">
        <f>$L$4+$L$5*Student_Performance__28[[#This Row],[Hours Studied]]+$L$6*Student_Performance__28[[#This Row],[Sleep Hours]]</f>
        <v>-0.62119591057808576</v>
      </c>
      <c r="F415" s="6">
        <f t="shared" si="23"/>
        <v>0.53730148868266403</v>
      </c>
      <c r="G415" s="6">
        <f t="shared" si="24"/>
        <v>0.34950950912243345</v>
      </c>
      <c r="H415" s="6">
        <f t="shared" si="25"/>
        <v>-1.0512245098888882</v>
      </c>
    </row>
    <row r="416" spans="1:8" x14ac:dyDescent="0.3">
      <c r="A416" s="6">
        <v>8</v>
      </c>
      <c r="B416" s="6">
        <v>9</v>
      </c>
      <c r="C416" s="6">
        <v>1</v>
      </c>
      <c r="E416" s="6">
        <f>$L$4+$L$5*Student_Performance__28[[#This Row],[Hours Studied]]+$L$6*Student_Performance__28[[#This Row],[Sleep Hours]]</f>
        <v>1.3953602304997039</v>
      </c>
      <c r="F416" s="6">
        <f t="shared" si="23"/>
        <v>4.0364283553715152</v>
      </c>
      <c r="G416" s="6">
        <f t="shared" si="24"/>
        <v>0.80144659480096303</v>
      </c>
      <c r="H416" s="6">
        <f t="shared" si="25"/>
        <v>-0.22133694071712329</v>
      </c>
    </row>
    <row r="417" spans="1:8" x14ac:dyDescent="0.3">
      <c r="A417" s="6">
        <v>2</v>
      </c>
      <c r="B417" s="6">
        <v>6</v>
      </c>
      <c r="C417" s="6">
        <v>1</v>
      </c>
      <c r="E417" s="6">
        <f>$L$4+$L$5*Student_Performance__28[[#This Row],[Hours Studied]]+$L$6*Student_Performance__28[[#This Row],[Sleep Hours]]</f>
        <v>-0.39582259730578584</v>
      </c>
      <c r="F417" s="6">
        <f t="shared" si="23"/>
        <v>0.67312609972943394</v>
      </c>
      <c r="G417" s="6">
        <f t="shared" si="24"/>
        <v>0.40231641825340425</v>
      </c>
      <c r="H417" s="6">
        <f t="shared" si="25"/>
        <v>-0.91051638988870887</v>
      </c>
    </row>
    <row r="418" spans="1:8" x14ac:dyDescent="0.3">
      <c r="A418" s="6">
        <v>3</v>
      </c>
      <c r="B418" s="6">
        <v>4</v>
      </c>
      <c r="C418" s="6">
        <v>1</v>
      </c>
      <c r="E418" s="6">
        <f>$L$4+$L$5*Student_Performance__28[[#This Row],[Hours Studied]]+$L$6*Student_Performance__28[[#This Row],[Sleep Hours]]</f>
        <v>-0.46307791614794669</v>
      </c>
      <c r="F418" s="6">
        <f t="shared" si="23"/>
        <v>0.62934359456914024</v>
      </c>
      <c r="G418" s="6">
        <f t="shared" si="24"/>
        <v>0.38625591107169904</v>
      </c>
      <c r="H418" s="6">
        <f t="shared" si="25"/>
        <v>-0.95125514714178383</v>
      </c>
    </row>
    <row r="419" spans="1:8" x14ac:dyDescent="0.3">
      <c r="A419" s="6">
        <v>9</v>
      </c>
      <c r="B419" s="6">
        <v>9</v>
      </c>
      <c r="C419" s="6">
        <v>1</v>
      </c>
      <c r="E419" s="6">
        <f>$L$4+$L$5*Student_Performance__28[[#This Row],[Hours Studied]]+$L$6*Student_Performance__28[[#This Row],[Sleep Hours]]</f>
        <v>1.6207335437720038</v>
      </c>
      <c r="F419" s="6">
        <f t="shared" si="23"/>
        <v>5.0567983393271883</v>
      </c>
      <c r="G419" s="6">
        <f t="shared" si="24"/>
        <v>0.83489626961707897</v>
      </c>
      <c r="H419" s="6">
        <f t="shared" si="25"/>
        <v>-0.18044778985171736</v>
      </c>
    </row>
    <row r="420" spans="1:8" x14ac:dyDescent="0.3">
      <c r="A420" s="6">
        <v>7</v>
      </c>
      <c r="B420" s="6">
        <v>6</v>
      </c>
      <c r="C420" s="6">
        <v>1</v>
      </c>
      <c r="E420" s="6">
        <f>$L$4+$L$5*Student_Performance__28[[#This Row],[Hours Studied]]+$L$6*Student_Performance__28[[#This Row],[Sleep Hours]]</f>
        <v>0.73104396905571334</v>
      </c>
      <c r="F420" s="6">
        <f t="shared" si="23"/>
        <v>2.077248058795742</v>
      </c>
      <c r="G420" s="6">
        <f t="shared" si="24"/>
        <v>0.67503432258517937</v>
      </c>
      <c r="H420" s="6">
        <f t="shared" si="25"/>
        <v>-0.39299174112799712</v>
      </c>
    </row>
    <row r="421" spans="1:8" x14ac:dyDescent="0.3">
      <c r="A421" s="6">
        <v>4</v>
      </c>
      <c r="B421" s="6">
        <v>8</v>
      </c>
      <c r="C421" s="6">
        <v>0</v>
      </c>
      <c r="E421" s="6">
        <f>$L$4+$L$5*Student_Performance__28[[#This Row],[Hours Studied]]+$L$6*Student_Performance__28[[#This Row],[Sleep Hours]]</f>
        <v>0.34755266135327423</v>
      </c>
      <c r="F421" s="6">
        <f t="shared" si="23"/>
        <v>1.4155988560032864</v>
      </c>
      <c r="G421" s="6">
        <f t="shared" si="24"/>
        <v>0.58602398013445678</v>
      </c>
      <c r="H421" s="6">
        <f t="shared" si="25"/>
        <v>-0.88194722986451501</v>
      </c>
    </row>
    <row r="422" spans="1:8" x14ac:dyDescent="0.3">
      <c r="A422" s="6">
        <v>5</v>
      </c>
      <c r="B422" s="6">
        <v>6</v>
      </c>
      <c r="C422" s="6">
        <v>1</v>
      </c>
      <c r="E422" s="6">
        <f>$L$4+$L$5*Student_Performance__28[[#This Row],[Hours Studied]]+$L$6*Student_Performance__28[[#This Row],[Sleep Hours]]</f>
        <v>0.28029734251111371</v>
      </c>
      <c r="F422" s="6">
        <f t="shared" si="23"/>
        <v>1.3235232935748173</v>
      </c>
      <c r="G422" s="6">
        <f t="shared" si="24"/>
        <v>0.56961911990928782</v>
      </c>
      <c r="H422" s="6">
        <f t="shared" si="25"/>
        <v>-0.56278735219126441</v>
      </c>
    </row>
    <row r="423" spans="1:8" x14ac:dyDescent="0.3">
      <c r="A423" s="6">
        <v>2</v>
      </c>
      <c r="B423" s="6">
        <v>5</v>
      </c>
      <c r="C423" s="6">
        <v>0</v>
      </c>
      <c r="E423" s="6">
        <f>$L$4+$L$5*Student_Performance__28[[#This Row],[Hours Studied]]+$L$6*Student_Performance__28[[#This Row],[Sleep Hours]]</f>
        <v>-0.54213691336301617</v>
      </c>
      <c r="F423" s="6">
        <f t="shared" si="23"/>
        <v>0.58150429942941784</v>
      </c>
      <c r="G423" s="6">
        <f t="shared" si="24"/>
        <v>0.36769062192193563</v>
      </c>
      <c r="H423" s="6">
        <f t="shared" si="25"/>
        <v>-0.45837648233680289</v>
      </c>
    </row>
    <row r="424" spans="1:8" x14ac:dyDescent="0.3">
      <c r="A424" s="6">
        <v>8</v>
      </c>
      <c r="B424" s="6">
        <v>7</v>
      </c>
      <c r="C424" s="6">
        <v>1</v>
      </c>
      <c r="E424" s="6">
        <f>$L$4+$L$5*Student_Performance__28[[#This Row],[Hours Studied]]+$L$6*Student_Performance__28[[#This Row],[Sleep Hours]]</f>
        <v>1.1027315983852435</v>
      </c>
      <c r="F424" s="6">
        <f t="shared" si="23"/>
        <v>3.0123834172059332</v>
      </c>
      <c r="G424" s="6">
        <f t="shared" si="24"/>
        <v>0.7507715748919227</v>
      </c>
      <c r="H424" s="6">
        <f t="shared" si="25"/>
        <v>-0.28665383474684081</v>
      </c>
    </row>
    <row r="425" spans="1:8" x14ac:dyDescent="0.3">
      <c r="A425" s="6">
        <v>4</v>
      </c>
      <c r="B425" s="6">
        <v>7</v>
      </c>
      <c r="C425" s="6">
        <v>1</v>
      </c>
      <c r="E425" s="6">
        <f>$L$4+$L$5*Student_Performance__28[[#This Row],[Hours Studied]]+$L$6*Student_Performance__28[[#This Row],[Sleep Hours]]</f>
        <v>0.20123834529604401</v>
      </c>
      <c r="F425" s="6">
        <f t="shared" si="23"/>
        <v>1.2229162134170048</v>
      </c>
      <c r="G425" s="6">
        <f t="shared" si="24"/>
        <v>0.55014048934267845</v>
      </c>
      <c r="H425" s="6">
        <f t="shared" si="25"/>
        <v>-0.59758159820512247</v>
      </c>
    </row>
    <row r="426" spans="1:8" x14ac:dyDescent="0.3">
      <c r="A426" s="6">
        <v>9</v>
      </c>
      <c r="B426" s="6">
        <v>9</v>
      </c>
      <c r="C426" s="6">
        <v>1</v>
      </c>
      <c r="E426" s="6">
        <f>$L$4+$L$5*Student_Performance__28[[#This Row],[Hours Studied]]+$L$6*Student_Performance__28[[#This Row],[Sleep Hours]]</f>
        <v>1.6207335437720038</v>
      </c>
      <c r="F426" s="6">
        <f t="shared" si="23"/>
        <v>5.0567983393271883</v>
      </c>
      <c r="G426" s="6">
        <f t="shared" si="24"/>
        <v>0.83489626961707897</v>
      </c>
      <c r="H426" s="6">
        <f t="shared" si="25"/>
        <v>-0.18044778985171736</v>
      </c>
    </row>
    <row r="427" spans="1:8" x14ac:dyDescent="0.3">
      <c r="A427" s="6">
        <v>5</v>
      </c>
      <c r="B427" s="6">
        <v>6</v>
      </c>
      <c r="C427" s="6">
        <v>1</v>
      </c>
      <c r="E427" s="6">
        <f>$L$4+$L$5*Student_Performance__28[[#This Row],[Hours Studied]]+$L$6*Student_Performance__28[[#This Row],[Sleep Hours]]</f>
        <v>0.28029734251111371</v>
      </c>
      <c r="F427" s="6">
        <f t="shared" si="23"/>
        <v>1.3235232935748173</v>
      </c>
      <c r="G427" s="6">
        <f t="shared" si="24"/>
        <v>0.56961911990928782</v>
      </c>
      <c r="H427" s="6">
        <f t="shared" si="25"/>
        <v>-0.56278735219126441</v>
      </c>
    </row>
    <row r="428" spans="1:8" x14ac:dyDescent="0.3">
      <c r="A428" s="6">
        <v>9</v>
      </c>
      <c r="B428" s="6">
        <v>6</v>
      </c>
      <c r="C428" s="6">
        <v>1</v>
      </c>
      <c r="E428" s="6">
        <f>$L$4+$L$5*Student_Performance__28[[#This Row],[Hours Studied]]+$L$6*Student_Performance__28[[#This Row],[Sleep Hours]]</f>
        <v>1.1817905956003132</v>
      </c>
      <c r="F428" s="6">
        <f t="shared" si="23"/>
        <v>3.2602066912747989</v>
      </c>
      <c r="G428" s="6">
        <f t="shared" si="24"/>
        <v>0.76526960486493056</v>
      </c>
      <c r="H428" s="6">
        <f t="shared" si="25"/>
        <v>-0.26752708258254487</v>
      </c>
    </row>
    <row r="429" spans="1:8" x14ac:dyDescent="0.3">
      <c r="A429" s="6">
        <v>4</v>
      </c>
      <c r="B429" s="6">
        <v>6</v>
      </c>
      <c r="C429" s="6">
        <v>0</v>
      </c>
      <c r="E429" s="6">
        <f>$L$4+$L$5*Student_Performance__28[[#This Row],[Hours Studied]]+$L$6*Student_Performance__28[[#This Row],[Sleep Hours]]</f>
        <v>5.4924029238813787E-2</v>
      </c>
      <c r="F429" s="6">
        <f t="shared" si="23"/>
        <v>1.056460351529638</v>
      </c>
      <c r="G429" s="6">
        <f t="shared" si="24"/>
        <v>0.51372755654823155</v>
      </c>
      <c r="H429" s="6">
        <f t="shared" si="25"/>
        <v>-0.72098622891563591</v>
      </c>
    </row>
    <row r="430" spans="1:8" x14ac:dyDescent="0.3">
      <c r="A430" s="6">
        <v>5</v>
      </c>
      <c r="B430" s="6">
        <v>6</v>
      </c>
      <c r="C430" s="6">
        <v>0</v>
      </c>
      <c r="E430" s="6">
        <f>$L$4+$L$5*Student_Performance__28[[#This Row],[Hours Studied]]+$L$6*Student_Performance__28[[#This Row],[Sleep Hours]]</f>
        <v>0.28029734251111371</v>
      </c>
      <c r="F430" s="6">
        <f t="shared" si="23"/>
        <v>1.3235232935748173</v>
      </c>
      <c r="G430" s="6">
        <f t="shared" si="24"/>
        <v>0.56961911990928782</v>
      </c>
      <c r="H430" s="6">
        <f t="shared" si="25"/>
        <v>-0.8430846947023779</v>
      </c>
    </row>
    <row r="431" spans="1:8" x14ac:dyDescent="0.3">
      <c r="A431" s="6">
        <v>9</v>
      </c>
      <c r="B431" s="6">
        <v>5</v>
      </c>
      <c r="C431" s="6">
        <v>1</v>
      </c>
      <c r="E431" s="6">
        <f>$L$4+$L$5*Student_Performance__28[[#This Row],[Hours Studied]]+$L$6*Student_Performance__28[[#This Row],[Sleep Hours]]</f>
        <v>1.035476279543083</v>
      </c>
      <c r="F431" s="6">
        <f t="shared" si="23"/>
        <v>2.8164473324788442</v>
      </c>
      <c r="G431" s="6">
        <f t="shared" si="24"/>
        <v>0.73797620853043877</v>
      </c>
      <c r="H431" s="6">
        <f t="shared" si="25"/>
        <v>-0.30384369266494554</v>
      </c>
    </row>
    <row r="432" spans="1:8" x14ac:dyDescent="0.3">
      <c r="A432" s="6">
        <v>8</v>
      </c>
      <c r="B432" s="6">
        <v>8</v>
      </c>
      <c r="C432" s="6">
        <v>1</v>
      </c>
      <c r="E432" s="6">
        <f>$L$4+$L$5*Student_Performance__28[[#This Row],[Hours Studied]]+$L$6*Student_Performance__28[[#This Row],[Sleep Hours]]</f>
        <v>1.2490459144424737</v>
      </c>
      <c r="F432" s="6">
        <f t="shared" si="23"/>
        <v>3.4870144597436026</v>
      </c>
      <c r="G432" s="6">
        <f t="shared" si="24"/>
        <v>0.7771346607032904</v>
      </c>
      <c r="H432" s="6">
        <f t="shared" si="25"/>
        <v>-0.25214163513222926</v>
      </c>
    </row>
    <row r="433" spans="1:8" x14ac:dyDescent="0.3">
      <c r="A433" s="6">
        <v>3</v>
      </c>
      <c r="B433" s="6">
        <v>5</v>
      </c>
      <c r="C433" s="6">
        <v>1</v>
      </c>
      <c r="E433" s="6">
        <f>$L$4+$L$5*Student_Performance__28[[#This Row],[Hours Studied]]+$L$6*Student_Performance__28[[#This Row],[Sleep Hours]]</f>
        <v>-0.31676360009071647</v>
      </c>
      <c r="F433" s="6">
        <f t="shared" si="23"/>
        <v>0.72850295280309751</v>
      </c>
      <c r="G433" s="6">
        <f t="shared" si="24"/>
        <v>0.42146468516104696</v>
      </c>
      <c r="H433" s="6">
        <f t="shared" si="25"/>
        <v>-0.86401928877258749</v>
      </c>
    </row>
    <row r="434" spans="1:8" x14ac:dyDescent="0.3">
      <c r="A434" s="6">
        <v>1</v>
      </c>
      <c r="B434" s="6">
        <v>5</v>
      </c>
      <c r="C434" s="6">
        <v>0</v>
      </c>
      <c r="E434" s="6">
        <f>$L$4+$L$5*Student_Performance__28[[#This Row],[Hours Studied]]+$L$6*Student_Performance__28[[#This Row],[Sleep Hours]]</f>
        <v>-0.7675102266353161</v>
      </c>
      <c r="F434" s="6">
        <f t="shared" si="23"/>
        <v>0.46416730221036412</v>
      </c>
      <c r="G434" s="6">
        <f t="shared" si="24"/>
        <v>0.3170179401695688</v>
      </c>
      <c r="H434" s="6">
        <f t="shared" si="25"/>
        <v>-0.3812866864760433</v>
      </c>
    </row>
    <row r="435" spans="1:8" x14ac:dyDescent="0.3">
      <c r="A435" s="6">
        <v>3</v>
      </c>
      <c r="B435" s="6">
        <v>5</v>
      </c>
      <c r="C435" s="6">
        <v>0</v>
      </c>
      <c r="E435" s="6">
        <f>$L$4+$L$5*Student_Performance__28[[#This Row],[Hours Studied]]+$L$6*Student_Performance__28[[#This Row],[Sleep Hours]]</f>
        <v>-0.31676360009071647</v>
      </c>
      <c r="F435" s="6">
        <f t="shared" si="23"/>
        <v>0.72850295280309751</v>
      </c>
      <c r="G435" s="6">
        <f t="shared" si="24"/>
        <v>0.42146468516104696</v>
      </c>
      <c r="H435" s="6">
        <f t="shared" si="25"/>
        <v>-0.54725568868187102</v>
      </c>
    </row>
    <row r="436" spans="1:8" x14ac:dyDescent="0.3">
      <c r="A436" s="6">
        <v>4</v>
      </c>
      <c r="B436" s="6">
        <v>7</v>
      </c>
      <c r="C436" s="6">
        <v>0</v>
      </c>
      <c r="E436" s="6">
        <f>$L$4+$L$5*Student_Performance__28[[#This Row],[Hours Studied]]+$L$6*Student_Performance__28[[#This Row],[Sleep Hours]]</f>
        <v>0.20123834529604401</v>
      </c>
      <c r="F436" s="6">
        <f t="shared" si="23"/>
        <v>1.2229162134170048</v>
      </c>
      <c r="G436" s="6">
        <f t="shared" si="24"/>
        <v>0.55014048934267845</v>
      </c>
      <c r="H436" s="6">
        <f t="shared" si="25"/>
        <v>-0.79881994350116647</v>
      </c>
    </row>
    <row r="437" spans="1:8" x14ac:dyDescent="0.3">
      <c r="A437" s="6">
        <v>2</v>
      </c>
      <c r="B437" s="6">
        <v>5</v>
      </c>
      <c r="C437" s="6">
        <v>0</v>
      </c>
      <c r="E437" s="6">
        <f>$L$4+$L$5*Student_Performance__28[[#This Row],[Hours Studied]]+$L$6*Student_Performance__28[[#This Row],[Sleep Hours]]</f>
        <v>-0.54213691336301617</v>
      </c>
      <c r="F437" s="6">
        <f t="shared" si="23"/>
        <v>0.58150429942941784</v>
      </c>
      <c r="G437" s="6">
        <f t="shared" si="24"/>
        <v>0.36769062192193563</v>
      </c>
      <c r="H437" s="6">
        <f t="shared" si="25"/>
        <v>-0.45837648233680289</v>
      </c>
    </row>
    <row r="438" spans="1:8" x14ac:dyDescent="0.3">
      <c r="A438" s="6">
        <v>1</v>
      </c>
      <c r="B438" s="6">
        <v>6</v>
      </c>
      <c r="C438" s="6">
        <v>0</v>
      </c>
      <c r="E438" s="6">
        <f>$L$4+$L$5*Student_Performance__28[[#This Row],[Hours Studied]]+$L$6*Student_Performance__28[[#This Row],[Sleep Hours]]</f>
        <v>-0.62119591057808576</v>
      </c>
      <c r="F438" s="6">
        <f t="shared" si="23"/>
        <v>0.53730148868266403</v>
      </c>
      <c r="G438" s="6">
        <f t="shared" si="24"/>
        <v>0.34950950912243345</v>
      </c>
      <c r="H438" s="6">
        <f t="shared" si="25"/>
        <v>-0.4300285993108024</v>
      </c>
    </row>
    <row r="439" spans="1:8" x14ac:dyDescent="0.3">
      <c r="A439" s="6">
        <v>7</v>
      </c>
      <c r="B439" s="6">
        <v>5</v>
      </c>
      <c r="C439" s="6">
        <v>0</v>
      </c>
      <c r="E439" s="6">
        <f>$L$4+$L$5*Student_Performance__28[[#This Row],[Hours Studied]]+$L$6*Student_Performance__28[[#This Row],[Sleep Hours]]</f>
        <v>0.58472965299848301</v>
      </c>
      <c r="F439" s="6">
        <f t="shared" si="23"/>
        <v>1.7945057807989744</v>
      </c>
      <c r="G439" s="6">
        <f t="shared" si="24"/>
        <v>0.64215497177676584</v>
      </c>
      <c r="H439" s="6">
        <f t="shared" si="25"/>
        <v>-1.0276552683599276</v>
      </c>
    </row>
    <row r="440" spans="1:8" x14ac:dyDescent="0.3">
      <c r="A440" s="6">
        <v>8</v>
      </c>
      <c r="B440" s="6">
        <v>6</v>
      </c>
      <c r="C440" s="6">
        <v>0</v>
      </c>
      <c r="E440" s="6">
        <f>$L$4+$L$5*Student_Performance__28[[#This Row],[Hours Studied]]+$L$6*Student_Performance__28[[#This Row],[Sleep Hours]]</f>
        <v>0.95641728232801326</v>
      </c>
      <c r="F440" s="6">
        <f t="shared" si="23"/>
        <v>2.6023562440072392</v>
      </c>
      <c r="G440" s="6">
        <f t="shared" si="24"/>
        <v>0.72240391225505063</v>
      </c>
      <c r="H440" s="6">
        <f t="shared" si="25"/>
        <v>-1.2815881435865872</v>
      </c>
    </row>
    <row r="441" spans="1:8" x14ac:dyDescent="0.3">
      <c r="A441" s="6">
        <v>7</v>
      </c>
      <c r="B441" s="6">
        <v>9</v>
      </c>
      <c r="C441" s="6">
        <v>1</v>
      </c>
      <c r="E441" s="6">
        <f>$L$4+$L$5*Student_Performance__28[[#This Row],[Hours Studied]]+$L$6*Student_Performance__28[[#This Row],[Sleep Hours]]</f>
        <v>1.169986917227404</v>
      </c>
      <c r="F441" s="6">
        <f t="shared" si="23"/>
        <v>3.2219504862072395</v>
      </c>
      <c r="G441" s="6">
        <f t="shared" si="24"/>
        <v>0.76314265094606948</v>
      </c>
      <c r="H441" s="6">
        <f t="shared" si="25"/>
        <v>-0.27031030456179889</v>
      </c>
    </row>
    <row r="442" spans="1:8" x14ac:dyDescent="0.3">
      <c r="A442" s="6">
        <v>5</v>
      </c>
      <c r="B442" s="6">
        <v>8</v>
      </c>
      <c r="C442" s="6">
        <v>0</v>
      </c>
      <c r="E442" s="6">
        <f>$L$4+$L$5*Student_Performance__28[[#This Row],[Hours Studied]]+$L$6*Student_Performance__28[[#This Row],[Sleep Hours]]</f>
        <v>0.57292597462557415</v>
      </c>
      <c r="F442" s="6">
        <f t="shared" si="23"/>
        <v>1.7734485327021301</v>
      </c>
      <c r="G442" s="6">
        <f t="shared" si="24"/>
        <v>0.6394380540295389</v>
      </c>
      <c r="H442" s="6">
        <f t="shared" si="25"/>
        <v>-1.0200915035362601</v>
      </c>
    </row>
    <row r="443" spans="1:8" x14ac:dyDescent="0.3">
      <c r="A443" s="6">
        <v>1</v>
      </c>
      <c r="B443" s="6">
        <v>7</v>
      </c>
      <c r="C443" s="6">
        <v>1</v>
      </c>
      <c r="E443" s="6">
        <f>$L$4+$L$5*Student_Performance__28[[#This Row],[Hours Studied]]+$L$6*Student_Performance__28[[#This Row],[Sleep Hours]]</f>
        <v>-0.47488159452085554</v>
      </c>
      <c r="F443" s="6">
        <f t="shared" si="23"/>
        <v>0.62195869542264559</v>
      </c>
      <c r="G443" s="6">
        <f t="shared" si="24"/>
        <v>0.38346148837074878</v>
      </c>
      <c r="H443" s="6">
        <f t="shared" si="25"/>
        <v>-0.95851608467568061</v>
      </c>
    </row>
    <row r="444" spans="1:8" x14ac:dyDescent="0.3">
      <c r="A444" s="6">
        <v>7</v>
      </c>
      <c r="B444" s="6">
        <v>8</v>
      </c>
      <c r="C444" s="6">
        <v>1</v>
      </c>
      <c r="E444" s="6">
        <f>$L$4+$L$5*Student_Performance__28[[#This Row],[Hours Studied]]+$L$6*Student_Performance__28[[#This Row],[Sleep Hours]]</f>
        <v>1.0236726011701738</v>
      </c>
      <c r="F444" s="6">
        <f t="shared" si="23"/>
        <v>2.7833983276406995</v>
      </c>
      <c r="G444" s="6">
        <f t="shared" si="24"/>
        <v>0.73568736003972568</v>
      </c>
      <c r="H444" s="6">
        <f t="shared" si="25"/>
        <v>-0.30695003305364821</v>
      </c>
    </row>
    <row r="445" spans="1:8" x14ac:dyDescent="0.3">
      <c r="A445" s="6">
        <v>7</v>
      </c>
      <c r="B445" s="6">
        <v>9</v>
      </c>
      <c r="C445" s="6">
        <v>1</v>
      </c>
      <c r="E445" s="6">
        <f>$L$4+$L$5*Student_Performance__28[[#This Row],[Hours Studied]]+$L$6*Student_Performance__28[[#This Row],[Sleep Hours]]</f>
        <v>1.169986917227404</v>
      </c>
      <c r="F445" s="6">
        <f t="shared" si="23"/>
        <v>3.2219504862072395</v>
      </c>
      <c r="G445" s="6">
        <f t="shared" si="24"/>
        <v>0.76314265094606948</v>
      </c>
      <c r="H445" s="6">
        <f t="shared" si="25"/>
        <v>-0.27031030456179889</v>
      </c>
    </row>
    <row r="446" spans="1:8" x14ac:dyDescent="0.3">
      <c r="A446" s="6">
        <v>9</v>
      </c>
      <c r="B446" s="6">
        <v>8</v>
      </c>
      <c r="C446" s="6">
        <v>1</v>
      </c>
      <c r="E446" s="6">
        <f>$L$4+$L$5*Student_Performance__28[[#This Row],[Hours Studied]]+$L$6*Student_Performance__28[[#This Row],[Sleep Hours]]</f>
        <v>1.4744192277147736</v>
      </c>
      <c r="F446" s="6">
        <f t="shared" si="23"/>
        <v>4.368497933519838</v>
      </c>
      <c r="G446" s="6">
        <f t="shared" si="24"/>
        <v>0.81372815778577501</v>
      </c>
      <c r="H446" s="6">
        <f t="shared" si="25"/>
        <v>-0.20612892725028695</v>
      </c>
    </row>
    <row r="447" spans="1:8" x14ac:dyDescent="0.3">
      <c r="A447" s="6">
        <v>3</v>
      </c>
      <c r="B447" s="6">
        <v>7</v>
      </c>
      <c r="C447" s="6">
        <v>0</v>
      </c>
      <c r="E447" s="6">
        <f>$L$4+$L$5*Student_Performance__28[[#This Row],[Hours Studied]]+$L$6*Student_Performance__28[[#This Row],[Sleep Hours]]</f>
        <v>-2.4134967976255917E-2</v>
      </c>
      <c r="F447" s="6">
        <f t="shared" si="23"/>
        <v>0.97615395134319904</v>
      </c>
      <c r="G447" s="6">
        <f t="shared" si="24"/>
        <v>0.49396655087509944</v>
      </c>
      <c r="H447" s="6">
        <f t="shared" si="25"/>
        <v>-0.68115250688958806</v>
      </c>
    </row>
    <row r="448" spans="1:8" x14ac:dyDescent="0.3">
      <c r="A448" s="6">
        <v>9</v>
      </c>
      <c r="B448" s="6">
        <v>6</v>
      </c>
      <c r="C448" s="6">
        <v>1</v>
      </c>
      <c r="E448" s="6">
        <f>$L$4+$L$5*Student_Performance__28[[#This Row],[Hours Studied]]+$L$6*Student_Performance__28[[#This Row],[Sleep Hours]]</f>
        <v>1.1817905956003132</v>
      </c>
      <c r="F448" s="6">
        <f t="shared" si="23"/>
        <v>3.2602066912747989</v>
      </c>
      <c r="G448" s="6">
        <f t="shared" si="24"/>
        <v>0.76526960486493056</v>
      </c>
      <c r="H448" s="6">
        <f t="shared" si="25"/>
        <v>-0.26752708258254487</v>
      </c>
    </row>
    <row r="449" spans="1:8" x14ac:dyDescent="0.3">
      <c r="A449" s="6">
        <v>1</v>
      </c>
      <c r="B449" s="6">
        <v>9</v>
      </c>
      <c r="C449" s="6">
        <v>1</v>
      </c>
      <c r="E449" s="6">
        <f>$L$4+$L$5*Student_Performance__28[[#This Row],[Hours Studied]]+$L$6*Student_Performance__28[[#This Row],[Sleep Hours]]</f>
        <v>-0.1822529624063951</v>
      </c>
      <c r="F449" s="6">
        <f t="shared" si="23"/>
        <v>0.83339049728350689</v>
      </c>
      <c r="G449" s="6">
        <f t="shared" si="24"/>
        <v>0.45456246147142287</v>
      </c>
      <c r="H449" s="6">
        <f t="shared" si="25"/>
        <v>-0.78841994582707242</v>
      </c>
    </row>
    <row r="450" spans="1:8" x14ac:dyDescent="0.3">
      <c r="A450" s="6">
        <v>1</v>
      </c>
      <c r="B450" s="6">
        <v>9</v>
      </c>
      <c r="C450" s="6">
        <v>0</v>
      </c>
      <c r="E450" s="6">
        <f>$L$4+$L$5*Student_Performance__28[[#This Row],[Hours Studied]]+$L$6*Student_Performance__28[[#This Row],[Sleep Hours]]</f>
        <v>-0.1822529624063951</v>
      </c>
      <c r="F450" s="6">
        <f t="shared" si="23"/>
        <v>0.83339049728350689</v>
      </c>
      <c r="G450" s="6">
        <f t="shared" si="24"/>
        <v>0.45456246147142287</v>
      </c>
      <c r="H450" s="6">
        <f t="shared" si="25"/>
        <v>-0.60616698342067732</v>
      </c>
    </row>
  </sheetData>
  <mergeCells count="3">
    <mergeCell ref="K7:L7"/>
    <mergeCell ref="J4:J6"/>
    <mergeCell ref="J14:O15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581A3-B5CD-47B1-B571-7823D2E8F40F}">
  <sheetPr codeName="Sheet8"/>
  <dimension ref="A1:AD272"/>
  <sheetViews>
    <sheetView zoomScaleNormal="100" workbookViewId="0">
      <selection activeCell="H17" sqref="H17"/>
    </sheetView>
  </sheetViews>
  <sheetFormatPr defaultRowHeight="14.4" x14ac:dyDescent="0.3"/>
  <cols>
    <col min="1" max="1" width="23.21875" customWidth="1"/>
    <col min="2" max="2" width="24.88671875" customWidth="1"/>
    <col min="3" max="3" width="23.33203125" customWidth="1"/>
    <col min="4" max="4" width="17.5546875" customWidth="1"/>
    <col min="5" max="5" width="15.33203125" customWidth="1"/>
    <col min="6" max="6" width="17.33203125" customWidth="1"/>
    <col min="10" max="10" width="12.77734375" customWidth="1"/>
    <col min="11" max="11" width="11.6640625" customWidth="1"/>
    <col min="12" max="12" width="11.21875" customWidth="1"/>
    <col min="13" max="13" width="14.44140625" customWidth="1"/>
    <col min="14" max="14" width="14" customWidth="1"/>
    <col min="15" max="15" width="10.44140625" customWidth="1"/>
    <col min="16" max="16" width="17.5546875" customWidth="1"/>
    <col min="17" max="17" width="8.88671875" customWidth="1"/>
    <col min="18" max="18" width="13.5546875" customWidth="1"/>
    <col min="19" max="19" width="16.88671875" customWidth="1"/>
    <col min="20" max="20" width="16.109375" customWidth="1"/>
    <col min="21" max="21" width="14.5546875" customWidth="1"/>
    <col min="22" max="22" width="15.21875" customWidth="1"/>
    <col min="23" max="23" width="14.77734375" customWidth="1"/>
    <col min="24" max="24" width="13.44140625" customWidth="1"/>
    <col min="25" max="25" width="14.109375" customWidth="1"/>
    <col min="26" max="26" width="16.6640625" customWidth="1"/>
    <col min="27" max="27" width="12.21875" customWidth="1"/>
    <col min="28" max="29" width="15.77734375" customWidth="1"/>
  </cols>
  <sheetData>
    <row r="1" spans="1:30" x14ac:dyDescent="0.3">
      <c r="A1" t="s">
        <v>82</v>
      </c>
      <c r="B1" t="s">
        <v>81</v>
      </c>
      <c r="C1" t="s">
        <v>80</v>
      </c>
      <c r="D1" t="s">
        <v>79</v>
      </c>
      <c r="E1" t="s">
        <v>78</v>
      </c>
      <c r="F1" s="62" t="s">
        <v>83</v>
      </c>
      <c r="G1" s="63" t="s">
        <v>84</v>
      </c>
      <c r="H1" s="63"/>
      <c r="I1" s="63"/>
      <c r="J1" s="64" t="s">
        <v>85</v>
      </c>
      <c r="K1" s="64"/>
      <c r="L1" s="64"/>
      <c r="M1" s="64" t="s">
        <v>86</v>
      </c>
      <c r="N1" s="64"/>
      <c r="O1" s="64"/>
      <c r="P1" s="64" t="s">
        <v>69</v>
      </c>
    </row>
    <row r="2" spans="1:30" x14ac:dyDescent="0.3">
      <c r="A2" t="s">
        <v>23</v>
      </c>
      <c r="B2" t="s">
        <v>23</v>
      </c>
      <c r="C2" t="s">
        <v>23</v>
      </c>
      <c r="D2" t="s">
        <v>23</v>
      </c>
      <c r="E2" t="s">
        <v>23</v>
      </c>
      <c r="F2" s="62"/>
      <c r="G2" s="24">
        <v>1</v>
      </c>
      <c r="H2" s="24">
        <v>2</v>
      </c>
      <c r="I2" s="24">
        <v>3</v>
      </c>
      <c r="J2" s="25">
        <v>1</v>
      </c>
      <c r="K2" s="25">
        <v>2</v>
      </c>
      <c r="L2" s="25">
        <v>3</v>
      </c>
      <c r="M2" s="25">
        <v>1</v>
      </c>
      <c r="N2" s="25">
        <v>2</v>
      </c>
      <c r="O2" s="25">
        <v>3</v>
      </c>
      <c r="P2" s="64"/>
    </row>
    <row r="3" spans="1:30" x14ac:dyDescent="0.3">
      <c r="A3">
        <v>411</v>
      </c>
      <c r="B3">
        <v>176</v>
      </c>
      <c r="C3">
        <v>182</v>
      </c>
      <c r="D3">
        <v>3200</v>
      </c>
      <c r="E3">
        <v>0</v>
      </c>
      <c r="F3" s="6" t="s">
        <v>87</v>
      </c>
      <c r="G3" s="6">
        <f>IF(F3="Emperor Penguin",1,0)</f>
        <v>1</v>
      </c>
      <c r="H3" s="6">
        <f>IF(F3="King Penguin",1,0)</f>
        <v>0</v>
      </c>
      <c r="I3" s="6">
        <f>IF(F3="Little Penguin",1,0)</f>
        <v>0</v>
      </c>
      <c r="J3" s="6">
        <f>$V$5+$W$5*penguins[[#This Row],[Culmen Length (mm)]]+penguins[[#This Row],[Culmen Depth (mm)]]*$X$5+$Y$5*penguins[[#This Row],[Flipper Length (mm)]]+penguins[[#This Row],[Body mass (g)]]*$Z$5+$AA$5*penguins[[#This Row],[Gender]]</f>
        <v>-203.31296548092649</v>
      </c>
      <c r="K3" s="6">
        <f>$V$6+$W$6*penguins[[#This Row],[Culmen Length (mm)]]+penguins[[#This Row],[Culmen Depth (mm)]]*$X$6+$Y$6*penguins[[#This Row],[Flipper Length (mm)]]+penguins[[#This Row],[Body mass (g)]]*$Z$6+$AA$6*penguins[[#This Row],[Gender]]</f>
        <v>-203.26888543928413</v>
      </c>
      <c r="L3" s="6">
        <f>$V$7+$W$7*penguins[[#This Row],[Culmen Length (mm)]]+penguins[[#This Row],[Culmen Depth (mm)]]*$X$7+$Y$7*penguins[[#This Row],[Flipper Length (mm)]]+penguins[[#This Row],[Body mass (g)]]*$Z$7+$AA$7*penguins[[#This Row],[Gender]]</f>
        <v>-203.86384212078175</v>
      </c>
      <c r="M3" s="6">
        <f>EXP(J3)/(EXP(J3)+EXP(K3)+EXP(L3))</f>
        <v>0.38145950336667617</v>
      </c>
      <c r="N3" s="6">
        <f>EXP(K3)/(EXP(J3)+EXP(K3)+EXP(L3))</f>
        <v>0.39865035747504968</v>
      </c>
      <c r="O3" s="6">
        <f>EXP(L3)/(EXP(J3)+EXP(K3)+EXP(L3))</f>
        <v>0.21989013915827413</v>
      </c>
      <c r="P3" s="6">
        <f>(1-H3-I3)*LN(M3)+I3*LN(O3)+H3*LN(N3)</f>
        <v>-0.96375058496236043</v>
      </c>
      <c r="S3" s="1" t="s">
        <v>90</v>
      </c>
      <c r="U3" s="60" t="s">
        <v>83</v>
      </c>
      <c r="V3" s="60" t="s">
        <v>17</v>
      </c>
      <c r="W3" s="41" t="s">
        <v>91</v>
      </c>
      <c r="X3" s="41"/>
      <c r="Y3" s="41"/>
      <c r="Z3" s="41"/>
      <c r="AA3" s="41"/>
    </row>
    <row r="4" spans="1:30" x14ac:dyDescent="0.3">
      <c r="A4">
        <v>386</v>
      </c>
      <c r="B4">
        <v>212</v>
      </c>
      <c r="C4">
        <v>191</v>
      </c>
      <c r="D4">
        <v>3800</v>
      </c>
      <c r="E4">
        <v>1</v>
      </c>
      <c r="F4" s="6" t="s">
        <v>87</v>
      </c>
      <c r="G4" s="6">
        <f t="shared" ref="G4:G67" si="0">IF(F4="Emperor Penguin",1,0)</f>
        <v>1</v>
      </c>
      <c r="H4" s="6">
        <f t="shared" ref="H4:H67" si="1">IF(F4="King Penguin",1,0)</f>
        <v>0</v>
      </c>
      <c r="I4" s="6">
        <f t="shared" ref="I4:I67" si="2">IF(F4="Little Penguin",1,0)</f>
        <v>0</v>
      </c>
      <c r="J4" s="6">
        <f>$V$5+$W$5*penguins[[#This Row],[Culmen Length (mm)]]+penguins[[#This Row],[Culmen Depth (mm)]]*$X$5+$Y$5*penguins[[#This Row],[Flipper Length (mm)]]+penguins[[#This Row],[Body mass (g)]]*$Z$5+$AA$5*penguins[[#This Row],[Gender]]</f>
        <v>-242.33837718983978</v>
      </c>
      <c r="K4" s="6">
        <f>$V$6+$W$6*penguins[[#This Row],[Culmen Length (mm)]]+penguins[[#This Row],[Culmen Depth (mm)]]*$X$6+$Y$6*penguins[[#This Row],[Flipper Length (mm)]]+penguins[[#This Row],[Body mass (g)]]*$Z$6+$AA$6*penguins[[#This Row],[Gender]]</f>
        <v>-242.91800413259881</v>
      </c>
      <c r="L4" s="6">
        <f>$V$7+$W$7*penguins[[#This Row],[Culmen Length (mm)]]+penguins[[#This Row],[Culmen Depth (mm)]]*$X$7+$Y$7*penguins[[#This Row],[Flipper Length (mm)]]+penguins[[#This Row],[Body mass (g)]]*$Z$7+$AA$7*penguins[[#This Row],[Gender]]</f>
        <v>-243.09385195364351</v>
      </c>
      <c r="M4" s="6">
        <f>EXP(J4)/(EXP(J4)+EXP(K4)+EXP(L4))</f>
        <v>0.49263636635572589</v>
      </c>
      <c r="N4" s="6">
        <f t="shared" ref="N4:N67" si="3">EXP(K4)/(EXP(J4)+EXP(K4)+EXP(L4))</f>
        <v>0.27592921502656326</v>
      </c>
      <c r="O4" s="6">
        <f t="shared" ref="O4:O67" si="4">EXP(L4)/(EXP(J4)+EXP(K4)+EXP(L4))</f>
        <v>0.23143441861771102</v>
      </c>
      <c r="P4" s="6">
        <f t="shared" ref="P4:P67" si="5">(1-H4-I4)*LN(M4)+I4*LN(O4)+H4*LN(N4)</f>
        <v>-0.70798397069437402</v>
      </c>
      <c r="S4" s="2">
        <f>SUM(P3:P272)</f>
        <v>-263.21402911624534</v>
      </c>
      <c r="U4" s="60"/>
      <c r="V4" s="60"/>
      <c r="W4" s="1" t="s">
        <v>92</v>
      </c>
      <c r="X4" s="1" t="s">
        <v>93</v>
      </c>
      <c r="Y4" s="1" t="s">
        <v>94</v>
      </c>
      <c r="Z4" s="1" t="s">
        <v>95</v>
      </c>
      <c r="AA4" s="1" t="s">
        <v>78</v>
      </c>
    </row>
    <row r="5" spans="1:30" x14ac:dyDescent="0.3">
      <c r="A5">
        <v>346</v>
      </c>
      <c r="B5">
        <v>211</v>
      </c>
      <c r="C5">
        <v>-132</v>
      </c>
      <c r="D5">
        <v>4400</v>
      </c>
      <c r="E5">
        <v>1</v>
      </c>
      <c r="F5" s="6" t="s">
        <v>87</v>
      </c>
      <c r="G5" s="6">
        <f t="shared" si="0"/>
        <v>1</v>
      </c>
      <c r="H5" s="6">
        <f t="shared" si="1"/>
        <v>0</v>
      </c>
      <c r="I5" s="6">
        <f t="shared" si="2"/>
        <v>0</v>
      </c>
      <c r="J5" s="6">
        <f>$V$5+$W$5*penguins[[#This Row],[Culmen Length (mm)]]+penguins[[#This Row],[Culmen Depth (mm)]]*$X$5+$Y$5*penguins[[#This Row],[Flipper Length (mm)]]+penguins[[#This Row],[Body mass (g)]]*$Z$5+$AA$5*penguins[[#This Row],[Gender]]</f>
        <v>-283.5942379282065</v>
      </c>
      <c r="K5" s="6">
        <f>$V$6+$W$6*penguins[[#This Row],[Culmen Length (mm)]]+penguins[[#This Row],[Culmen Depth (mm)]]*$X$6+$Y$6*penguins[[#This Row],[Flipper Length (mm)]]+penguins[[#This Row],[Body mass (g)]]*$Z$6+$AA$6*penguins[[#This Row],[Gender]]</f>
        <v>-293.01651295332863</v>
      </c>
      <c r="L5" s="6">
        <f>$V$7+$W$7*penguins[[#This Row],[Culmen Length (mm)]]+penguins[[#This Row],[Culmen Depth (mm)]]*$X$7+$Y$7*penguins[[#This Row],[Flipper Length (mm)]]+penguins[[#This Row],[Body mass (g)]]*$Z$7+$AA$7*penguins[[#This Row],[Gender]]</f>
        <v>-280.93890858873448</v>
      </c>
      <c r="M5" s="6">
        <f t="shared" ref="M5:M67" si="6">EXP(J5)/(EXP(J5)+EXP(K5)+EXP(L5))</f>
        <v>6.5660948502893654E-2</v>
      </c>
      <c r="N5" s="6">
        <f t="shared" si="3"/>
        <v>5.3120860515275802E-6</v>
      </c>
      <c r="O5" s="6">
        <f t="shared" si="4"/>
        <v>0.9343337394110548</v>
      </c>
      <c r="P5" s="6">
        <f t="shared" si="5"/>
        <v>-2.7232509213399601</v>
      </c>
      <c r="U5" s="3">
        <v>1</v>
      </c>
      <c r="V5" s="6">
        <v>5.0170748144464969E-2</v>
      </c>
      <c r="W5" s="6">
        <v>8.4863207330675289E-3</v>
      </c>
      <c r="X5" s="6">
        <v>1.7332330519202483E-2</v>
      </c>
      <c r="Y5" s="6">
        <v>4.3193378703488723E-3</v>
      </c>
      <c r="Z5" s="6">
        <v>-6.5839882410670264E-2</v>
      </c>
      <c r="AA5" s="6">
        <v>2.7837816291126454E-2</v>
      </c>
    </row>
    <row r="6" spans="1:30" ht="14.4" customHeight="1" x14ac:dyDescent="0.3">
      <c r="A6">
        <v>366</v>
      </c>
      <c r="B6">
        <v>178</v>
      </c>
      <c r="C6">
        <v>185</v>
      </c>
      <c r="D6">
        <v>3700</v>
      </c>
      <c r="E6">
        <v>0</v>
      </c>
      <c r="F6" s="6" t="s">
        <v>87</v>
      </c>
      <c r="G6" s="6">
        <f t="shared" si="0"/>
        <v>1</v>
      </c>
      <c r="H6" s="6">
        <f t="shared" si="1"/>
        <v>0</v>
      </c>
      <c r="I6" s="6">
        <f t="shared" si="2"/>
        <v>0</v>
      </c>
      <c r="J6" s="6">
        <f>$V$5+$W$5*penguins[[#This Row],[Culmen Length (mm)]]+penguins[[#This Row],[Culmen Depth (mm)]]*$X$5+$Y$5*penguins[[#This Row],[Flipper Length (mm)]]+penguins[[#This Row],[Body mass (g)]]*$Z$5+$AA$5*penguins[[#This Row],[Gender]]</f>
        <v>-236.56716844460021</v>
      </c>
      <c r="K6" s="6">
        <f>$V$6+$W$6*penguins[[#This Row],[Culmen Length (mm)]]+penguins[[#This Row],[Culmen Depth (mm)]]*$X$6+$Y$6*penguins[[#This Row],[Flipper Length (mm)]]+penguins[[#This Row],[Body mass (g)]]*$Z$6+$AA$6*penguins[[#This Row],[Gender]]</f>
        <v>-236.96408036641205</v>
      </c>
      <c r="L6" s="6">
        <f>$V$7+$W$7*penguins[[#This Row],[Culmen Length (mm)]]+penguins[[#This Row],[Culmen Depth (mm)]]*$X$7+$Y$7*penguins[[#This Row],[Flipper Length (mm)]]+penguins[[#This Row],[Body mass (g)]]*$Z$7+$AA$7*penguins[[#This Row],[Gender]]</f>
        <v>-236.8218692553979</v>
      </c>
      <c r="M6" s="6">
        <f t="shared" si="6"/>
        <v>0.40857323511127547</v>
      </c>
      <c r="N6" s="6">
        <f t="shared" si="3"/>
        <v>0.27472188386831947</v>
      </c>
      <c r="O6" s="6">
        <f t="shared" si="4"/>
        <v>0.31670488102040512</v>
      </c>
      <c r="P6" s="6">
        <f t="shared" si="5"/>
        <v>-0.89508410263230342</v>
      </c>
      <c r="S6" s="61" t="s">
        <v>96</v>
      </c>
      <c r="U6" s="3">
        <v>2</v>
      </c>
      <c r="V6" s="6">
        <v>1.5952645495409513E-2</v>
      </c>
      <c r="W6" s="6">
        <v>8.8482773397166471E-3</v>
      </c>
      <c r="X6" s="6">
        <v>8.0515864077263122E-3</v>
      </c>
      <c r="Y6" s="6">
        <v>2.9886023873686759E-2</v>
      </c>
      <c r="Z6" s="6">
        <v>-6.6805567382554346E-2</v>
      </c>
      <c r="AA6" s="6">
        <v>9.659734416950945E-2</v>
      </c>
    </row>
    <row r="7" spans="1:30" x14ac:dyDescent="0.3">
      <c r="A7">
        <v>387</v>
      </c>
      <c r="B7">
        <v>19</v>
      </c>
      <c r="C7">
        <v>195</v>
      </c>
      <c r="D7">
        <v>3450</v>
      </c>
      <c r="E7">
        <v>0</v>
      </c>
      <c r="F7" s="6" t="s">
        <v>87</v>
      </c>
      <c r="G7" s="6">
        <f t="shared" si="0"/>
        <v>1</v>
      </c>
      <c r="H7" s="6">
        <f t="shared" si="1"/>
        <v>0</v>
      </c>
      <c r="I7" s="6">
        <f t="shared" si="2"/>
        <v>0</v>
      </c>
      <c r="J7" s="6">
        <f>$V$5+$W$5*penguins[[#This Row],[Culmen Length (mm)]]+penguins[[#This Row],[Culmen Depth (mm)]]*$X$5+$Y$5*penguins[[#This Row],[Flipper Length (mm)]]+penguins[[#This Row],[Body mass (g)]]*$Z$5+$AA$5*penguins[[#This Row],[Gender]]</f>
        <v>-222.64163228038794</v>
      </c>
      <c r="K7" s="6">
        <f>$V$6+$W$6*penguins[[#This Row],[Culmen Length (mm)]]+penguins[[#This Row],[Culmen Depth (mm)]]*$X$6+$Y$6*penguins[[#This Row],[Flipper Length (mm)]]+penguins[[#This Row],[Body mass (g)]]*$Z$6+$AA$6*penguins[[#This Row],[Gender]]</f>
        <v>-221.05821669673099</v>
      </c>
      <c r="L7" s="6">
        <f>$V$7+$W$7*penguins[[#This Row],[Culmen Length (mm)]]+penguins[[#This Row],[Culmen Depth (mm)]]*$X$7+$Y$7*penguins[[#This Row],[Flipper Length (mm)]]+penguins[[#This Row],[Body mass (g)]]*$Z$7+$AA$7*penguins[[#This Row],[Gender]]</f>
        <v>-221.07812712139417</v>
      </c>
      <c r="M7" s="6">
        <f t="shared" si="6"/>
        <v>9.3922309791308944E-2</v>
      </c>
      <c r="N7" s="6">
        <f t="shared" si="3"/>
        <v>0.4575487940147569</v>
      </c>
      <c r="O7" s="6">
        <f t="shared" si="4"/>
        <v>0.44852889619393427</v>
      </c>
      <c r="P7" s="6">
        <f t="shared" si="5"/>
        <v>-2.3652873300264261</v>
      </c>
      <c r="S7" s="61"/>
      <c r="U7" s="3">
        <v>3</v>
      </c>
      <c r="V7" s="6">
        <v>-3.6123424955738517E-2</v>
      </c>
      <c r="W7" s="6">
        <v>1.0303744714863351E-2</v>
      </c>
      <c r="X7" s="6">
        <v>4.2048825726071701E-3</v>
      </c>
      <c r="Y7" s="6">
        <v>-4.8212495443576203E-3</v>
      </c>
      <c r="Z7" s="6">
        <v>-6.4976609277918942E-2</v>
      </c>
      <c r="AA7" s="6">
        <v>-9.4435174953450288E-2</v>
      </c>
    </row>
    <row r="8" spans="1:30" x14ac:dyDescent="0.3">
      <c r="A8">
        <v>425</v>
      </c>
      <c r="B8">
        <v>207</v>
      </c>
      <c r="C8">
        <v>197</v>
      </c>
      <c r="D8">
        <v>4500</v>
      </c>
      <c r="E8">
        <v>1</v>
      </c>
      <c r="F8" s="6" t="s">
        <v>87</v>
      </c>
      <c r="G8" s="6">
        <f t="shared" si="0"/>
        <v>1</v>
      </c>
      <c r="H8" s="6">
        <f t="shared" si="1"/>
        <v>0</v>
      </c>
      <c r="I8" s="6">
        <f t="shared" si="2"/>
        <v>0</v>
      </c>
      <c r="J8" s="6">
        <f>$V$5+$W$5*penguins[[#This Row],[Culmen Length (mm)]]+penguins[[#This Row],[Culmen Depth (mm)]]*$X$5+$Y$5*penguins[[#This Row],[Flipper Length (mm)]]+penguins[[#This Row],[Body mass (g)]]*$Z$5+$AA$5*penguins[[#This Row],[Gender]]</f>
        <v>-288.15607399409322</v>
      </c>
      <c r="K8" s="6">
        <f>$V$6+$W$6*penguins[[#This Row],[Culmen Length (mm)]]+penguins[[#This Row],[Culmen Depth (mm)]]*$X$6+$Y$6*penguins[[#This Row],[Flipper Length (mm)]]+penguins[[#This Row],[Body mass (g)]]*$Z$6+$AA$6*penguins[[#This Row],[Gender]]</f>
        <v>-289.19776027293449</v>
      </c>
      <c r="L8" s="6">
        <f>$V$7+$W$7*penguins[[#This Row],[Culmen Length (mm)]]+penguins[[#This Row],[Culmen Depth (mm)]]*$X$7+$Y$7*penguins[[#This Row],[Flipper Length (mm)]]+penguins[[#This Row],[Body mass (g)]]*$Z$7+$AA$7*penguins[[#This Row],[Gender]]</f>
        <v>-288.22558431443628</v>
      </c>
      <c r="M8" s="6">
        <f t="shared" si="6"/>
        <v>0.43750088404239529</v>
      </c>
      <c r="N8" s="6">
        <f t="shared" si="3"/>
        <v>0.15437619490424379</v>
      </c>
      <c r="O8" s="6">
        <f t="shared" si="4"/>
        <v>0.40812292105336107</v>
      </c>
      <c r="P8" s="6">
        <f t="shared" si="5"/>
        <v>-0.8266765525181774</v>
      </c>
      <c r="S8" s="61"/>
    </row>
    <row r="9" spans="1:30" x14ac:dyDescent="0.3">
      <c r="A9">
        <v>344</v>
      </c>
      <c r="B9">
        <v>184</v>
      </c>
      <c r="C9">
        <v>184</v>
      </c>
      <c r="D9">
        <v>3325</v>
      </c>
      <c r="E9">
        <v>0</v>
      </c>
      <c r="F9" s="6" t="s">
        <v>87</v>
      </c>
      <c r="G9" s="6">
        <f t="shared" si="0"/>
        <v>1</v>
      </c>
      <c r="H9" s="6">
        <f t="shared" si="1"/>
        <v>0</v>
      </c>
      <c r="I9" s="6">
        <f t="shared" si="2"/>
        <v>0</v>
      </c>
      <c r="J9" s="6">
        <f>$V$5+$W$5*penguins[[#This Row],[Culmen Length (mm)]]+penguins[[#This Row],[Culmen Depth (mm)]]*$X$5+$Y$5*penguins[[#This Row],[Flipper Length (mm)]]+penguins[[#This Row],[Body mass (g)]]*$Z$5+$AA$5*penguins[[#This Row],[Gender]]</f>
        <v>-211.9642369514815</v>
      </c>
      <c r="K9" s="6">
        <f>$V$6+$W$6*penguins[[#This Row],[Culmen Length (mm)]]+penguins[[#This Row],[Culmen Depth (mm)]]*$X$6+$Y$6*penguins[[#This Row],[Flipper Length (mm)]]+penguins[[#This Row],[Body mass (g)]]*$Z$6+$AA$6*penguins[[#This Row],[Gender]]</f>
        <v>-212.08823120485525</v>
      </c>
      <c r="L9" s="6">
        <f>$V$7+$W$7*penguins[[#This Row],[Culmen Length (mm)]]+penguins[[#This Row],[Culmen Depth (mm)]]*$X$7+$Y$7*penguins[[#This Row],[Flipper Length (mm)]]+penguins[[#This Row],[Body mass (g)]]*$Z$7+$AA$7*penguins[[#This Row],[Gender]]</f>
        <v>-212.65227261492532</v>
      </c>
      <c r="M9" s="6">
        <f t="shared" si="6"/>
        <v>0.41912075508450614</v>
      </c>
      <c r="N9" s="6">
        <f t="shared" si="3"/>
        <v>0.37024495359046455</v>
      </c>
      <c r="O9" s="6">
        <f t="shared" si="4"/>
        <v>0.21063429132502934</v>
      </c>
      <c r="P9" s="6">
        <f t="shared" si="5"/>
        <v>-0.86959620228877244</v>
      </c>
    </row>
    <row r="10" spans="1:30" x14ac:dyDescent="0.3">
      <c r="A10">
        <v>46</v>
      </c>
      <c r="B10">
        <v>215</v>
      </c>
      <c r="C10">
        <v>194</v>
      </c>
      <c r="D10">
        <v>4200</v>
      </c>
      <c r="E10">
        <v>1</v>
      </c>
      <c r="F10" s="6" t="s">
        <v>87</v>
      </c>
      <c r="G10" s="6">
        <f t="shared" si="0"/>
        <v>1</v>
      </c>
      <c r="H10" s="6">
        <f t="shared" si="1"/>
        <v>0</v>
      </c>
      <c r="I10" s="6">
        <f t="shared" si="2"/>
        <v>0</v>
      </c>
      <c r="J10" s="6">
        <f>$V$5+$W$5*penguins[[#This Row],[Culmen Length (mm)]]+penguins[[#This Row],[Culmen Depth (mm)]]*$X$5+$Y$5*penguins[[#This Row],[Flipper Length (mm)]]+penguins[[#This Row],[Body mass (g)]]*$Z$5+$AA$5*penguins[[#This Row],[Gender]]</f>
        <v>-271.49472419818215</v>
      </c>
      <c r="K10" s="6">
        <f>$V$6+$W$6*penguins[[#This Row],[Culmen Length (mm)]]+penguins[[#This Row],[Culmen Depth (mm)]]*$X$6+$Y$6*penguins[[#This Row],[Flipper Length (mm)]]+penguins[[#This Row],[Body mass (g)]]*$Z$6+$AA$6*penguins[[#This Row],[Gender]]</f>
        <v>-272.53483255027999</v>
      </c>
      <c r="L10" s="6">
        <f>$V$7+$W$7*penguins[[#This Row],[Culmen Length (mm)]]+penguins[[#This Row],[Culmen Depth (mm)]]*$X$7+$Y$7*penguins[[#This Row],[Flipper Length (mm)]]+penguins[[#This Row],[Body mass (g)]]*$Z$7+$AA$7*penguins[[#This Row],[Gender]]</f>
        <v>-272.58961796877986</v>
      </c>
      <c r="M10" s="6">
        <f t="shared" si="6"/>
        <v>0.59242003309761138</v>
      </c>
      <c r="N10" s="6">
        <f t="shared" si="3"/>
        <v>0.20937094737408282</v>
      </c>
      <c r="O10" s="6">
        <f t="shared" si="4"/>
        <v>0.19820901952830586</v>
      </c>
      <c r="P10" s="6">
        <f t="shared" si="5"/>
        <v>-0.52353938031757685</v>
      </c>
    </row>
    <row r="11" spans="1:30" x14ac:dyDescent="0.3">
      <c r="A11">
        <v>378</v>
      </c>
      <c r="B11">
        <v>183</v>
      </c>
      <c r="C11">
        <v>174</v>
      </c>
      <c r="D11">
        <v>3400</v>
      </c>
      <c r="E11">
        <v>0</v>
      </c>
      <c r="F11" s="6" t="s">
        <v>87</v>
      </c>
      <c r="G11" s="6">
        <f t="shared" si="0"/>
        <v>1</v>
      </c>
      <c r="H11" s="6">
        <f t="shared" si="1"/>
        <v>0</v>
      </c>
      <c r="I11" s="6">
        <f t="shared" si="2"/>
        <v>0</v>
      </c>
      <c r="J11" s="6">
        <f>$V$5+$W$5*penguins[[#This Row],[Culmen Length (mm)]]+penguins[[#This Row],[Culmen Depth (mm)]]*$X$5+$Y$5*penguins[[#This Row],[Flipper Length (mm)]]+penguins[[#This Row],[Body mass (g)]]*$Z$5+$AA$5*penguins[[#This Row],[Gender]]</f>
        <v>-216.67421893658013</v>
      </c>
      <c r="K11" s="6">
        <f>$V$6+$W$6*penguins[[#This Row],[Culmen Length (mm)]]+penguins[[#This Row],[Culmen Depth (mm)]]*$X$6+$Y$6*penguins[[#This Row],[Flipper Length (mm)]]+penguins[[#This Row],[Body mass (g)]]*$Z$6+$AA$6*penguins[[#This Row],[Gender]]</f>
        <v>-217.10471915414107</v>
      </c>
      <c r="L11" s="6">
        <f>$V$7+$W$7*penguins[[#This Row],[Culmen Length (mm)]]+penguins[[#This Row],[Culmen Depth (mm)]]*$X$7+$Y$7*penguins[[#This Row],[Flipper Length (mm)]]+penguins[[#This Row],[Body mass (g)]]*$Z$7+$AA$7*penguins[[#This Row],[Gender]]</f>
        <v>-217.13118337759289</v>
      </c>
      <c r="M11" s="6">
        <f t="shared" si="6"/>
        <v>0.43794598091689735</v>
      </c>
      <c r="N11" s="6">
        <f t="shared" si="3"/>
        <v>0.28474537331774391</v>
      </c>
      <c r="O11" s="6">
        <f t="shared" si="4"/>
        <v>0.27730864576535863</v>
      </c>
      <c r="P11" s="6">
        <f t="shared" si="5"/>
        <v>-0.82565970745157402</v>
      </c>
    </row>
    <row r="12" spans="1:30" x14ac:dyDescent="0.3">
      <c r="A12">
        <v>377</v>
      </c>
      <c r="B12">
        <v>187</v>
      </c>
      <c r="C12">
        <v>180</v>
      </c>
      <c r="D12">
        <v>3600</v>
      </c>
      <c r="E12">
        <v>1</v>
      </c>
      <c r="F12" s="6" t="s">
        <v>87</v>
      </c>
      <c r="G12" s="6">
        <f t="shared" si="0"/>
        <v>1</v>
      </c>
      <c r="H12" s="6">
        <f t="shared" si="1"/>
        <v>0</v>
      </c>
      <c r="I12" s="6">
        <f t="shared" si="2"/>
        <v>0</v>
      </c>
      <c r="J12" s="6">
        <f>$V$5+$W$5*penguins[[#This Row],[Culmen Length (mm)]]+penguins[[#This Row],[Culmen Depth (mm)]]*$X$5+$Y$5*penguins[[#This Row],[Flipper Length (mm)]]+penguins[[#This Row],[Body mass (g)]]*$Z$5+$AA$5*penguins[[#This Row],[Gender]]</f>
        <v>-229.72759857385722</v>
      </c>
      <c r="K12" s="6">
        <f>$V$6+$W$6*penguins[[#This Row],[Culmen Length (mm)]]+penguins[[#This Row],[Culmen Depth (mm)]]*$X$6+$Y$6*penguins[[#This Row],[Flipper Length (mm)]]+penguins[[#This Row],[Body mass (g)]]*$Z$6+$AA$6*penguins[[#This Row],[Gender]]</f>
        <v>-230.1665610749491</v>
      </c>
      <c r="L12" s="6">
        <f>$V$7+$W$7*penguins[[#This Row],[Culmen Length (mm)]]+penguins[[#This Row],[Culmen Depth (mm)]]*$X$7+$Y$7*penguins[[#This Row],[Flipper Length (mm)]]+penguins[[#This Row],[Body mass (g)]]*$Z$7+$AA$7*penguins[[#This Row],[Gender]]</f>
        <v>-230.24335211982071</v>
      </c>
      <c r="M12" s="6">
        <f t="shared" si="6"/>
        <v>0.44607898192673334</v>
      </c>
      <c r="N12" s="6">
        <f t="shared" si="3"/>
        <v>0.28758932992865704</v>
      </c>
      <c r="O12" s="6">
        <f t="shared" si="4"/>
        <v>0.26633168814460956</v>
      </c>
      <c r="P12" s="6">
        <f t="shared" si="5"/>
        <v>-0.8072592531187478</v>
      </c>
    </row>
    <row r="13" spans="1:30" x14ac:dyDescent="0.3">
      <c r="A13">
        <v>359</v>
      </c>
      <c r="B13">
        <v>192</v>
      </c>
      <c r="C13">
        <v>189</v>
      </c>
      <c r="D13">
        <v>3800</v>
      </c>
      <c r="E13">
        <v>0</v>
      </c>
      <c r="F13" s="6" t="s">
        <v>87</v>
      </c>
      <c r="G13" s="6">
        <f t="shared" si="0"/>
        <v>1</v>
      </c>
      <c r="H13" s="6">
        <f t="shared" si="1"/>
        <v>0</v>
      </c>
      <c r="I13" s="6">
        <f t="shared" si="2"/>
        <v>0</v>
      </c>
      <c r="J13" s="6">
        <f>$V$5+$W$5*penguins[[#This Row],[Culmen Length (mm)]]+penguins[[#This Row],[Culmen Depth (mm)]]*$X$5+$Y$5*penguins[[#This Row],[Flipper Length (mm)]]+penguins[[#This Row],[Body mass (g)]]*$Z$5+$AA$5*penguins[[#This Row],[Gender]]</f>
        <v>-242.9506309520485</v>
      </c>
      <c r="K13" s="6">
        <f>$V$6+$W$6*penguins[[#This Row],[Culmen Length (mm)]]+penguins[[#This Row],[Culmen Depth (mm)]]*$X$6+$Y$6*penguins[[#This Row],[Flipper Length (mm)]]+penguins[[#This Row],[Body mass (g)]]*$Z$6+$AA$6*penguins[[#This Row],[Gender]]</f>
        <v>-243.47430874084256</v>
      </c>
      <c r="L13" s="6">
        <f>$V$7+$W$7*penguins[[#This Row],[Culmen Length (mm)]]+penguins[[#This Row],[Culmen Depth (mm)]]*$X$7+$Y$7*penguins[[#This Row],[Flipper Length (mm)]]+penguins[[#This Row],[Body mass (g)]]*$Z$7+$AA$7*penguins[[#This Row],[Gender]]</f>
        <v>-243.3520730383548</v>
      </c>
      <c r="M13" s="6">
        <f t="shared" si="6"/>
        <v>0.44214682822320001</v>
      </c>
      <c r="N13" s="6">
        <f t="shared" si="3"/>
        <v>0.26190038686773887</v>
      </c>
      <c r="O13" s="6">
        <f t="shared" si="4"/>
        <v>0.29595278490906118</v>
      </c>
      <c r="P13" s="6">
        <f t="shared" si="5"/>
        <v>-0.81611326151727737</v>
      </c>
    </row>
    <row r="14" spans="1:30" x14ac:dyDescent="0.3">
      <c r="A14">
        <v>382</v>
      </c>
      <c r="B14">
        <v>181</v>
      </c>
      <c r="C14">
        <v>185</v>
      </c>
      <c r="D14">
        <v>3950</v>
      </c>
      <c r="E14">
        <v>1</v>
      </c>
      <c r="F14" s="6" t="s">
        <v>87</v>
      </c>
      <c r="G14" s="6">
        <f t="shared" si="0"/>
        <v>1</v>
      </c>
      <c r="H14" s="6">
        <f t="shared" si="1"/>
        <v>0</v>
      </c>
      <c r="I14" s="6">
        <f t="shared" si="2"/>
        <v>0</v>
      </c>
      <c r="J14" s="6">
        <f>$V$5+$W$5*penguins[[#This Row],[Culmen Length (mm)]]+penguins[[#This Row],[Culmen Depth (mm)]]*$X$5+$Y$5*penguins[[#This Row],[Flipper Length (mm)]]+penguins[[#This Row],[Body mass (g)]]*$Z$5+$AA$5*penguins[[#This Row],[Gender]]</f>
        <v>-252.81152310768994</v>
      </c>
      <c r="K14" s="6">
        <f>$V$6+$W$6*penguins[[#This Row],[Culmen Length (mm)]]+penguins[[#This Row],[Culmen Depth (mm)]]*$X$6+$Y$6*penguins[[#This Row],[Flipper Length (mm)]]+penguins[[#This Row],[Body mass (g)]]*$Z$6+$AA$6*penguins[[#This Row],[Gender]]</f>
        <v>-253.40314767122248</v>
      </c>
      <c r="L14" s="6">
        <f>$V$7+$W$7*penguins[[#This Row],[Culmen Length (mm)]]+penguins[[#This Row],[Culmen Depth (mm)]]*$X$7+$Y$7*penguins[[#This Row],[Flipper Length (mm)]]+penguins[[#This Row],[Body mass (g)]]*$Z$7+$AA$7*penguins[[#This Row],[Gender]]</f>
        <v>-252.98298218667546</v>
      </c>
      <c r="M14" s="6">
        <f t="shared" si="6"/>
        <v>0.41738627250656718</v>
      </c>
      <c r="N14" s="6">
        <f t="shared" si="3"/>
        <v>0.23099303128481666</v>
      </c>
      <c r="O14" s="6">
        <f t="shared" si="4"/>
        <v>0.35162069620861619</v>
      </c>
      <c r="P14" s="6">
        <f t="shared" si="5"/>
        <v>-0.87374317298104287</v>
      </c>
      <c r="S14" s="59" t="s">
        <v>97</v>
      </c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</row>
    <row r="15" spans="1:30" x14ac:dyDescent="0.3">
      <c r="A15">
        <v>388</v>
      </c>
      <c r="B15">
        <v>172</v>
      </c>
      <c r="C15">
        <v>180</v>
      </c>
      <c r="D15">
        <v>3800</v>
      </c>
      <c r="E15">
        <v>1</v>
      </c>
      <c r="F15" s="6" t="s">
        <v>87</v>
      </c>
      <c r="G15" s="6">
        <f t="shared" si="0"/>
        <v>1</v>
      </c>
      <c r="H15" s="6">
        <f t="shared" si="1"/>
        <v>0</v>
      </c>
      <c r="I15" s="6">
        <f t="shared" si="2"/>
        <v>0</v>
      </c>
      <c r="J15" s="6">
        <f>$V$5+$W$5*penguins[[#This Row],[Culmen Length (mm)]]+penguins[[#This Row],[Culmen Depth (mm)]]*$X$5+$Y$5*penguins[[#This Row],[Flipper Length (mm)]]+penguins[[#This Row],[Body mass (g)]]*$Z$5+$AA$5*penguins[[#This Row],[Gender]]</f>
        <v>-243.06221048571558</v>
      </c>
      <c r="K15" s="6">
        <f>$V$6+$W$6*penguins[[#This Row],[Culmen Length (mm)]]+penguins[[#This Row],[Culmen Depth (mm)]]*$X$6+$Y$6*penguins[[#This Row],[Flipper Length (mm)]]+penguins[[#This Row],[Body mass (g)]]*$Z$6+$AA$6*penguins[[#This Row],[Gender]]</f>
        <v>-243.55111729683898</v>
      </c>
      <c r="L15" s="6">
        <f>$V$7+$W$7*penguins[[#This Row],[Culmen Length (mm)]]+penguins[[#This Row],[Culmen Depth (mm)]]*$X$7+$Y$7*penguins[[#This Row],[Flipper Length (mm)]]+penguins[[#This Row],[Body mass (g)]]*$Z$7+$AA$7*penguins[[#This Row],[Gender]]</f>
        <v>-243.18840602213012</v>
      </c>
      <c r="M15" s="6">
        <f t="shared" si="6"/>
        <v>0.40084354275602985</v>
      </c>
      <c r="N15" s="6">
        <f t="shared" si="3"/>
        <v>0.24583593249653976</v>
      </c>
      <c r="O15" s="6">
        <f t="shared" si="4"/>
        <v>0.35332052474743048</v>
      </c>
      <c r="P15" s="6">
        <f t="shared" si="5"/>
        <v>-0.91418409550148427</v>
      </c>
      <c r="S15" s="43" t="s">
        <v>92</v>
      </c>
      <c r="T15" s="43" t="s">
        <v>93</v>
      </c>
      <c r="U15" s="43" t="s">
        <v>94</v>
      </c>
      <c r="V15" s="43" t="s">
        <v>95</v>
      </c>
      <c r="W15" s="43" t="s">
        <v>78</v>
      </c>
      <c r="X15" s="60" t="s">
        <v>85</v>
      </c>
      <c r="Y15" s="60"/>
      <c r="Z15" s="60"/>
      <c r="AA15" s="60" t="s">
        <v>86</v>
      </c>
      <c r="AB15" s="60"/>
      <c r="AC15" s="60"/>
      <c r="AD15" s="43" t="s">
        <v>77</v>
      </c>
    </row>
    <row r="16" spans="1:30" x14ac:dyDescent="0.3">
      <c r="A16">
        <v>353</v>
      </c>
      <c r="B16">
        <v>189</v>
      </c>
      <c r="C16">
        <v>187</v>
      </c>
      <c r="D16">
        <v>3800</v>
      </c>
      <c r="E16">
        <v>0</v>
      </c>
      <c r="F16" s="6" t="s">
        <v>87</v>
      </c>
      <c r="G16" s="6">
        <f t="shared" si="0"/>
        <v>1</v>
      </c>
      <c r="H16" s="6">
        <f t="shared" si="1"/>
        <v>0</v>
      </c>
      <c r="I16" s="6">
        <f t="shared" si="2"/>
        <v>0</v>
      </c>
      <c r="J16" s="6">
        <f>$V$5+$W$5*penguins[[#This Row],[Culmen Length (mm)]]+penguins[[#This Row],[Culmen Depth (mm)]]*$X$5+$Y$5*penguins[[#This Row],[Flipper Length (mm)]]+penguins[[#This Row],[Body mass (g)]]*$Z$5+$AA$5*penguins[[#This Row],[Gender]]</f>
        <v>-243.06218454374522</v>
      </c>
      <c r="K16" s="6">
        <f>$V$6+$W$6*penguins[[#This Row],[Culmen Length (mm)]]+penguins[[#This Row],[Culmen Depth (mm)]]*$X$6+$Y$6*penguins[[#This Row],[Flipper Length (mm)]]+penguins[[#This Row],[Body mass (g)]]*$Z$6+$AA$6*penguins[[#This Row],[Gender]]</f>
        <v>-243.61132521185144</v>
      </c>
      <c r="L16" s="6">
        <f>$V$7+$W$7*penguins[[#This Row],[Culmen Length (mm)]]+penguins[[#This Row],[Culmen Depth (mm)]]*$X$7+$Y$7*penguins[[#This Row],[Flipper Length (mm)]]+penguins[[#This Row],[Body mass (g)]]*$Z$7+$AA$7*penguins[[#This Row],[Gender]]</f>
        <v>-243.41686765527308</v>
      </c>
      <c r="M16" s="6">
        <f t="shared" si="6"/>
        <v>0.43881946405133271</v>
      </c>
      <c r="N16" s="6">
        <f t="shared" si="3"/>
        <v>0.25339446298649315</v>
      </c>
      <c r="O16" s="6">
        <f t="shared" si="4"/>
        <v>0.30778607296217414</v>
      </c>
      <c r="P16" s="6">
        <f t="shared" si="5"/>
        <v>-0.82366719410964528</v>
      </c>
      <c r="S16" s="44"/>
      <c r="T16" s="44"/>
      <c r="U16" s="44"/>
      <c r="V16" s="44"/>
      <c r="W16" s="44"/>
      <c r="X16" s="23">
        <v>1</v>
      </c>
      <c r="Y16" s="23">
        <v>2</v>
      </c>
      <c r="Z16" s="23">
        <v>3</v>
      </c>
      <c r="AA16" s="23">
        <v>1</v>
      </c>
      <c r="AB16" s="23">
        <v>2</v>
      </c>
      <c r="AC16" s="23">
        <v>3</v>
      </c>
      <c r="AD16" s="44"/>
    </row>
    <row r="17" spans="1:30" x14ac:dyDescent="0.3">
      <c r="A17">
        <v>406</v>
      </c>
      <c r="B17">
        <v>186</v>
      </c>
      <c r="C17">
        <v>183</v>
      </c>
      <c r="D17">
        <v>3550</v>
      </c>
      <c r="E17">
        <v>1</v>
      </c>
      <c r="F17" s="6" t="s">
        <v>87</v>
      </c>
      <c r="G17" s="6">
        <f t="shared" si="0"/>
        <v>1</v>
      </c>
      <c r="H17" s="6">
        <f t="shared" si="1"/>
        <v>0</v>
      </c>
      <c r="I17" s="6">
        <f t="shared" si="2"/>
        <v>0</v>
      </c>
      <c r="J17" s="6">
        <f>$V$5+$W$5*penguins[[#This Row],[Culmen Length (mm)]]+penguins[[#This Row],[Culmen Depth (mm)]]*$X$5+$Y$5*penguins[[#This Row],[Flipper Length (mm)]]+penguins[[#This Row],[Body mass (g)]]*$Z$5+$AA$5*penguins[[#This Row],[Gender]]</f>
        <v>-226.19387546897292</v>
      </c>
      <c r="K17" s="6">
        <f>$V$6+$W$6*penguins[[#This Row],[Culmen Length (mm)]]+penguins[[#This Row],[Culmen Depth (mm)]]*$X$6+$Y$6*penguins[[#This Row],[Flipper Length (mm)]]+penguins[[#This Row],[Body mass (g)]]*$Z$6+$AA$6*penguins[[#This Row],[Gender]]</f>
        <v>-226.48807617775628</v>
      </c>
      <c r="L17" s="6">
        <f>$V$7+$W$7*penguins[[#This Row],[Culmen Length (mm)]]+penguins[[#This Row],[Culmen Depth (mm)]]*$X$7+$Y$7*penguins[[#This Row],[Flipper Length (mm)]]+penguins[[#This Row],[Body mass (g)]]*$Z$7+$AA$7*penguins[[#This Row],[Gender]]</f>
        <v>-226.71438169039942</v>
      </c>
      <c r="M17" s="6">
        <f t="shared" si="6"/>
        <v>0.42746979225981457</v>
      </c>
      <c r="N17" s="6">
        <f t="shared" si="3"/>
        <v>0.31851925094600397</v>
      </c>
      <c r="O17" s="6">
        <f t="shared" si="4"/>
        <v>0.25401095679418145</v>
      </c>
      <c r="P17" s="6">
        <f t="shared" si="5"/>
        <v>-0.84987165448250579</v>
      </c>
      <c r="S17" s="6">
        <v>411</v>
      </c>
      <c r="T17" s="6">
        <v>176</v>
      </c>
      <c r="U17" s="6">
        <v>182</v>
      </c>
      <c r="V17" s="6">
        <v>3200</v>
      </c>
      <c r="W17" s="6">
        <v>0</v>
      </c>
      <c r="X17" s="6">
        <f>$V$5+$W$5*S17+T17*$X$5+$Y$5*U17+V17*$Z$5+$AA$5*W17</f>
        <v>-203.31296548092649</v>
      </c>
      <c r="Y17" s="6">
        <f>$V$6+$W$6*S17+T17*$X$6+$Y$6*U17+V17*$Z$6+$AA$6*W17</f>
        <v>-203.26888543928413</v>
      </c>
      <c r="Z17" s="6">
        <f>$V$7+$W$7*S17+T17*$X$7+$Y$7*U17+V17*$Z$7+$AA$7*W17</f>
        <v>-203.86384212078175</v>
      </c>
      <c r="AA17" s="2">
        <f>EXP(X17)/(EXP(X17)+EXP(Y17)+EXP(Z17))</f>
        <v>0.38145950336667617</v>
      </c>
      <c r="AB17" s="2">
        <f>EXP(Y17)/(EXP(X17)+EXP(Y17)+EXP(Z17))</f>
        <v>0.39865035747504968</v>
      </c>
      <c r="AC17" s="2">
        <f>EXP(Z17)/(EXP(X17)+EXP(Y17)+EXP(Z17))</f>
        <v>0.21989013915827413</v>
      </c>
      <c r="AD17" s="6">
        <v>1</v>
      </c>
    </row>
    <row r="18" spans="1:30" x14ac:dyDescent="0.3">
      <c r="A18">
        <v>405</v>
      </c>
      <c r="B18">
        <v>179</v>
      </c>
      <c r="C18">
        <v>187</v>
      </c>
      <c r="D18">
        <v>3200</v>
      </c>
      <c r="E18">
        <v>0</v>
      </c>
      <c r="F18" s="6" t="s">
        <v>87</v>
      </c>
      <c r="G18" s="6">
        <f t="shared" si="0"/>
        <v>1</v>
      </c>
      <c r="H18" s="6">
        <f t="shared" si="1"/>
        <v>0</v>
      </c>
      <c r="I18" s="6">
        <f t="shared" si="2"/>
        <v>0</v>
      </c>
      <c r="J18" s="6">
        <f>$V$5+$W$5*penguins[[#This Row],[Culmen Length (mm)]]+penguins[[#This Row],[Culmen Depth (mm)]]*$X$5+$Y$5*penguins[[#This Row],[Flipper Length (mm)]]+penguins[[#This Row],[Body mass (g)]]*$Z$5+$AA$5*penguins[[#This Row],[Gender]]</f>
        <v>-203.29028972441554</v>
      </c>
      <c r="K18" s="6">
        <f>$V$6+$W$6*penguins[[#This Row],[Culmen Length (mm)]]+penguins[[#This Row],[Culmen Depth (mm)]]*$X$6+$Y$6*penguins[[#This Row],[Flipper Length (mm)]]+penguins[[#This Row],[Body mass (g)]]*$Z$6+$AA$6*penguins[[#This Row],[Gender]]</f>
        <v>-203.14839022473083</v>
      </c>
      <c r="L18" s="6">
        <f>$V$7+$W$7*penguins[[#This Row],[Culmen Length (mm)]]+penguins[[#This Row],[Culmen Depth (mm)]]*$X$7+$Y$7*penguins[[#This Row],[Flipper Length (mm)]]+penguins[[#This Row],[Body mass (g)]]*$Z$7+$AA$7*penguins[[#This Row],[Gender]]</f>
        <v>-203.9371561890749</v>
      </c>
      <c r="M18" s="6">
        <f t="shared" si="6"/>
        <v>0.37367182860136466</v>
      </c>
      <c r="N18" s="6">
        <f t="shared" si="3"/>
        <v>0.43064214201612294</v>
      </c>
      <c r="O18" s="6">
        <f t="shared" si="4"/>
        <v>0.19568602938251226</v>
      </c>
      <c r="P18" s="6">
        <f t="shared" si="5"/>
        <v>-0.98437733039688047</v>
      </c>
      <c r="S18" s="6">
        <f ca="1">RAND()*100+S17</f>
        <v>475.68440037864775</v>
      </c>
      <c r="T18" s="6">
        <f ca="1">RAND()*100+T17</f>
        <v>274.61795576077822</v>
      </c>
      <c r="U18" s="6">
        <f ca="1">RAND()*100+U17</f>
        <v>198.27103627894292</v>
      </c>
      <c r="V18" s="6">
        <f ca="1">RAND()*100+V17</f>
        <v>3299.2298297972202</v>
      </c>
      <c r="W18" s="6">
        <v>1</v>
      </c>
      <c r="X18" s="6">
        <f t="shared" ref="X18:X27" ca="1" si="7">$V$5+$W$5*S18+T18*$X$5+$Y$5*U18+V18*$Z$5+$AA$5*W18</f>
        <v>-207.48991631451244</v>
      </c>
      <c r="Y18" s="6">
        <f t="shared" ref="Y18:Y27" ca="1" si="8">$V$6+$W$6*S18+T18*$X$6+$Y$6*U18+V18*$Z$6+$AA$6*W18</f>
        <v>-207.94874009104532</v>
      </c>
      <c r="Z18" s="6">
        <f t="shared" ref="Z18:Z27" ca="1" si="9">$V$7+$W$7*S18+T18*$X$7+$Y$7*U18+V18*$Z$7+$AA$7*W18</f>
        <v>-209.40317342936939</v>
      </c>
      <c r="AA18" s="2">
        <f t="shared" ref="AA18:AA27" ca="1" si="10">EXP(X18)/(EXP(X18)+EXP(Y18)+EXP(Z18))</f>
        <v>0.56191598580379953</v>
      </c>
      <c r="AB18" s="2">
        <f t="shared" ref="AB18:AB27" ca="1" si="11">EXP(Y18)/(EXP(X18)+EXP(Y18)+EXP(Z18))</f>
        <v>0.3551458573023043</v>
      </c>
      <c r="AC18" s="2">
        <f t="shared" ref="AC18:AC27" ca="1" si="12">EXP(Z18)/(EXP(X18)+EXP(Y18)+EXP(Z18))</f>
        <v>8.2938156893896151E-2</v>
      </c>
      <c r="AD18" s="6">
        <f>1+AD17</f>
        <v>2</v>
      </c>
    </row>
    <row r="19" spans="1:30" x14ac:dyDescent="0.3">
      <c r="A19">
        <v>379</v>
      </c>
      <c r="B19">
        <v>186</v>
      </c>
      <c r="C19">
        <v>172</v>
      </c>
      <c r="D19">
        <v>3150</v>
      </c>
      <c r="E19">
        <v>0</v>
      </c>
      <c r="F19" s="6" t="s">
        <v>87</v>
      </c>
      <c r="G19" s="6">
        <f t="shared" si="0"/>
        <v>1</v>
      </c>
      <c r="H19" s="6">
        <f t="shared" si="1"/>
        <v>0</v>
      </c>
      <c r="I19" s="6">
        <f t="shared" si="2"/>
        <v>0</v>
      </c>
      <c r="J19" s="6">
        <f>$V$5+$W$5*penguins[[#This Row],[Culmen Length (mm)]]+penguins[[#This Row],[Culmen Depth (mm)]]*$X$5+$Y$5*penguins[[#This Row],[Flipper Length (mm)]]+penguins[[#This Row],[Body mass (g)]]*$Z$5+$AA$5*penguins[[#This Row],[Gender]]</f>
        <v>-200.16240369736261</v>
      </c>
      <c r="K19" s="6">
        <f>$V$6+$W$6*penguins[[#This Row],[Culmen Length (mm)]]+penguins[[#This Row],[Culmen Depth (mm)]]*$X$6+$Y$6*penguins[[#This Row],[Flipper Length (mm)]]+penguins[[#This Row],[Body mass (g)]]*$Z$6+$AA$6*penguins[[#This Row],[Gender]]</f>
        <v>-200.43009631968695</v>
      </c>
      <c r="L19" s="6">
        <f>$V$7+$W$7*penguins[[#This Row],[Culmen Length (mm)]]+penguins[[#This Row],[Culmen Depth (mm)]]*$X$7+$Y$7*penguins[[#This Row],[Flipper Length (mm)]]+penguins[[#This Row],[Body mass (g)]]*$Z$7+$AA$7*penguins[[#This Row],[Gender]]</f>
        <v>-200.85447016659177</v>
      </c>
      <c r="M19" s="6">
        <f t="shared" si="6"/>
        <v>0.44136789822503886</v>
      </c>
      <c r="N19" s="6">
        <f t="shared" si="3"/>
        <v>0.33770952809920374</v>
      </c>
      <c r="O19" s="6">
        <f t="shared" si="4"/>
        <v>0.22092257367575738</v>
      </c>
      <c r="P19" s="6">
        <f t="shared" si="5"/>
        <v>-0.81787651497906022</v>
      </c>
      <c r="S19" s="6">
        <f t="shared" ref="S19:S27" ca="1" si="13">RAND()*100+S18</f>
        <v>548.69030163604032</v>
      </c>
      <c r="T19" s="6">
        <f t="shared" ref="T19:T27" ca="1" si="14">RAND()*100+T18</f>
        <v>335.50474936163482</v>
      </c>
      <c r="U19" s="6">
        <f t="shared" ref="U19:U27" ca="1" si="15">RAND()*100+U18</f>
        <v>234.64206963379326</v>
      </c>
      <c r="V19" s="6">
        <f t="shared" ref="V19:V27" ca="1" si="16">RAND()*100+V18</f>
        <v>3363.0124220975813</v>
      </c>
      <c r="W19" s="6">
        <v>0</v>
      </c>
      <c r="X19" s="6">
        <f t="shared" ca="1" si="7"/>
        <v>-209.88523220153235</v>
      </c>
      <c r="Y19" s="6">
        <f t="shared" ca="1" si="8"/>
        <v>-210.08317239028881</v>
      </c>
      <c r="Z19" s="6">
        <f t="shared" ca="1" si="9"/>
        <v>-212.62021267449035</v>
      </c>
      <c r="AA19" s="2">
        <f t="shared" ca="1" si="10"/>
        <v>0.53041556786065458</v>
      </c>
      <c r="AB19" s="2">
        <f t="shared" ca="1" si="11"/>
        <v>0.43516296836778706</v>
      </c>
      <c r="AC19" s="2">
        <f t="shared" ca="1" si="12"/>
        <v>3.4421463771558435E-2</v>
      </c>
      <c r="AD19" s="6">
        <f t="shared" ref="AD19:AD27" si="17">1+AD18</f>
        <v>3</v>
      </c>
    </row>
    <row r="20" spans="1:30" x14ac:dyDescent="0.3">
      <c r="A20">
        <v>405</v>
      </c>
      <c r="B20">
        <v>189</v>
      </c>
      <c r="C20">
        <v>180</v>
      </c>
      <c r="D20">
        <v>3950</v>
      </c>
      <c r="E20">
        <v>1</v>
      </c>
      <c r="F20" s="6" t="s">
        <v>87</v>
      </c>
      <c r="G20" s="6">
        <f t="shared" si="0"/>
        <v>1</v>
      </c>
      <c r="H20" s="6">
        <f t="shared" si="1"/>
        <v>0</v>
      </c>
      <c r="I20" s="6">
        <f t="shared" si="2"/>
        <v>0</v>
      </c>
      <c r="J20" s="6">
        <f>$V$5+$W$5*penguins[[#This Row],[Culmen Length (mm)]]+penguins[[#This Row],[Culmen Depth (mm)]]*$X$5+$Y$5*penguins[[#This Row],[Flipper Length (mm)]]+penguins[[#This Row],[Body mass (g)]]*$Z$5+$AA$5*penguins[[#This Row],[Gender]]</f>
        <v>-252.4992757760275</v>
      </c>
      <c r="K20" s="6">
        <f>$V$6+$W$6*penguins[[#This Row],[Culmen Length (mm)]]+penguins[[#This Row],[Culmen Depth (mm)]]*$X$6+$Y$6*penguins[[#This Row],[Flipper Length (mm)]]+penguins[[#This Row],[Body mass (g)]]*$Z$6+$AA$6*penguins[[#This Row],[Gender]]</f>
        <v>-253.28465472051562</v>
      </c>
      <c r="L20" s="6">
        <f>$V$7+$W$7*penguins[[#This Row],[Culmen Length (mm)]]+penguins[[#This Row],[Culmen Depth (mm)]]*$X$7+$Y$7*penguins[[#This Row],[Flipper Length (mm)]]+penguins[[#This Row],[Body mass (g)]]*$Z$7+$AA$7*penguins[[#This Row],[Gender]]</f>
        <v>-252.68825074993094</v>
      </c>
      <c r="M20" s="6">
        <f t="shared" si="6"/>
        <v>0.43787551120319973</v>
      </c>
      <c r="N20" s="6">
        <f t="shared" si="3"/>
        <v>0.19964797775207679</v>
      </c>
      <c r="O20" s="6">
        <f t="shared" si="4"/>
        <v>0.36247651104472345</v>
      </c>
      <c r="P20" s="6">
        <f t="shared" si="5"/>
        <v>-0.82582063000139438</v>
      </c>
      <c r="S20" s="6">
        <f t="shared" ca="1" si="13"/>
        <v>620.01810900195437</v>
      </c>
      <c r="T20" s="6">
        <f t="shared" ca="1" si="14"/>
        <v>338.18849127176043</v>
      </c>
      <c r="U20" s="6">
        <f t="shared" ca="1" si="15"/>
        <v>271.62401938319124</v>
      </c>
      <c r="V20" s="6">
        <f t="shared" ca="1" si="16"/>
        <v>3365.3831004412577</v>
      </c>
      <c r="W20" s="6">
        <v>1</v>
      </c>
      <c r="X20" s="6">
        <f t="shared" ca="1" si="7"/>
        <v>-209.20191588024235</v>
      </c>
      <c r="Y20" s="6">
        <f t="shared" ca="1" si="8"/>
        <v>-208.38696952335127</v>
      </c>
      <c r="Z20" s="6">
        <f t="shared" ca="1" si="9"/>
        <v>-212.30075736052663</v>
      </c>
      <c r="AA20" s="2">
        <f t="shared" ca="1" si="10"/>
        <v>0.30264915682372856</v>
      </c>
      <c r="AB20" s="2">
        <f t="shared" ca="1" si="11"/>
        <v>0.68370093552584665</v>
      </c>
      <c r="AC20" s="2">
        <f t="shared" ca="1" si="12"/>
        <v>1.3649907650424816E-2</v>
      </c>
      <c r="AD20" s="6">
        <f t="shared" si="17"/>
        <v>4</v>
      </c>
    </row>
    <row r="21" spans="1:30" x14ac:dyDescent="0.3">
      <c r="A21">
        <v>395</v>
      </c>
      <c r="B21">
        <v>167</v>
      </c>
      <c r="C21">
        <v>178</v>
      </c>
      <c r="D21">
        <v>3250</v>
      </c>
      <c r="E21">
        <v>0</v>
      </c>
      <c r="F21" s="6" t="s">
        <v>87</v>
      </c>
      <c r="G21" s="6">
        <f t="shared" si="0"/>
        <v>1</v>
      </c>
      <c r="H21" s="6">
        <f t="shared" si="1"/>
        <v>0</v>
      </c>
      <c r="I21" s="6">
        <f t="shared" si="2"/>
        <v>0</v>
      </c>
      <c r="J21" s="6">
        <f>$V$5+$W$5*penguins[[#This Row],[Culmen Length (mm)]]+penguins[[#This Row],[Culmen Depth (mm)]]*$X$5+$Y$5*penguins[[#This Row],[Flipper Length (mm)]]+penguins[[#This Row],[Body mass (g)]]*$Z$5+$AA$5*penguins[[#This Row],[Gender]]</f>
        <v>-206.9140090593433</v>
      </c>
      <c r="K21" s="6">
        <f>$V$6+$W$6*penguins[[#This Row],[Culmen Length (mm)]]+penguins[[#This Row],[Culmen Depth (mm)]]*$X$6+$Y$6*penguins[[#This Row],[Flipper Length (mm)]]+penguins[[#This Row],[Body mass (g)]]*$Z$6+$AA$6*penguins[[#This Row],[Gender]]</f>
        <v>-206.94274461901159</v>
      </c>
      <c r="L21" s="6">
        <f>$V$7+$W$7*penguins[[#This Row],[Culmen Length (mm)]]+penguins[[#This Row],[Culmen Depth (mm)]]*$X$7+$Y$7*penguins[[#This Row],[Flipper Length (mm)]]+penguins[[#This Row],[Body mass (g)]]*$Z$7+$AA$7*penguins[[#This Row],[Gender]]</f>
        <v>-207.29609144509152</v>
      </c>
      <c r="M21" s="6">
        <f t="shared" si="6"/>
        <v>0.3767738217953811</v>
      </c>
      <c r="N21" s="6">
        <f t="shared" si="3"/>
        <v>0.36610109296714638</v>
      </c>
      <c r="O21" s="6">
        <f t="shared" si="4"/>
        <v>0.25712508523747263</v>
      </c>
      <c r="P21" s="6">
        <f t="shared" si="5"/>
        <v>-0.97611021375876994</v>
      </c>
      <c r="S21" s="6">
        <f t="shared" ca="1" si="13"/>
        <v>704.9570695746113</v>
      </c>
      <c r="T21" s="6">
        <f t="shared" ca="1" si="14"/>
        <v>390.09988126886498</v>
      </c>
      <c r="U21" s="6">
        <f t="shared" ca="1" si="15"/>
        <v>364.01088972979636</v>
      </c>
      <c r="V21" s="6">
        <f t="shared" ca="1" si="16"/>
        <v>3437.5316296168203</v>
      </c>
      <c r="W21" s="6">
        <v>0</v>
      </c>
      <c r="X21" s="6">
        <f t="shared" ca="1" si="7"/>
        <v>-211.96038963445025</v>
      </c>
      <c r="Y21" s="6">
        <f t="shared" ca="1" si="8"/>
        <v>-209.37288155991615</v>
      </c>
      <c r="Z21" s="6">
        <f t="shared" ca="1" si="9"/>
        <v>-216.24623846714829</v>
      </c>
      <c r="AA21" s="2">
        <f t="shared" ca="1" si="10"/>
        <v>6.9879453293429525E-2</v>
      </c>
      <c r="AB21" s="2">
        <f t="shared" ca="1" si="11"/>
        <v>0.92915887021379406</v>
      </c>
      <c r="AC21" s="2">
        <f t="shared" ca="1" si="12"/>
        <v>9.6167649277652061E-4</v>
      </c>
      <c r="AD21" s="6">
        <f t="shared" si="17"/>
        <v>5</v>
      </c>
    </row>
    <row r="22" spans="1:30" x14ac:dyDescent="0.3">
      <c r="A22">
        <v>372</v>
      </c>
      <c r="B22">
        <v>181</v>
      </c>
      <c r="C22">
        <v>178</v>
      </c>
      <c r="D22">
        <v>3900</v>
      </c>
      <c r="E22">
        <v>1</v>
      </c>
      <c r="F22" s="6" t="s">
        <v>87</v>
      </c>
      <c r="G22" s="6">
        <f t="shared" si="0"/>
        <v>1</v>
      </c>
      <c r="H22" s="6">
        <f t="shared" si="1"/>
        <v>0</v>
      </c>
      <c r="I22" s="6">
        <f t="shared" si="2"/>
        <v>0</v>
      </c>
      <c r="J22" s="6">
        <f>$V$5+$W$5*penguins[[#This Row],[Culmen Length (mm)]]+penguins[[#This Row],[Culmen Depth (mm)]]*$X$5+$Y$5*penguins[[#This Row],[Flipper Length (mm)]]+penguins[[#This Row],[Body mass (g)]]*$Z$5+$AA$5*penguins[[#This Row],[Gender]]</f>
        <v>-249.63462755957954</v>
      </c>
      <c r="K22" s="6">
        <f>$V$6+$W$6*penguins[[#This Row],[Culmen Length (mm)]]+penguins[[#This Row],[Culmen Depth (mm)]]*$X$6+$Y$6*penguins[[#This Row],[Flipper Length (mm)]]+penguins[[#This Row],[Body mass (g)]]*$Z$6+$AA$6*penguins[[#This Row],[Gender]]</f>
        <v>-250.36055424260775</v>
      </c>
      <c r="L22" s="6">
        <f>$V$7+$W$7*penguins[[#This Row],[Culmen Length (mm)]]+penguins[[#This Row],[Culmen Depth (mm)]]*$X$7+$Y$7*penguins[[#This Row],[Flipper Length (mm)]]+penguins[[#This Row],[Body mass (g)]]*$Z$7+$AA$7*penguins[[#This Row],[Gender]]</f>
        <v>-249.80344042311765</v>
      </c>
      <c r="M22" s="6">
        <f t="shared" si="6"/>
        <v>0.42945311088735411</v>
      </c>
      <c r="N22" s="6">
        <f t="shared" si="3"/>
        <v>0.20780203694451729</v>
      </c>
      <c r="O22" s="6">
        <f t="shared" si="4"/>
        <v>0.36274485216812863</v>
      </c>
      <c r="P22" s="6">
        <f t="shared" si="5"/>
        <v>-0.84524271490894931</v>
      </c>
      <c r="S22" s="6">
        <f t="shared" ca="1" si="13"/>
        <v>732.44260624246749</v>
      </c>
      <c r="T22" s="6">
        <f t="shared" ca="1" si="14"/>
        <v>405.4232540961811</v>
      </c>
      <c r="U22" s="6">
        <f t="shared" ca="1" si="15"/>
        <v>427.90828701896635</v>
      </c>
      <c r="V22" s="6">
        <f t="shared" ca="1" si="16"/>
        <v>3446.4950705828383</v>
      </c>
      <c r="W22" s="6">
        <v>1</v>
      </c>
      <c r="X22" s="6">
        <f t="shared" ca="1" si="7"/>
        <v>-211.74786842723293</v>
      </c>
      <c r="Y22" s="6">
        <f t="shared" ca="1" si="8"/>
        <v>-207.59887572268585</v>
      </c>
      <c r="Z22" s="6">
        <f t="shared" ca="1" si="9"/>
        <v>-216.88351600457068</v>
      </c>
      <c r="AA22" s="2">
        <f t="shared" ca="1" si="10"/>
        <v>1.5533734714173981E-2</v>
      </c>
      <c r="AB22" s="2">
        <f t="shared" ca="1" si="11"/>
        <v>0.98437487658991007</v>
      </c>
      <c r="AC22" s="2">
        <f t="shared" ca="1" si="12"/>
        <v>9.1388695915879569E-5</v>
      </c>
      <c r="AD22" s="6">
        <f t="shared" si="17"/>
        <v>6</v>
      </c>
    </row>
    <row r="23" spans="1:30" x14ac:dyDescent="0.3">
      <c r="A23">
        <v>395</v>
      </c>
      <c r="B23">
        <v>178</v>
      </c>
      <c r="C23">
        <v>188</v>
      </c>
      <c r="D23">
        <v>3300</v>
      </c>
      <c r="E23">
        <v>0</v>
      </c>
      <c r="F23" s="6" t="s">
        <v>87</v>
      </c>
      <c r="G23" s="6">
        <f t="shared" si="0"/>
        <v>1</v>
      </c>
      <c r="H23" s="6">
        <f t="shared" si="1"/>
        <v>0</v>
      </c>
      <c r="I23" s="6">
        <f t="shared" si="2"/>
        <v>0</v>
      </c>
      <c r="J23" s="6">
        <f>$V$5+$W$5*penguins[[#This Row],[Culmen Length (mm)]]+penguins[[#This Row],[Culmen Depth (mm)]]*$X$5+$Y$5*penguins[[#This Row],[Flipper Length (mm)]]+penguins[[#This Row],[Body mass (g)]]*$Z$5+$AA$5*penguins[[#This Row],[Gender]]</f>
        <v>-209.97215416546211</v>
      </c>
      <c r="K23" s="6">
        <f>$V$6+$W$6*penguins[[#This Row],[Culmen Length (mm)]]+penguins[[#This Row],[Culmen Depth (mm)]]*$X$6+$Y$6*penguins[[#This Row],[Flipper Length (mm)]]+penguins[[#This Row],[Body mass (g)]]*$Z$6+$AA$6*penguins[[#This Row],[Gender]]</f>
        <v>-209.89559529891747</v>
      </c>
      <c r="L23" s="6">
        <f>$V$7+$W$7*penguins[[#This Row],[Culmen Length (mm)]]+penguins[[#This Row],[Culmen Depth (mm)]]*$X$7+$Y$7*penguins[[#This Row],[Flipper Length (mm)]]+penguins[[#This Row],[Body mass (g)]]*$Z$7+$AA$7*penguins[[#This Row],[Gender]]</f>
        <v>-210.54688069613238</v>
      </c>
      <c r="M23" s="6">
        <f t="shared" si="6"/>
        <v>0.37844032848710912</v>
      </c>
      <c r="N23" s="6">
        <f t="shared" si="3"/>
        <v>0.4085512128041025</v>
      </c>
      <c r="O23" s="6">
        <f t="shared" si="4"/>
        <v>0.2130084587087884</v>
      </c>
      <c r="P23" s="6">
        <f t="shared" si="5"/>
        <v>-0.97169687114312808</v>
      </c>
      <c r="S23" s="6">
        <f t="shared" ca="1" si="13"/>
        <v>772.53718266036958</v>
      </c>
      <c r="T23" s="6">
        <f t="shared" ca="1" si="14"/>
        <v>468.04397667769069</v>
      </c>
      <c r="U23" s="6">
        <f t="shared" ca="1" si="15"/>
        <v>521.70087293472454</v>
      </c>
      <c r="V23" s="6">
        <f t="shared" ca="1" si="16"/>
        <v>3509.5086476803431</v>
      </c>
      <c r="W23" s="6">
        <v>0</v>
      </c>
      <c r="X23" s="6">
        <f t="shared" ca="1" si="7"/>
        <v>-214.09377238532281</v>
      </c>
      <c r="Y23" s="6">
        <f t="shared" ca="1" si="8"/>
        <v>-208.24307928506198</v>
      </c>
      <c r="Z23" s="6">
        <f t="shared" ca="1" si="9"/>
        <v>-220.65924980506861</v>
      </c>
      <c r="AA23" s="2">
        <f t="shared" ca="1" si="10"/>
        <v>2.8696336320366204E-3</v>
      </c>
      <c r="AB23" s="2">
        <f t="shared" ca="1" si="11"/>
        <v>0.99712632548902824</v>
      </c>
      <c r="AC23" s="2">
        <f t="shared" ca="1" si="12"/>
        <v>4.0408789351522763E-6</v>
      </c>
      <c r="AD23" s="6">
        <f t="shared" si="17"/>
        <v>7</v>
      </c>
    </row>
    <row r="24" spans="1:30" x14ac:dyDescent="0.3">
      <c r="A24">
        <v>409</v>
      </c>
      <c r="B24">
        <v>189</v>
      </c>
      <c r="C24">
        <v>184</v>
      </c>
      <c r="D24">
        <v>3900</v>
      </c>
      <c r="E24">
        <v>1</v>
      </c>
      <c r="F24" s="6" t="s">
        <v>87</v>
      </c>
      <c r="G24" s="6">
        <f t="shared" si="0"/>
        <v>1</v>
      </c>
      <c r="H24" s="6">
        <f t="shared" si="1"/>
        <v>0</v>
      </c>
      <c r="I24" s="6">
        <f t="shared" si="2"/>
        <v>0</v>
      </c>
      <c r="J24" s="6">
        <f>$V$5+$W$5*penguins[[#This Row],[Culmen Length (mm)]]+penguins[[#This Row],[Culmen Depth (mm)]]*$X$5+$Y$5*penguins[[#This Row],[Flipper Length (mm)]]+penguins[[#This Row],[Body mass (g)]]*$Z$5+$AA$5*penguins[[#This Row],[Gender]]</f>
        <v>-249.15605902108032</v>
      </c>
      <c r="K24" s="6">
        <f>$V$6+$W$6*penguins[[#This Row],[Culmen Length (mm)]]+penguins[[#This Row],[Culmen Depth (mm)]]*$X$6+$Y$6*penguins[[#This Row],[Flipper Length (mm)]]+penguins[[#This Row],[Body mass (g)]]*$Z$6+$AA$6*penguins[[#This Row],[Gender]]</f>
        <v>-249.78943914653431</v>
      </c>
      <c r="L24" s="6">
        <f>$V$7+$W$7*penguins[[#This Row],[Culmen Length (mm)]]+penguins[[#This Row],[Culmen Depth (mm)]]*$X$7+$Y$7*penguins[[#This Row],[Flipper Length (mm)]]+penguins[[#This Row],[Body mass (g)]]*$Z$7+$AA$7*penguins[[#This Row],[Gender]]</f>
        <v>-249.417490305353</v>
      </c>
      <c r="M24" s="6">
        <f t="shared" si="6"/>
        <v>0.43464212590282897</v>
      </c>
      <c r="N24" s="6">
        <f t="shared" si="3"/>
        <v>0.230705699001374</v>
      </c>
      <c r="O24" s="6">
        <f t="shared" si="4"/>
        <v>0.33465217509579703</v>
      </c>
      <c r="P24" s="6">
        <f t="shared" si="5"/>
        <v>-0.83323228557001727</v>
      </c>
      <c r="S24" s="6">
        <f t="shared" ca="1" si="13"/>
        <v>807.71038352020457</v>
      </c>
      <c r="T24" s="6">
        <f t="shared" ca="1" si="14"/>
        <v>555.23378903346713</v>
      </c>
      <c r="U24" s="6">
        <f t="shared" ca="1" si="15"/>
        <v>535.308218889253</v>
      </c>
      <c r="V24" s="6">
        <f t="shared" ca="1" si="16"/>
        <v>3563.6494670767684</v>
      </c>
      <c r="W24" s="6">
        <v>1</v>
      </c>
      <c r="X24" s="6">
        <f t="shared" ca="1" si="7"/>
        <v>-215.76209131765057</v>
      </c>
      <c r="Y24" s="6">
        <f t="shared" ca="1" si="8"/>
        <v>-210.34348208898314</v>
      </c>
      <c r="Z24" s="6">
        <f t="shared" ca="1" si="9"/>
        <v>-223.60813765346509</v>
      </c>
      <c r="AA24" s="2">
        <f t="shared" ca="1" si="10"/>
        <v>4.4137329852864038E-3</v>
      </c>
      <c r="AB24" s="2">
        <f t="shared" ca="1" si="11"/>
        <v>0.99558453993879759</v>
      </c>
      <c r="AC24" s="2">
        <f t="shared" ca="1" si="12"/>
        <v>1.7270759159643192E-6</v>
      </c>
      <c r="AD24" s="6">
        <f t="shared" si="17"/>
        <v>8</v>
      </c>
    </row>
    <row r="25" spans="1:30" x14ac:dyDescent="0.3">
      <c r="A25">
        <v>364</v>
      </c>
      <c r="B25">
        <v>17</v>
      </c>
      <c r="C25">
        <v>195</v>
      </c>
      <c r="D25">
        <v>3325</v>
      </c>
      <c r="E25">
        <v>0</v>
      </c>
      <c r="F25" s="6" t="s">
        <v>87</v>
      </c>
      <c r="G25" s="6">
        <f t="shared" si="0"/>
        <v>1</v>
      </c>
      <c r="H25" s="6">
        <f t="shared" si="1"/>
        <v>0</v>
      </c>
      <c r="I25" s="6">
        <f t="shared" si="2"/>
        <v>0</v>
      </c>
      <c r="J25" s="6">
        <f>$V$5+$W$5*penguins[[#This Row],[Culmen Length (mm)]]+penguins[[#This Row],[Culmen Depth (mm)]]*$X$5+$Y$5*penguins[[#This Row],[Flipper Length (mm)]]+penguins[[#This Row],[Body mass (g)]]*$Z$5+$AA$5*penguins[[#This Row],[Gender]]</f>
        <v>-214.64149701695311</v>
      </c>
      <c r="K25" s="6">
        <f>$V$6+$W$6*penguins[[#This Row],[Culmen Length (mm)]]+penguins[[#This Row],[Culmen Depth (mm)]]*$X$6+$Y$6*penguins[[#This Row],[Flipper Length (mm)]]+penguins[[#This Row],[Body mass (g)]]*$Z$6+$AA$6*penguins[[#This Row],[Gender]]</f>
        <v>-212.92713432554066</v>
      </c>
      <c r="L25" s="6">
        <f>$V$7+$W$7*penguins[[#This Row],[Culmen Length (mm)]]+penguins[[#This Row],[Culmen Depth (mm)]]*$X$7+$Y$7*penguins[[#This Row],[Flipper Length (mm)]]+penguins[[#This Row],[Body mass (g)]]*$Z$7+$AA$7*penguins[[#This Row],[Gender]]</f>
        <v>-213.20144685524139</v>
      </c>
      <c r="M25" s="6">
        <f t="shared" si="6"/>
        <v>9.281566935441192E-2</v>
      </c>
      <c r="N25" s="6">
        <f t="shared" si="3"/>
        <v>0.51541797207141704</v>
      </c>
      <c r="O25" s="6">
        <f t="shared" si="4"/>
        <v>0.39176635857417108</v>
      </c>
      <c r="P25" s="6">
        <f t="shared" si="5"/>
        <v>-2.3771398026418216</v>
      </c>
      <c r="S25" s="6">
        <f t="shared" ca="1" si="13"/>
        <v>873.7446790637116</v>
      </c>
      <c r="T25" s="6">
        <f t="shared" ca="1" si="14"/>
        <v>648.27273801279398</v>
      </c>
      <c r="U25" s="6">
        <f t="shared" ca="1" si="15"/>
        <v>549.67360913127243</v>
      </c>
      <c r="V25" s="6">
        <f t="shared" ca="1" si="16"/>
        <v>3613.8253530198417</v>
      </c>
      <c r="W25" s="6">
        <v>1</v>
      </c>
      <c r="X25" s="6">
        <f t="shared" ca="1" si="7"/>
        <v>-216.83064674766578</v>
      </c>
      <c r="Y25" s="6">
        <f t="shared" ca="1" si="8"/>
        <v>-211.93278532471183</v>
      </c>
      <c r="Z25" s="6">
        <f t="shared" ca="1" si="9"/>
        <v>-225.86603734187744</v>
      </c>
      <c r="AA25" s="2">
        <f t="shared" ca="1" si="10"/>
        <v>7.4072418894394268E-3</v>
      </c>
      <c r="AB25" s="2">
        <f t="shared" ca="1" si="11"/>
        <v>0.99259187576998731</v>
      </c>
      <c r="AC25" s="2">
        <f t="shared" ca="1" si="12"/>
        <v>8.8234057340390799E-7</v>
      </c>
      <c r="AD25" s="6">
        <f t="shared" si="17"/>
        <v>9</v>
      </c>
    </row>
    <row r="26" spans="1:30" x14ac:dyDescent="0.3">
      <c r="A26">
        <v>392</v>
      </c>
      <c r="B26">
        <v>211</v>
      </c>
      <c r="C26">
        <v>196</v>
      </c>
      <c r="D26">
        <v>4150</v>
      </c>
      <c r="E26">
        <v>1</v>
      </c>
      <c r="F26" s="6" t="s">
        <v>87</v>
      </c>
      <c r="G26" s="6">
        <f t="shared" si="0"/>
        <v>1</v>
      </c>
      <c r="H26" s="6">
        <f t="shared" si="1"/>
        <v>0</v>
      </c>
      <c r="I26" s="6">
        <f t="shared" si="2"/>
        <v>0</v>
      </c>
      <c r="J26" s="6">
        <f>$V$5+$W$5*penguins[[#This Row],[Culmen Length (mm)]]+penguins[[#This Row],[Culmen Depth (mm)]]*$X$5+$Y$5*penguins[[#This Row],[Flipper Length (mm)]]+penguins[[#This Row],[Body mass (g)]]*$Z$5+$AA$5*penguins[[#This Row],[Gender]]</f>
        <v>-265.32715375034343</v>
      </c>
      <c r="K26" s="6">
        <f>$V$6+$W$6*penguins[[#This Row],[Culmen Length (mm)]]+penguins[[#This Row],[Culmen Depth (mm)]]*$X$6+$Y$6*penguins[[#This Row],[Flipper Length (mm)]]+penguins[[#This Row],[Body mass (g)]]*$Z$6+$AA$6*penguins[[#This Row],[Gender]]</f>
        <v>-266.10548451949387</v>
      </c>
      <c r="L26" s="6">
        <f>$V$7+$W$7*penguins[[#This Row],[Culmen Length (mm)]]+penguins[[#This Row],[Culmen Depth (mm)]]*$X$7+$Y$7*penguins[[#This Row],[Flipper Length (mm)]]+penguins[[#This Row],[Body mass (g)]]*$Z$7+$AA$7*penguins[[#This Row],[Gender]]</f>
        <v>-265.80215386292036</v>
      </c>
      <c r="M26" s="6">
        <f t="shared" si="6"/>
        <v>0.4805250819338186</v>
      </c>
      <c r="N26" s="6">
        <f t="shared" si="3"/>
        <v>0.220643583996428</v>
      </c>
      <c r="O26" s="6">
        <f t="shared" si="4"/>
        <v>0.29883133406975337</v>
      </c>
      <c r="P26" s="6">
        <f t="shared" si="5"/>
        <v>-0.73287585227999541</v>
      </c>
      <c r="S26" s="6">
        <f t="shared" ca="1" si="13"/>
        <v>931.27963393926188</v>
      </c>
      <c r="T26" s="6">
        <f t="shared" ca="1" si="14"/>
        <v>693.40487531379472</v>
      </c>
      <c r="U26" s="6">
        <f t="shared" ca="1" si="15"/>
        <v>612.00176906101262</v>
      </c>
      <c r="V26" s="6">
        <f t="shared" ca="1" si="16"/>
        <v>3664.0044783480216</v>
      </c>
      <c r="W26" s="6">
        <v>0</v>
      </c>
      <c r="X26" s="6">
        <f t="shared" ca="1" si="7"/>
        <v>-218.62255069228539</v>
      </c>
      <c r="Y26" s="6">
        <f t="shared" ca="1" si="8"/>
        <v>-212.64641619081618</v>
      </c>
      <c r="Z26" s="6">
        <f t="shared" ca="1" si="9"/>
        <v>-228.54997037512246</v>
      </c>
      <c r="AA26" s="2">
        <f t="shared" ca="1" si="10"/>
        <v>2.5321917963516179E-3</v>
      </c>
      <c r="AB26" s="2">
        <f t="shared" ca="1" si="11"/>
        <v>0.99746768458812562</v>
      </c>
      <c r="AC26" s="2">
        <f t="shared" ca="1" si="12"/>
        <v>1.236155227208424E-7</v>
      </c>
      <c r="AD26" s="6">
        <f t="shared" si="17"/>
        <v>10</v>
      </c>
    </row>
    <row r="27" spans="1:30" x14ac:dyDescent="0.3">
      <c r="A27">
        <v>388</v>
      </c>
      <c r="B27">
        <v>20</v>
      </c>
      <c r="C27">
        <v>190</v>
      </c>
      <c r="D27">
        <v>3950</v>
      </c>
      <c r="E27">
        <v>1</v>
      </c>
      <c r="F27" s="6" t="s">
        <v>87</v>
      </c>
      <c r="G27" s="6">
        <f t="shared" si="0"/>
        <v>1</v>
      </c>
      <c r="H27" s="6">
        <f t="shared" si="1"/>
        <v>0</v>
      </c>
      <c r="I27" s="6">
        <f t="shared" si="2"/>
        <v>0</v>
      </c>
      <c r="J27" s="6">
        <f>$V$5+$W$5*penguins[[#This Row],[Culmen Length (mm)]]+penguins[[#This Row],[Culmen Depth (mm)]]*$X$5+$Y$5*penguins[[#This Row],[Flipper Length (mm)]]+penguins[[#This Row],[Body mass (g)]]*$Z$5+$AA$5*penguins[[#This Row],[Gender]]</f>
        <v>-255.52951370753138</v>
      </c>
      <c r="K27" s="6">
        <f>$V$6+$W$6*penguins[[#This Row],[Culmen Length (mm)]]+penguins[[#This Row],[Culmen Depth (mm)]]*$X$6+$Y$6*penguins[[#This Row],[Flipper Length (mm)]]+penguins[[#This Row],[Body mass (g)]]*$Z$6+$AA$6*penguins[[#This Row],[Gender]]</f>
        <v>-254.4969332994597</v>
      </c>
      <c r="L27" s="6">
        <f>$V$7+$W$7*penguins[[#This Row],[Culmen Length (mm)]]+penguins[[#This Row],[Culmen Depth (mm)]]*$X$7+$Y$7*penguins[[#This Row],[Flipper Length (mm)]]+penguins[[#This Row],[Body mass (g)]]*$Z$7+$AA$7*penguins[[#This Row],[Gender]]</f>
        <v>-253.6222520602978</v>
      </c>
      <c r="M27" s="6">
        <f t="shared" si="6"/>
        <v>9.4850339674770995E-2</v>
      </c>
      <c r="N27" s="6">
        <f t="shared" si="3"/>
        <v>0.26636849925229872</v>
      </c>
      <c r="O27" s="6">
        <f t="shared" si="4"/>
        <v>0.63878116107293037</v>
      </c>
      <c r="P27" s="6">
        <f t="shared" si="5"/>
        <v>-2.3554550014291289</v>
      </c>
      <c r="S27" s="6">
        <f t="shared" ca="1" si="13"/>
        <v>973.57171992475298</v>
      </c>
      <c r="T27" s="6">
        <f t="shared" ca="1" si="14"/>
        <v>776.08517946794859</v>
      </c>
      <c r="U27" s="6">
        <f t="shared" ca="1" si="15"/>
        <v>699.66244693900569</v>
      </c>
      <c r="V27" s="6">
        <f t="shared" ca="1" si="16"/>
        <v>3710.2169885332714</v>
      </c>
      <c r="W27" s="6">
        <v>0</v>
      </c>
      <c r="X27" s="6">
        <f t="shared" ca="1" si="7"/>
        <v>-219.49459427791396</v>
      </c>
      <c r="Y27" s="6">
        <f t="shared" ca="1" si="8"/>
        <v>-212.07392032287956</v>
      </c>
      <c r="Z27" s="6">
        <f t="shared" ca="1" si="9"/>
        <v>-231.1919087689694</v>
      </c>
      <c r="AA27" s="2">
        <f t="shared" ca="1" si="10"/>
        <v>5.9838719736173386E-4</v>
      </c>
      <c r="AB27" s="2">
        <f t="shared" ca="1" si="11"/>
        <v>0.99940160782637699</v>
      </c>
      <c r="AC27" s="2">
        <f t="shared" ca="1" si="12"/>
        <v>4.9762610683990874E-9</v>
      </c>
      <c r="AD27" s="6">
        <f t="shared" si="17"/>
        <v>11</v>
      </c>
    </row>
    <row r="28" spans="1:30" x14ac:dyDescent="0.3">
      <c r="A28">
        <v>422</v>
      </c>
      <c r="B28">
        <v>185</v>
      </c>
      <c r="C28">
        <v>180</v>
      </c>
      <c r="D28">
        <v>3550</v>
      </c>
      <c r="E28">
        <v>0</v>
      </c>
      <c r="F28" s="6" t="s">
        <v>87</v>
      </c>
      <c r="G28" s="6">
        <f t="shared" si="0"/>
        <v>1</v>
      </c>
      <c r="H28" s="6">
        <f t="shared" si="1"/>
        <v>0</v>
      </c>
      <c r="I28" s="6">
        <f t="shared" si="2"/>
        <v>0</v>
      </c>
      <c r="J28" s="6">
        <f>$V$5+$W$5*penguins[[#This Row],[Culmen Length (mm)]]+penguins[[#This Row],[Culmen Depth (mm)]]*$X$5+$Y$5*penguins[[#This Row],[Flipper Length (mm)]]+penguins[[#This Row],[Body mass (g)]]*$Z$5+$AA$5*penguins[[#This Row],[Gender]]</f>
        <v>-226.11622249766523</v>
      </c>
      <c r="K28" s="6">
        <f>$V$6+$W$6*penguins[[#This Row],[Culmen Length (mm)]]+penguins[[#This Row],[Culmen Depth (mm)]]*$X$6+$Y$6*penguins[[#This Row],[Flipper Length (mm)]]+penguins[[#This Row],[Body mass (g)]]*$Z$6+$AA$6*penguins[[#This Row],[Gender]]</f>
        <v>-226.54081074251911</v>
      </c>
      <c r="L28" s="6">
        <f>$V$7+$W$7*penguins[[#This Row],[Culmen Length (mm)]]+penguins[[#This Row],[Culmen Depth (mm)]]*$X$7+$Y$7*penguins[[#This Row],[Flipper Length (mm)]]+penguins[[#This Row],[Body mass (g)]]*$Z$7+$AA$7*penguins[[#This Row],[Gender]]</f>
        <v>-226.44482773394768</v>
      </c>
      <c r="M28" s="6">
        <f t="shared" si="6"/>
        <v>0.42123598976780618</v>
      </c>
      <c r="N28" s="6">
        <f t="shared" si="3"/>
        <v>0.27550477967861881</v>
      </c>
      <c r="O28" s="6">
        <f t="shared" si="4"/>
        <v>0.30325923055357484</v>
      </c>
      <c r="P28" s="6">
        <f t="shared" si="5"/>
        <v>-0.86456205658008811</v>
      </c>
    </row>
    <row r="29" spans="1:30" x14ac:dyDescent="0.3">
      <c r="A29">
        <v>376</v>
      </c>
      <c r="B29">
        <v>193</v>
      </c>
      <c r="C29">
        <v>181</v>
      </c>
      <c r="D29">
        <v>3300</v>
      </c>
      <c r="E29">
        <v>0</v>
      </c>
      <c r="F29" s="6" t="s">
        <v>87</v>
      </c>
      <c r="G29" s="6">
        <f t="shared" si="0"/>
        <v>1</v>
      </c>
      <c r="H29" s="6">
        <f t="shared" si="1"/>
        <v>0</v>
      </c>
      <c r="I29" s="6">
        <f t="shared" si="2"/>
        <v>0</v>
      </c>
      <c r="J29" s="6">
        <f>$V$5+$W$5*penguins[[#This Row],[Culmen Length (mm)]]+penguins[[#This Row],[Culmen Depth (mm)]]*$X$5+$Y$5*penguins[[#This Row],[Flipper Length (mm)]]+penguins[[#This Row],[Body mass (g)]]*$Z$5+$AA$5*penguins[[#This Row],[Gender]]</f>
        <v>-209.90364466669479</v>
      </c>
      <c r="K29" s="6">
        <f>$V$6+$W$6*penguins[[#This Row],[Culmen Length (mm)]]+penguins[[#This Row],[Culmen Depth (mm)]]*$X$6+$Y$6*penguins[[#This Row],[Flipper Length (mm)]]+penguins[[#This Row],[Body mass (g)]]*$Z$6+$AA$6*penguins[[#This Row],[Gender]]</f>
        <v>-210.152140939372</v>
      </c>
      <c r="L29" s="6">
        <f>$V$7+$W$7*penguins[[#This Row],[Culmen Length (mm)]]+penguins[[#This Row],[Culmen Depth (mm)]]*$X$7+$Y$7*penguins[[#This Row],[Flipper Length (mm)]]+penguins[[#This Row],[Body mass (g)]]*$Z$7+$AA$7*penguins[[#This Row],[Gender]]</f>
        <v>-210.64582986031519</v>
      </c>
      <c r="M29" s="6">
        <f t="shared" si="6"/>
        <v>0.44325352356938397</v>
      </c>
      <c r="N29" s="6">
        <f t="shared" si="3"/>
        <v>0.34572567772188889</v>
      </c>
      <c r="O29" s="6">
        <f t="shared" si="4"/>
        <v>0.21102079870872706</v>
      </c>
      <c r="P29" s="6">
        <f t="shared" si="5"/>
        <v>-0.81361338466430277</v>
      </c>
    </row>
    <row r="30" spans="1:30" x14ac:dyDescent="0.3">
      <c r="A30">
        <v>398</v>
      </c>
      <c r="B30">
        <v>191</v>
      </c>
      <c r="C30">
        <v>184</v>
      </c>
      <c r="D30">
        <v>4650</v>
      </c>
      <c r="E30">
        <v>1</v>
      </c>
      <c r="F30" s="6" t="s">
        <v>87</v>
      </c>
      <c r="G30" s="6">
        <f t="shared" si="0"/>
        <v>1</v>
      </c>
      <c r="H30" s="6">
        <f t="shared" si="1"/>
        <v>0</v>
      </c>
      <c r="I30" s="6">
        <f t="shared" si="2"/>
        <v>0</v>
      </c>
      <c r="J30" s="6">
        <f>$V$5+$W$5*penguins[[#This Row],[Culmen Length (mm)]]+penguins[[#This Row],[Culmen Depth (mm)]]*$X$5+$Y$5*penguins[[#This Row],[Flipper Length (mm)]]+penguins[[#This Row],[Body mass (g)]]*$Z$5+$AA$5*penguins[[#This Row],[Gender]]</f>
        <v>-298.59465569610836</v>
      </c>
      <c r="K30" s="6">
        <f>$V$6+$W$6*penguins[[#This Row],[Culmen Length (mm)]]+penguins[[#This Row],[Culmen Depth (mm)]]*$X$6+$Y$6*penguins[[#This Row],[Flipper Length (mm)]]+penguins[[#This Row],[Body mass (g)]]*$Z$6+$AA$6*penguins[[#This Row],[Gender]]</f>
        <v>-299.97484256137153</v>
      </c>
      <c r="L30" s="6">
        <f>$V$7+$W$7*penguins[[#This Row],[Culmen Length (mm)]]+penguins[[#This Row],[Culmen Depth (mm)]]*$X$7+$Y$7*penguins[[#This Row],[Flipper Length (mm)]]+penguins[[#This Row],[Body mass (g)]]*$Z$7+$AA$7*penguins[[#This Row],[Gender]]</f>
        <v>-298.25487869051045</v>
      </c>
      <c r="M30" s="6">
        <f t="shared" si="6"/>
        <v>0.37648251148724715</v>
      </c>
      <c r="N30" s="6">
        <f t="shared" si="3"/>
        <v>9.4697228216341148E-2</v>
      </c>
      <c r="O30" s="6">
        <f t="shared" si="4"/>
        <v>0.5288202602964116</v>
      </c>
      <c r="P30" s="6">
        <f t="shared" si="5"/>
        <v>-0.97688368305410955</v>
      </c>
    </row>
    <row r="31" spans="1:30" x14ac:dyDescent="0.3">
      <c r="A31">
        <v>365</v>
      </c>
      <c r="B31">
        <v>18</v>
      </c>
      <c r="C31">
        <v>182</v>
      </c>
      <c r="D31">
        <v>3150</v>
      </c>
      <c r="E31">
        <v>0</v>
      </c>
      <c r="F31" s="6" t="s">
        <v>87</v>
      </c>
      <c r="G31" s="6">
        <f t="shared" si="0"/>
        <v>1</v>
      </c>
      <c r="H31" s="6">
        <f t="shared" si="1"/>
        <v>0</v>
      </c>
      <c r="I31" s="6">
        <f t="shared" si="2"/>
        <v>0</v>
      </c>
      <c r="J31" s="6">
        <f>$V$5+$W$5*penguins[[#This Row],[Culmen Length (mm)]]+penguins[[#This Row],[Culmen Depth (mm)]]*$X$5+$Y$5*penguins[[#This Row],[Flipper Length (mm)]]+penguins[[#This Row],[Body mass (g)]]*$Z$5+$AA$5*penguins[[#This Row],[Gender]]</f>
        <v>-203.14985033614806</v>
      </c>
      <c r="K31" s="6">
        <f>$V$6+$W$6*penguins[[#This Row],[Culmen Length (mm)]]+penguins[[#This Row],[Culmen Depth (mm)]]*$X$6+$Y$6*penguins[[#This Row],[Flipper Length (mm)]]+penguins[[#This Row],[Body mass (g)]]*$Z$6+$AA$6*penguins[[#This Row],[Gender]]</f>
        <v>-201.60777848020413</v>
      </c>
      <c r="L31" s="6">
        <f>$V$7+$W$7*penguins[[#This Row],[Culmen Length (mm)]]+penguins[[#This Row],[Culmen Depth (mm)]]*$X$7+$Y$7*penguins[[#This Row],[Flipper Length (mm)]]+penguins[[#This Row],[Body mass (g)]]*$Z$7+$AA$7*penguins[[#This Row],[Gender]]</f>
        <v>-201.75335536024144</v>
      </c>
      <c r="M31" s="6">
        <f t="shared" si="6"/>
        <v>0.10293068441983674</v>
      </c>
      <c r="N31" s="6">
        <f t="shared" si="3"/>
        <v>0.48112525943621653</v>
      </c>
      <c r="O31" s="6">
        <f t="shared" si="4"/>
        <v>0.41594405614394675</v>
      </c>
      <c r="P31" s="6">
        <f t="shared" si="5"/>
        <v>-2.2736994840940015</v>
      </c>
    </row>
    <row r="32" spans="1:30" x14ac:dyDescent="0.3">
      <c r="A32">
        <v>408</v>
      </c>
      <c r="B32">
        <v>184</v>
      </c>
      <c r="C32">
        <v>195</v>
      </c>
      <c r="D32">
        <v>3900</v>
      </c>
      <c r="E32">
        <v>1</v>
      </c>
      <c r="F32" s="6" t="s">
        <v>87</v>
      </c>
      <c r="G32" s="6">
        <f t="shared" si="0"/>
        <v>1</v>
      </c>
      <c r="H32" s="6">
        <f t="shared" si="1"/>
        <v>0</v>
      </c>
      <c r="I32" s="6">
        <f t="shared" si="2"/>
        <v>0</v>
      </c>
      <c r="J32" s="6">
        <f>$V$5+$W$5*penguins[[#This Row],[Culmen Length (mm)]]+penguins[[#This Row],[Culmen Depth (mm)]]*$X$5+$Y$5*penguins[[#This Row],[Flipper Length (mm)]]+penguins[[#This Row],[Body mass (g)]]*$Z$5+$AA$5*penguins[[#This Row],[Gender]]</f>
        <v>-249.20369427783558</v>
      </c>
      <c r="K32" s="6">
        <f>$V$6+$W$6*penguins[[#This Row],[Culmen Length (mm)]]+penguins[[#This Row],[Culmen Depth (mm)]]*$X$6+$Y$6*penguins[[#This Row],[Flipper Length (mm)]]+penguins[[#This Row],[Body mass (g)]]*$Z$6+$AA$6*penguins[[#This Row],[Gender]]</f>
        <v>-249.50979909330209</v>
      </c>
      <c r="L32" s="6">
        <f>$V$7+$W$7*penguins[[#This Row],[Culmen Length (mm)]]+penguins[[#This Row],[Culmen Depth (mm)]]*$X$7+$Y$7*penguins[[#This Row],[Flipper Length (mm)]]+penguins[[#This Row],[Body mass (g)]]*$Z$7+$AA$7*penguins[[#This Row],[Gender]]</f>
        <v>-249.50185220791883</v>
      </c>
      <c r="M32" s="6">
        <f t="shared" si="6"/>
        <v>0.40347088962343192</v>
      </c>
      <c r="N32" s="6">
        <f t="shared" si="3"/>
        <v>0.29707942430833834</v>
      </c>
      <c r="O32" s="6">
        <f t="shared" si="4"/>
        <v>0.29944968606822986</v>
      </c>
      <c r="P32" s="6">
        <f t="shared" si="5"/>
        <v>-0.9076509385501953</v>
      </c>
    </row>
    <row r="33" spans="1:16" x14ac:dyDescent="0.3">
      <c r="A33">
        <v>36</v>
      </c>
      <c r="B33">
        <v>185</v>
      </c>
      <c r="C33">
        <v>186</v>
      </c>
      <c r="D33">
        <v>3100</v>
      </c>
      <c r="E33">
        <v>0</v>
      </c>
      <c r="F33" s="6" t="s">
        <v>87</v>
      </c>
      <c r="G33" s="6">
        <f t="shared" si="0"/>
        <v>1</v>
      </c>
      <c r="H33" s="6">
        <f t="shared" si="1"/>
        <v>0</v>
      </c>
      <c r="I33" s="6">
        <f t="shared" si="2"/>
        <v>0</v>
      </c>
      <c r="J33" s="6">
        <f>$V$5+$W$5*penguins[[#This Row],[Culmen Length (mm)]]+penguins[[#This Row],[Culmen Depth (mm)]]*$X$5+$Y$5*penguins[[#This Row],[Flipper Length (mm)]]+penguins[[#This Row],[Body mass (g)]]*$Z$5+$AA$5*penguins[[#This Row],[Gender]]</f>
        <v>-199.73807918860558</v>
      </c>
      <c r="K33" s="6">
        <f>$V$6+$W$6*penguins[[#This Row],[Culmen Length (mm)]]+penguins[[#This Row],[Culmen Depth (mm)]]*$X$6+$Y$6*penguins[[#This Row],[Flipper Length (mm)]]+penguins[[#This Row],[Body mass (g)]]*$Z$6+$AA$6*penguins[[#This Row],[Gender]]</f>
        <v>-199.71442433025817</v>
      </c>
      <c r="L33" s="6">
        <f>$V$7+$W$7*penguins[[#This Row],[Culmen Length (mm)]]+penguins[[#This Row],[Culmen Depth (mm)]]*$X$7+$Y$7*penguins[[#This Row],[Flipper Length (mm)]]+penguins[[#This Row],[Body mass (g)]]*$Z$7+$AA$7*penguins[[#This Row],[Gender]]</f>
        <v>-201.21152651608756</v>
      </c>
      <c r="M33" s="6">
        <f t="shared" si="6"/>
        <v>0.44383863921523142</v>
      </c>
      <c r="N33" s="6">
        <f t="shared" si="3"/>
        <v>0.45446273976132751</v>
      </c>
      <c r="O33" s="6">
        <f t="shared" si="4"/>
        <v>0.10169862102344115</v>
      </c>
      <c r="P33" s="6">
        <f t="shared" si="5"/>
        <v>-0.81229420779577177</v>
      </c>
    </row>
    <row r="34" spans="1:16" x14ac:dyDescent="0.3">
      <c r="A34">
        <v>441</v>
      </c>
      <c r="B34">
        <v>197</v>
      </c>
      <c r="C34">
        <v>196</v>
      </c>
      <c r="D34">
        <v>4400</v>
      </c>
      <c r="E34">
        <v>1</v>
      </c>
      <c r="F34" s="6" t="s">
        <v>87</v>
      </c>
      <c r="G34" s="6">
        <f t="shared" si="0"/>
        <v>1</v>
      </c>
      <c r="H34" s="6">
        <f t="shared" si="1"/>
        <v>0</v>
      </c>
      <c r="I34" s="6">
        <f t="shared" si="2"/>
        <v>0</v>
      </c>
      <c r="J34" s="6">
        <f>$V$5+$W$5*penguins[[#This Row],[Culmen Length (mm)]]+penguins[[#This Row],[Culmen Depth (mm)]]*$X$5+$Y$5*penguins[[#This Row],[Flipper Length (mm)]]+penguins[[#This Row],[Body mass (g)]]*$Z$5+$AA$5*penguins[[#This Row],[Gender]]</f>
        <v>-281.61394726435952</v>
      </c>
      <c r="K34" s="6">
        <f>$V$6+$W$6*penguins[[#This Row],[Culmen Length (mm)]]+penguins[[#This Row],[Culmen Depth (mm)]]*$X$6+$Y$6*penguins[[#This Row],[Flipper Length (mm)]]+penguins[[#This Row],[Body mass (g)]]*$Z$6+$AA$6*penguins[[#This Row],[Gender]]</f>
        <v>-282.48603298519447</v>
      </c>
      <c r="L34" s="6">
        <f>$V$7+$W$7*penguins[[#This Row],[Culmen Length (mm)]]+penguins[[#This Row],[Culmen Depth (mm)]]*$X$7+$Y$7*penguins[[#This Row],[Flipper Length (mm)]]+penguins[[#This Row],[Body mass (g)]]*$Z$7+$AA$7*penguins[[#This Row],[Gender]]</f>
        <v>-281.60029104738828</v>
      </c>
      <c r="M34" s="6">
        <f t="shared" si="6"/>
        <v>0.41121320292958347</v>
      </c>
      <c r="N34" s="6">
        <f t="shared" si="3"/>
        <v>0.17191945823762408</v>
      </c>
      <c r="O34" s="6">
        <f t="shared" si="4"/>
        <v>0.41686733883279242</v>
      </c>
      <c r="P34" s="6">
        <f t="shared" si="5"/>
        <v>-0.88864345706485326</v>
      </c>
    </row>
    <row r="35" spans="1:16" x14ac:dyDescent="0.3">
      <c r="A35">
        <v>37</v>
      </c>
      <c r="B35">
        <v>169</v>
      </c>
      <c r="C35">
        <v>185</v>
      </c>
      <c r="D35">
        <v>3000</v>
      </c>
      <c r="E35">
        <v>0</v>
      </c>
      <c r="F35" s="6" t="s">
        <v>87</v>
      </c>
      <c r="G35" s="6">
        <f t="shared" si="0"/>
        <v>1</v>
      </c>
      <c r="H35" s="6">
        <f t="shared" si="1"/>
        <v>0</v>
      </c>
      <c r="I35" s="6">
        <f t="shared" si="2"/>
        <v>0</v>
      </c>
      <c r="J35" s="6">
        <f>$V$5+$W$5*penguins[[#This Row],[Culmen Length (mm)]]+penguins[[#This Row],[Culmen Depth (mm)]]*$X$5+$Y$5*penguins[[#This Row],[Flipper Length (mm)]]+penguins[[#This Row],[Body mass (g)]]*$Z$5+$AA$5*penguins[[#This Row],[Gender]]</f>
        <v>-193.42724125298307</v>
      </c>
      <c r="K35" s="6">
        <f>$V$6+$W$6*penguins[[#This Row],[Culmen Length (mm)]]+penguins[[#This Row],[Culmen Depth (mm)]]*$X$6+$Y$6*penguins[[#This Row],[Flipper Length (mm)]]+penguins[[#This Row],[Body mass (g)]]*$Z$6+$AA$6*penguins[[#This Row],[Gender]]</f>
        <v>-193.18373072106033</v>
      </c>
      <c r="L35" s="6">
        <f>$V$7+$W$7*penguins[[#This Row],[Culmen Length (mm)]]+penguins[[#This Row],[Culmen Depth (mm)]]*$X$7+$Y$7*penguins[[#This Row],[Flipper Length (mm)]]+penguins[[#This Row],[Body mass (g)]]*$Z$7+$AA$7*penguins[[#This Row],[Gender]]</f>
        <v>-194.76601871519819</v>
      </c>
      <c r="M35" s="6">
        <f t="shared" si="6"/>
        <v>0.39402877228026734</v>
      </c>
      <c r="N35" s="6">
        <f t="shared" si="3"/>
        <v>0.50267028826569748</v>
      </c>
      <c r="O35" s="6">
        <f t="shared" si="4"/>
        <v>0.10330093945403523</v>
      </c>
      <c r="P35" s="6">
        <f t="shared" si="5"/>
        <v>-0.93133134625842939</v>
      </c>
    </row>
    <row r="36" spans="1:16" x14ac:dyDescent="0.3">
      <c r="A36">
        <v>396</v>
      </c>
      <c r="B36">
        <v>188</v>
      </c>
      <c r="C36">
        <v>190</v>
      </c>
      <c r="D36">
        <v>4600</v>
      </c>
      <c r="E36">
        <v>1</v>
      </c>
      <c r="F36" s="6" t="s">
        <v>87</v>
      </c>
      <c r="G36" s="6">
        <f t="shared" si="0"/>
        <v>1</v>
      </c>
      <c r="H36" s="6">
        <f t="shared" si="1"/>
        <v>0</v>
      </c>
      <c r="I36" s="6">
        <f t="shared" si="2"/>
        <v>0</v>
      </c>
      <c r="J36" s="6">
        <f>$V$5+$W$5*penguins[[#This Row],[Culmen Length (mm)]]+penguins[[#This Row],[Culmen Depth (mm)]]*$X$5+$Y$5*penguins[[#This Row],[Flipper Length (mm)]]+penguins[[#This Row],[Body mass (g)]]*$Z$5+$AA$5*penguins[[#This Row],[Gender]]</f>
        <v>-295.34571518137653</v>
      </c>
      <c r="K36" s="6">
        <f>$V$6+$W$6*penguins[[#This Row],[Culmen Length (mm)]]+penguins[[#This Row],[Culmen Depth (mm)]]*$X$6+$Y$6*penguins[[#This Row],[Flipper Length (mm)]]+penguins[[#This Row],[Body mass (g)]]*$Z$6+$AA$6*penguins[[#This Row],[Gender]]</f>
        <v>-296.49709936290424</v>
      </c>
      <c r="L36" s="6">
        <f>$V$7+$W$7*penguins[[#This Row],[Culmen Length (mm)]]+penguins[[#This Row],[Culmen Depth (mm)]]*$X$7+$Y$7*penguins[[#This Row],[Flipper Length (mm)]]+penguins[[#This Row],[Body mass (g)]]*$Z$7+$AA$7*penguins[[#This Row],[Gender]]</f>
        <v>-295.06819786102824</v>
      </c>
      <c r="M36" s="6">
        <f t="shared" si="6"/>
        <v>0.37935579611363457</v>
      </c>
      <c r="N36" s="6">
        <f t="shared" si="3"/>
        <v>0.11995184363605001</v>
      </c>
      <c r="O36" s="6">
        <f t="shared" si="4"/>
        <v>0.50069236025031549</v>
      </c>
      <c r="P36" s="6">
        <f t="shared" si="5"/>
        <v>-0.96928073824891547</v>
      </c>
    </row>
    <row r="37" spans="1:16" x14ac:dyDescent="0.3">
      <c r="A37">
        <v>411</v>
      </c>
      <c r="B37">
        <v>19</v>
      </c>
      <c r="C37">
        <v>182</v>
      </c>
      <c r="D37">
        <v>3425</v>
      </c>
      <c r="E37">
        <v>1</v>
      </c>
      <c r="F37" s="6" t="s">
        <v>87</v>
      </c>
      <c r="G37" s="6">
        <f t="shared" si="0"/>
        <v>1</v>
      </c>
      <c r="H37" s="6">
        <f t="shared" si="1"/>
        <v>0</v>
      </c>
      <c r="I37" s="6">
        <f t="shared" si="2"/>
        <v>0</v>
      </c>
      <c r="J37" s="6">
        <f>$V$5+$W$5*penguins[[#This Row],[Culmen Length (mm)]]+penguins[[#This Row],[Culmen Depth (mm)]]*$X$5+$Y$5*penguins[[#This Row],[Flipper Length (mm)]]+penguins[[#This Row],[Body mass (g)]]*$Z$5+$AA$5*penguins[[#This Row],[Gender]]</f>
        <v>-220.82027709855097</v>
      </c>
      <c r="K37" s="6">
        <f>$V$6+$W$6*penguins[[#This Row],[Culmen Length (mm)]]+penguins[[#This Row],[Culmen Depth (mm)]]*$X$6+$Y$6*penguins[[#This Row],[Flipper Length (mm)]]+penguins[[#This Row],[Body mass (g)]]*$Z$6+$AA$6*penguins[[#This Row],[Gender]]</f>
        <v>-219.46763982220239</v>
      </c>
      <c r="L37" s="6">
        <f>$V$7+$W$7*penguins[[#This Row],[Culmen Length (mm)]]+penguins[[#This Row],[Culmen Depth (mm)]]*$X$7+$Y$7*penguins[[#This Row],[Flipper Length (mm)]]+penguins[[#This Row],[Body mass (g)]]*$Z$7+$AA$7*penguins[[#This Row],[Gender]]</f>
        <v>-219.23818094716628</v>
      </c>
      <c r="M37" s="6">
        <f t="shared" si="6"/>
        <v>0.10274582820137144</v>
      </c>
      <c r="N37" s="6">
        <f t="shared" si="3"/>
        <v>0.39738100367554552</v>
      </c>
      <c r="O37" s="6">
        <f t="shared" si="4"/>
        <v>0.49987316812308302</v>
      </c>
      <c r="P37" s="6">
        <f t="shared" si="5"/>
        <v>-2.2754970278765607</v>
      </c>
    </row>
    <row r="38" spans="1:16" x14ac:dyDescent="0.3">
      <c r="A38">
        <v>375</v>
      </c>
      <c r="B38">
        <v>189</v>
      </c>
      <c r="C38">
        <v>179</v>
      </c>
      <c r="D38">
        <v>2975</v>
      </c>
      <c r="E38">
        <v>1</v>
      </c>
      <c r="F38" s="6" t="s">
        <v>87</v>
      </c>
      <c r="G38" s="6">
        <f t="shared" si="0"/>
        <v>1</v>
      </c>
      <c r="H38" s="6">
        <f t="shared" si="1"/>
        <v>0</v>
      </c>
      <c r="I38" s="6">
        <f t="shared" si="2"/>
        <v>0</v>
      </c>
      <c r="J38" s="6">
        <f>$V$5+$W$5*penguins[[#This Row],[Culmen Length (mm)]]+penguins[[#This Row],[Culmen Depth (mm)]]*$X$5+$Y$5*penguins[[#This Row],[Flipper Length (mm)]]+penguins[[#This Row],[Body mass (g)]]*$Z$5+$AA$5*penguins[[#This Row],[Gender]]</f>
        <v>-188.56429938548638</v>
      </c>
      <c r="K38" s="6">
        <f>$V$6+$W$6*penguins[[#This Row],[Culmen Length (mm)]]+penguins[[#This Row],[Culmen Depth (mm)]]*$X$6+$Y$6*penguins[[#This Row],[Flipper Length (mm)]]+penguins[[#This Row],[Body mass (g)]]*$Z$6+$AA$6*penguins[[#This Row],[Gender]]</f>
        <v>-188.44456086659031</v>
      </c>
      <c r="L38" s="6">
        <f>$V$7+$W$7*penguins[[#This Row],[Culmen Length (mm)]]+penguins[[#This Row],[Culmen Depth (mm)]]*$X$7+$Y$7*penguins[[#This Row],[Flipper Length (mm)]]+penguins[[#This Row],[Body mass (g)]]*$Z$7+$AA$7*penguins[[#This Row],[Gender]]</f>
        <v>-189.64034779586154</v>
      </c>
      <c r="M38" s="6">
        <f t="shared" si="6"/>
        <v>0.40516304228872985</v>
      </c>
      <c r="N38" s="6">
        <f t="shared" si="3"/>
        <v>0.4567006203602752</v>
      </c>
      <c r="O38" s="6">
        <f t="shared" si="4"/>
        <v>0.13813633735099493</v>
      </c>
      <c r="P38" s="6">
        <f t="shared" si="5"/>
        <v>-0.90346571933416986</v>
      </c>
    </row>
    <row r="39" spans="1:16" x14ac:dyDescent="0.3">
      <c r="A39">
        <v>36</v>
      </c>
      <c r="B39">
        <v>179</v>
      </c>
      <c r="C39">
        <v>190</v>
      </c>
      <c r="D39">
        <v>3450</v>
      </c>
      <c r="E39">
        <v>0</v>
      </c>
      <c r="F39" s="6" t="s">
        <v>87</v>
      </c>
      <c r="G39" s="6">
        <f t="shared" si="0"/>
        <v>1</v>
      </c>
      <c r="H39" s="6">
        <f t="shared" si="1"/>
        <v>0</v>
      </c>
      <c r="I39" s="6">
        <f t="shared" si="2"/>
        <v>0</v>
      </c>
      <c r="J39" s="6">
        <f>$V$5+$W$5*penguins[[#This Row],[Culmen Length (mm)]]+penguins[[#This Row],[Culmen Depth (mm)]]*$X$5+$Y$5*penguins[[#This Row],[Flipper Length (mm)]]+penguins[[#This Row],[Body mass (g)]]*$Z$5+$AA$5*penguins[[#This Row],[Gender]]</f>
        <v>-222.86875466397399</v>
      </c>
      <c r="K39" s="6">
        <f>$V$6+$W$6*penguins[[#This Row],[Culmen Length (mm)]]+penguins[[#This Row],[Culmen Depth (mm)]]*$X$6+$Y$6*penguins[[#This Row],[Flipper Length (mm)]]+penguins[[#This Row],[Body mass (g)]]*$Z$6+$AA$6*penguins[[#This Row],[Gender]]</f>
        <v>-223.02513833710378</v>
      </c>
      <c r="L39" s="6">
        <f>$V$7+$W$7*penguins[[#This Row],[Culmen Length (mm)]]+penguins[[#This Row],[Culmen Depth (mm)]]*$X$7+$Y$7*penguins[[#This Row],[Flipper Length (mm)]]+penguins[[#This Row],[Body mass (g)]]*$Z$7+$AA$7*penguins[[#This Row],[Gender]]</f>
        <v>-223.99785405697227</v>
      </c>
      <c r="M39" s="6">
        <f t="shared" si="6"/>
        <v>0.45901978922022252</v>
      </c>
      <c r="N39" s="6">
        <f t="shared" si="3"/>
        <v>0.39256795255682203</v>
      </c>
      <c r="O39" s="6">
        <f t="shared" si="4"/>
        <v>0.14841225822295537</v>
      </c>
      <c r="P39" s="6">
        <f t="shared" si="5"/>
        <v>-0.77866195608141575</v>
      </c>
    </row>
    <row r="40" spans="1:16" x14ac:dyDescent="0.3">
      <c r="A40">
        <v>423</v>
      </c>
      <c r="B40">
        <v>212</v>
      </c>
      <c r="C40">
        <v>191</v>
      </c>
      <c r="D40">
        <v>4150</v>
      </c>
      <c r="E40">
        <v>1</v>
      </c>
      <c r="F40" s="6" t="s">
        <v>87</v>
      </c>
      <c r="G40" s="6">
        <f t="shared" si="0"/>
        <v>1</v>
      </c>
      <c r="H40" s="6">
        <f t="shared" si="1"/>
        <v>0</v>
      </c>
      <c r="I40" s="6">
        <f t="shared" si="2"/>
        <v>0</v>
      </c>
      <c r="J40" s="6">
        <f>$V$5+$W$5*penguins[[#This Row],[Culmen Length (mm)]]+penguins[[#This Row],[Culmen Depth (mm)]]*$X$5+$Y$5*penguins[[#This Row],[Flipper Length (mm)]]+penguins[[#This Row],[Body mass (g)]]*$Z$5+$AA$5*penguins[[#This Row],[Gender]]</f>
        <v>-265.06834216645086</v>
      </c>
      <c r="K40" s="6">
        <f>$V$6+$W$6*penguins[[#This Row],[Culmen Length (mm)]]+penguins[[#This Row],[Culmen Depth (mm)]]*$X$6+$Y$6*penguins[[#This Row],[Flipper Length (mm)]]+penguins[[#This Row],[Body mass (g)]]*$Z$6+$AA$6*penguins[[#This Row],[Gender]]</f>
        <v>-265.97256645492337</v>
      </c>
      <c r="L40" s="6">
        <f>$V$7+$W$7*penguins[[#This Row],[Culmen Length (mm)]]+penguins[[#This Row],[Culmen Depth (mm)]]*$X$7+$Y$7*penguins[[#This Row],[Flipper Length (mm)]]+penguins[[#This Row],[Body mass (g)]]*$Z$7+$AA$7*penguins[[#This Row],[Gender]]</f>
        <v>-265.45442664646521</v>
      </c>
      <c r="M40" s="6">
        <f t="shared" si="6"/>
        <v>0.47971549055196816</v>
      </c>
      <c r="N40" s="6">
        <f t="shared" si="3"/>
        <v>0.19421560572778065</v>
      </c>
      <c r="O40" s="6">
        <f t="shared" si="4"/>
        <v>0.32606890372025121</v>
      </c>
      <c r="P40" s="6">
        <f t="shared" si="5"/>
        <v>-0.73456207882962887</v>
      </c>
    </row>
    <row r="41" spans="1:16" x14ac:dyDescent="0.3">
      <c r="A41">
        <v>396</v>
      </c>
      <c r="B41">
        <v>177</v>
      </c>
      <c r="C41">
        <v>186</v>
      </c>
      <c r="D41">
        <v>3500</v>
      </c>
      <c r="E41">
        <v>0</v>
      </c>
      <c r="F41" s="6" t="s">
        <v>87</v>
      </c>
      <c r="G41" s="6">
        <f t="shared" si="0"/>
        <v>1</v>
      </c>
      <c r="H41" s="6">
        <f t="shared" si="1"/>
        <v>0</v>
      </c>
      <c r="I41" s="6">
        <f t="shared" si="2"/>
        <v>0</v>
      </c>
      <c r="J41" s="6">
        <f>$V$5+$W$5*penguins[[#This Row],[Culmen Length (mm)]]+penguins[[#This Row],[Culmen Depth (mm)]]*$X$5+$Y$5*penguins[[#This Row],[Flipper Length (mm)]]+penguins[[#This Row],[Body mass (g)]]*$Z$5+$AA$5*penguins[[#This Row],[Gender]]</f>
        <v>-223.15761533312298</v>
      </c>
      <c r="K41" s="6">
        <f>$V$6+$W$6*penguins[[#This Row],[Culmen Length (mm)]]+penguins[[#This Row],[Culmen Depth (mm)]]*$X$6+$Y$6*penguins[[#This Row],[Flipper Length (mm)]]+penguins[[#This Row],[Body mass (g)]]*$Z$6+$AA$6*penguins[[#This Row],[Gender]]</f>
        <v>-223.31568413224372</v>
      </c>
      <c r="L41" s="6">
        <f>$V$7+$W$7*penguins[[#This Row],[Culmen Length (mm)]]+penguins[[#This Row],[Culmen Depth (mm)]]*$X$7+$Y$7*penguins[[#This Row],[Flipper Length (mm)]]+penguins[[#This Row],[Body mass (g)]]*$Z$7+$AA$7*penguins[[#This Row],[Gender]]</f>
        <v>-223.52646119048521</v>
      </c>
      <c r="M41" s="6">
        <f t="shared" si="6"/>
        <v>0.3928774405412086</v>
      </c>
      <c r="N41" s="6">
        <f t="shared" si="3"/>
        <v>0.33543523850309226</v>
      </c>
      <c r="O41" s="6">
        <f t="shared" si="4"/>
        <v>0.27168732095569909</v>
      </c>
      <c r="P41" s="6">
        <f t="shared" si="5"/>
        <v>-0.93425757187935088</v>
      </c>
    </row>
    <row r="42" spans="1:16" x14ac:dyDescent="0.3">
      <c r="A42">
        <v>401</v>
      </c>
      <c r="B42">
        <v>189</v>
      </c>
      <c r="C42">
        <v>188</v>
      </c>
      <c r="D42">
        <v>4300</v>
      </c>
      <c r="E42">
        <v>1</v>
      </c>
      <c r="F42" s="6" t="s">
        <v>87</v>
      </c>
      <c r="G42" s="6">
        <f t="shared" si="0"/>
        <v>1</v>
      </c>
      <c r="H42" s="6">
        <f t="shared" si="1"/>
        <v>0</v>
      </c>
      <c r="I42" s="6">
        <f t="shared" si="2"/>
        <v>0</v>
      </c>
      <c r="J42" s="6">
        <f>$V$5+$W$5*penguins[[#This Row],[Culmen Length (mm)]]+penguins[[#This Row],[Culmen Depth (mm)]]*$X$5+$Y$5*penguins[[#This Row],[Flipper Length (mm)]]+penguins[[#This Row],[Body mass (g)]]*$Z$5+$AA$5*penguins[[#This Row],[Gender]]</f>
        <v>-275.54262519973162</v>
      </c>
      <c r="K42" s="6">
        <f>$V$6+$W$6*penguins[[#This Row],[Culmen Length (mm)]]+penguins[[#This Row],[Culmen Depth (mm)]]*$X$6+$Y$6*penguins[[#This Row],[Flipper Length (mm)]]+penguins[[#This Row],[Body mass (g)]]*$Z$6+$AA$6*penguins[[#This Row],[Gender]]</f>
        <v>-276.46290822277905</v>
      </c>
      <c r="L42" s="6">
        <f>$V$7+$W$7*penguins[[#This Row],[Culmen Length (mm)]]+penguins[[#This Row],[Culmen Depth (mm)]]*$X$7+$Y$7*penguins[[#This Row],[Flipper Length (mm)]]+penguins[[#This Row],[Body mass (g)]]*$Z$7+$AA$7*penguins[[#This Row],[Gender]]</f>
        <v>-275.50984897241688</v>
      </c>
      <c r="M42" s="6">
        <f t="shared" si="6"/>
        <v>0.41123061740983807</v>
      </c>
      <c r="N42" s="6">
        <f t="shared" si="3"/>
        <v>0.16383685514628354</v>
      </c>
      <c r="O42" s="6">
        <f t="shared" si="4"/>
        <v>0.42493252744387838</v>
      </c>
      <c r="P42" s="6">
        <f t="shared" si="5"/>
        <v>-0.88860110893157895</v>
      </c>
    </row>
    <row r="43" spans="1:16" x14ac:dyDescent="0.3">
      <c r="A43">
        <v>35</v>
      </c>
      <c r="B43">
        <v>179</v>
      </c>
      <c r="C43">
        <v>190</v>
      </c>
      <c r="D43">
        <v>3450</v>
      </c>
      <c r="E43">
        <v>0</v>
      </c>
      <c r="F43" s="6" t="s">
        <v>87</v>
      </c>
      <c r="G43" s="6">
        <f t="shared" si="0"/>
        <v>1</v>
      </c>
      <c r="H43" s="6">
        <f t="shared" si="1"/>
        <v>0</v>
      </c>
      <c r="I43" s="6">
        <f t="shared" si="2"/>
        <v>0</v>
      </c>
      <c r="J43" s="6">
        <f>$V$5+$W$5*penguins[[#This Row],[Culmen Length (mm)]]+penguins[[#This Row],[Culmen Depth (mm)]]*$X$5+$Y$5*penguins[[#This Row],[Flipper Length (mm)]]+penguins[[#This Row],[Body mass (g)]]*$Z$5+$AA$5*penguins[[#This Row],[Gender]]</f>
        <v>-222.87724098470704</v>
      </c>
      <c r="K43" s="6">
        <f>$V$6+$W$6*penguins[[#This Row],[Culmen Length (mm)]]+penguins[[#This Row],[Culmen Depth (mm)]]*$X$6+$Y$6*penguins[[#This Row],[Flipper Length (mm)]]+penguins[[#This Row],[Body mass (g)]]*$Z$6+$AA$6*penguins[[#This Row],[Gender]]</f>
        <v>-223.03398661444351</v>
      </c>
      <c r="L43" s="6">
        <f>$V$7+$W$7*penguins[[#This Row],[Culmen Length (mm)]]+penguins[[#This Row],[Culmen Depth (mm)]]*$X$7+$Y$7*penguins[[#This Row],[Flipper Length (mm)]]+penguins[[#This Row],[Body mass (g)]]*$Z$7+$AA$7*penguins[[#This Row],[Gender]]</f>
        <v>-224.00815780168713</v>
      </c>
      <c r="M43" s="6">
        <f t="shared" si="6"/>
        <v>0.45920877654264491</v>
      </c>
      <c r="N43" s="6">
        <f t="shared" si="3"/>
        <v>0.39258745503014153</v>
      </c>
      <c r="O43" s="6">
        <f t="shared" si="4"/>
        <v>0.14820376842721353</v>
      </c>
      <c r="P43" s="6">
        <f t="shared" si="5"/>
        <v>-0.7782503214794495</v>
      </c>
    </row>
    <row r="44" spans="1:16" x14ac:dyDescent="0.3">
      <c r="A44">
        <v>42</v>
      </c>
      <c r="B44">
        <v>195</v>
      </c>
      <c r="C44">
        <v>200</v>
      </c>
      <c r="D44">
        <v>4050</v>
      </c>
      <c r="E44">
        <v>1</v>
      </c>
      <c r="F44" s="6" t="s">
        <v>87</v>
      </c>
      <c r="G44" s="6">
        <f t="shared" si="0"/>
        <v>1</v>
      </c>
      <c r="H44" s="6">
        <f t="shared" si="1"/>
        <v>0</v>
      </c>
      <c r="I44" s="6">
        <f t="shared" si="2"/>
        <v>0</v>
      </c>
      <c r="J44" s="6">
        <f>$V$5+$W$5*penguins[[#This Row],[Culmen Length (mm)]]+penguins[[#This Row],[Culmen Depth (mm)]]*$X$5+$Y$5*penguins[[#This Row],[Flipper Length (mm)]]+penguins[[#This Row],[Body mass (g)]]*$Z$5+$AA$5*penguins[[#This Row],[Gender]]</f>
        <v>-261.97341770267587</v>
      </c>
      <c r="K44" s="6">
        <f>$V$6+$W$6*penguins[[#This Row],[Culmen Length (mm)]]+penguins[[#This Row],[Culmen Depth (mm)]]*$X$6+$Y$6*penguins[[#This Row],[Flipper Length (mm)]]+penguins[[#This Row],[Body mass (g)]]*$Z$6+$AA$6*penguins[[#This Row],[Gender]]</f>
        <v>-262.53110613716808</v>
      </c>
      <c r="L44" s="6">
        <f>$V$7+$W$7*penguins[[#This Row],[Culmen Length (mm)]]+penguins[[#This Row],[Culmen Depth (mm)]]*$X$7+$Y$7*penguins[[#This Row],[Flipper Length (mm)]]+penguins[[#This Row],[Body mass (g)]]*$Z$7+$AA$7*penguins[[#This Row],[Gender]]</f>
        <v>-262.99736670466979</v>
      </c>
      <c r="M44" s="6">
        <f t="shared" si="6"/>
        <v>0.51767745930149889</v>
      </c>
      <c r="N44" s="6">
        <f t="shared" si="3"/>
        <v>0.2963863822052305</v>
      </c>
      <c r="O44" s="6">
        <f t="shared" si="4"/>
        <v>0.1859361584932705</v>
      </c>
      <c r="P44" s="6">
        <f t="shared" si="5"/>
        <v>-0.65840289610041092</v>
      </c>
    </row>
    <row r="45" spans="1:16" x14ac:dyDescent="0.3">
      <c r="A45">
        <v>345</v>
      </c>
      <c r="B45">
        <v>181</v>
      </c>
      <c r="C45">
        <v>187</v>
      </c>
      <c r="D45">
        <v>2900</v>
      </c>
      <c r="E45">
        <v>0</v>
      </c>
      <c r="F45" s="6" t="s">
        <v>87</v>
      </c>
      <c r="G45" s="6">
        <f t="shared" si="0"/>
        <v>1</v>
      </c>
      <c r="H45" s="6">
        <f t="shared" si="1"/>
        <v>0</v>
      </c>
      <c r="I45" s="6">
        <f t="shared" si="2"/>
        <v>0</v>
      </c>
      <c r="J45" s="6">
        <f>$V$5+$W$5*penguins[[#This Row],[Culmen Length (mm)]]+penguins[[#This Row],[Culmen Depth (mm)]]*$X$5+$Y$5*penguins[[#This Row],[Flipper Length (mm)]]+penguins[[#This Row],[Body mass (g)]]*$Z$5+$AA$5*penguins[[#This Row],[Gender]]</f>
        <v>-184.01283958416013</v>
      </c>
      <c r="K45" s="6">
        <f>$V$6+$W$6*penguins[[#This Row],[Culmen Length (mm)]]+penguins[[#This Row],[Culmen Depth (mm)]]*$X$6+$Y$6*penguins[[#This Row],[Flipper Length (mm)]]+penguins[[#This Row],[Body mass (g)]]*$Z$6+$AA$6*penguins[[#This Row],[Gender]]</f>
        <v>-183.62151347753206</v>
      </c>
      <c r="L45" s="6">
        <f>$V$7+$W$7*penguins[[#This Row],[Culmen Length (mm)]]+penguins[[#This Row],[Culmen Depth (mm)]]*$X$7+$Y$7*penguins[[#This Row],[Flipper Length (mm)]]+penguins[[#This Row],[Body mass (g)]]*$Z$7+$AA$7*penguins[[#This Row],[Gender]]</f>
        <v>-185.05398832344579</v>
      </c>
      <c r="M45" s="6">
        <f t="shared" si="6"/>
        <v>0.35310863949457327</v>
      </c>
      <c r="N45" s="6">
        <f t="shared" si="3"/>
        <v>0.52222674805916114</v>
      </c>
      <c r="O45" s="6">
        <f t="shared" si="4"/>
        <v>0.1246646124462656</v>
      </c>
      <c r="P45" s="6">
        <f t="shared" si="5"/>
        <v>-1.0409795087895655</v>
      </c>
    </row>
    <row r="46" spans="1:16" x14ac:dyDescent="0.3">
      <c r="A46">
        <v>414</v>
      </c>
      <c r="B46">
        <v>186</v>
      </c>
      <c r="C46">
        <v>191</v>
      </c>
      <c r="D46">
        <v>3700</v>
      </c>
      <c r="E46">
        <v>1</v>
      </c>
      <c r="F46" s="6" t="s">
        <v>87</v>
      </c>
      <c r="G46" s="6">
        <f t="shared" si="0"/>
        <v>1</v>
      </c>
      <c r="H46" s="6">
        <f t="shared" si="1"/>
        <v>0</v>
      </c>
      <c r="I46" s="6">
        <f t="shared" si="2"/>
        <v>0</v>
      </c>
      <c r="J46" s="6">
        <f>$V$5+$W$5*penguins[[#This Row],[Culmen Length (mm)]]+penguins[[#This Row],[Culmen Depth (mm)]]*$X$5+$Y$5*penguins[[#This Row],[Flipper Length (mm)]]+penguins[[#This Row],[Body mass (g)]]*$Z$5+$AA$5*penguins[[#This Row],[Gender]]</f>
        <v>-235.96741256174613</v>
      </c>
      <c r="K46" s="6">
        <f>$V$6+$W$6*penguins[[#This Row],[Culmen Length (mm)]]+penguins[[#This Row],[Culmen Depth (mm)]]*$X$6+$Y$6*penguins[[#This Row],[Flipper Length (mm)]]+penguins[[#This Row],[Body mass (g)]]*$Z$6+$AA$6*penguins[[#This Row],[Gender]]</f>
        <v>-236.1990368754322</v>
      </c>
      <c r="L46" s="6">
        <f>$V$7+$W$7*penguins[[#This Row],[Culmen Length (mm)]]+penguins[[#This Row],[Culmen Depth (mm)]]*$X$7+$Y$7*penguins[[#This Row],[Flipper Length (mm)]]+penguins[[#This Row],[Body mass (g)]]*$Z$7+$AA$7*penguins[[#This Row],[Gender]]</f>
        <v>-236.4170131207232</v>
      </c>
      <c r="M46" s="6">
        <f t="shared" si="6"/>
        <v>0.41133186790737675</v>
      </c>
      <c r="N46" s="6">
        <f t="shared" si="3"/>
        <v>0.32628656842463433</v>
      </c>
      <c r="O46" s="6">
        <f t="shared" si="4"/>
        <v>0.26238156366798898</v>
      </c>
      <c r="P46" s="6">
        <f t="shared" si="5"/>
        <v>-0.88835492581514131</v>
      </c>
    </row>
    <row r="47" spans="1:16" x14ac:dyDescent="0.3">
      <c r="A47">
        <v>39</v>
      </c>
      <c r="B47">
        <v>175</v>
      </c>
      <c r="C47">
        <v>186</v>
      </c>
      <c r="D47">
        <v>3550</v>
      </c>
      <c r="E47">
        <v>0</v>
      </c>
      <c r="F47" s="6" t="s">
        <v>87</v>
      </c>
      <c r="G47" s="6">
        <f t="shared" si="0"/>
        <v>1</v>
      </c>
      <c r="H47" s="6">
        <f t="shared" si="1"/>
        <v>0</v>
      </c>
      <c r="I47" s="6">
        <f t="shared" si="2"/>
        <v>0</v>
      </c>
      <c r="J47" s="6">
        <f>$V$5+$W$5*penguins[[#This Row],[Culmen Length (mm)]]+penguins[[#This Row],[Culmen Depth (mm)]]*$X$5+$Y$5*penguins[[#This Row],[Flipper Length (mm)]]+penguins[[#This Row],[Body mass (g)]]*$Z$5+$AA$5*penguins[[#This Row],[Gender]]</f>
        <v>-229.51389061640003</v>
      </c>
      <c r="K47" s="6">
        <f>$V$6+$W$6*penguins[[#This Row],[Culmen Length (mm)]]+penguins[[#This Row],[Culmen Depth (mm)]]*$X$6+$Y$6*penguins[[#This Row],[Flipper Length (mm)]]+penguins[[#This Row],[Body mass (g)]]*$Z$6+$AA$6*penguins[[#This Row],[Gender]]</f>
        <v>-229.83090068446575</v>
      </c>
      <c r="L47" s="6">
        <f>$V$7+$W$7*penguins[[#This Row],[Culmen Length (mm)]]+penguins[[#This Row],[Culmen Depth (mm)]]*$X$7+$Y$7*penguins[[#This Row],[Flipper Length (mm)]]+penguins[[#This Row],[Body mass (g)]]*$Z$7+$AA$7*penguins[[#This Row],[Gender]]</f>
        <v>-230.46213828273255</v>
      </c>
      <c r="M47" s="6">
        <f t="shared" si="6"/>
        <v>0.47264725596531126</v>
      </c>
      <c r="N47" s="6">
        <f t="shared" si="3"/>
        <v>0.34424006699624338</v>
      </c>
      <c r="O47" s="6">
        <f t="shared" si="4"/>
        <v>0.18311267703844533</v>
      </c>
      <c r="P47" s="6">
        <f t="shared" si="5"/>
        <v>-0.74940592776535964</v>
      </c>
    </row>
    <row r="48" spans="1:16" x14ac:dyDescent="0.3">
      <c r="A48">
        <v>406</v>
      </c>
      <c r="B48">
        <v>188</v>
      </c>
      <c r="C48">
        <v>193</v>
      </c>
      <c r="D48">
        <v>3800</v>
      </c>
      <c r="E48">
        <v>1</v>
      </c>
      <c r="F48" s="6" t="s">
        <v>87</v>
      </c>
      <c r="G48" s="6">
        <f t="shared" si="0"/>
        <v>1</v>
      </c>
      <c r="H48" s="6">
        <f t="shared" si="1"/>
        <v>0</v>
      </c>
      <c r="I48" s="6">
        <f t="shared" si="2"/>
        <v>0</v>
      </c>
      <c r="J48" s="6">
        <f>$V$5+$W$5*penguins[[#This Row],[Culmen Length (mm)]]+penguins[[#This Row],[Culmen Depth (mm)]]*$X$5+$Y$5*penguins[[#This Row],[Flipper Length (mm)]]+penguins[[#This Row],[Body mass (g)]]*$Z$5+$AA$5*penguins[[#This Row],[Gender]]</f>
        <v>-242.57598803189859</v>
      </c>
      <c r="K48" s="6">
        <f>$V$6+$W$6*penguins[[#This Row],[Culmen Length (mm)]]+penguins[[#This Row],[Culmen Depth (mm)]]*$X$6+$Y$6*penguins[[#This Row],[Flipper Length (mm)]]+penguins[[#This Row],[Body mass (g)]]*$Z$6+$AA$6*penguins[[#This Row],[Gender]]</f>
        <v>-242.87450461184253</v>
      </c>
      <c r="L48" s="6">
        <f>$V$7+$W$7*penguins[[#This Row],[Culmen Length (mm)]]+penguins[[#This Row],[Culmen Depth (mm)]]*$X$7+$Y$7*penguins[[#This Row],[Flipper Length (mm)]]+penguins[[#This Row],[Body mass (g)]]*$Z$7+$AA$7*penguins[[#This Row],[Gender]]</f>
        <v>-242.99833674017754</v>
      </c>
      <c r="M48" s="6">
        <f t="shared" si="6"/>
        <v>0.41711447378637551</v>
      </c>
      <c r="N48" s="6">
        <f t="shared" si="3"/>
        <v>0.30946472814970577</v>
      </c>
      <c r="O48" s="6">
        <f t="shared" si="4"/>
        <v>0.27342079806391872</v>
      </c>
      <c r="P48" s="6">
        <f t="shared" si="5"/>
        <v>-0.87439457738304016</v>
      </c>
    </row>
    <row r="49" spans="1:16" x14ac:dyDescent="0.3">
      <c r="A49">
        <v>365</v>
      </c>
      <c r="B49">
        <v>166</v>
      </c>
      <c r="C49">
        <v>181</v>
      </c>
      <c r="D49">
        <v>2850</v>
      </c>
      <c r="E49">
        <v>0</v>
      </c>
      <c r="F49" s="6" t="s">
        <v>87</v>
      </c>
      <c r="G49" s="6">
        <f t="shared" si="0"/>
        <v>1</v>
      </c>
      <c r="H49" s="6">
        <f t="shared" si="1"/>
        <v>0</v>
      </c>
      <c r="I49" s="6">
        <f t="shared" si="2"/>
        <v>0</v>
      </c>
      <c r="J49" s="6">
        <f>$V$5+$W$5*penguins[[#This Row],[Culmen Length (mm)]]+penguins[[#This Row],[Culmen Depth (mm)]]*$X$5+$Y$5*penguins[[#This Row],[Flipper Length (mm)]]+penguins[[#This Row],[Body mass (g)]]*$Z$5+$AA$5*penguins[[#This Row],[Gender]]</f>
        <v>-180.83702003397536</v>
      </c>
      <c r="K49" s="6">
        <f>$V$6+$W$6*penguins[[#This Row],[Culmen Length (mm)]]+penguins[[#This Row],[Culmen Depth (mm)]]*$X$6+$Y$6*penguins[[#This Row],[Flipper Length (mm)]]+penguins[[#This Row],[Body mass (g)]]*$Z$6+$AA$6*penguins[[#This Row],[Gender]]</f>
        <v>-180.40435950096801</v>
      </c>
      <c r="L49" s="6">
        <f>$V$7+$W$7*penguins[[#This Row],[Culmen Length (mm)]]+penguins[[#This Row],[Culmen Depth (mm)]]*$X$7+$Y$7*penguins[[#This Row],[Flipper Length (mm)]]+penguins[[#This Row],[Body mass (g)]]*$Z$7+$AA$7*penguins[[#This Row],[Gender]]</f>
        <v>-181.63322870657555</v>
      </c>
      <c r="M49" s="6">
        <f t="shared" si="6"/>
        <v>0.33418119064481366</v>
      </c>
      <c r="N49" s="6">
        <f t="shared" si="3"/>
        <v>0.51509114513632914</v>
      </c>
      <c r="O49" s="6">
        <f t="shared" si="4"/>
        <v>0.15072766421885708</v>
      </c>
      <c r="P49" s="6">
        <f t="shared" si="5"/>
        <v>-1.096071946137773</v>
      </c>
    </row>
    <row r="50" spans="1:16" x14ac:dyDescent="0.3">
      <c r="A50">
        <v>376</v>
      </c>
      <c r="B50">
        <v>191</v>
      </c>
      <c r="C50">
        <v>194</v>
      </c>
      <c r="D50">
        <v>3750</v>
      </c>
      <c r="E50">
        <v>1</v>
      </c>
      <c r="F50" s="6" t="s">
        <v>87</v>
      </c>
      <c r="G50" s="6">
        <f t="shared" si="0"/>
        <v>1</v>
      </c>
      <c r="H50" s="6">
        <f t="shared" si="1"/>
        <v>0</v>
      </c>
      <c r="I50" s="6">
        <f t="shared" si="2"/>
        <v>0</v>
      </c>
      <c r="J50" s="6">
        <f>$V$5+$W$5*penguins[[#This Row],[Culmen Length (mm)]]+penguins[[#This Row],[Culmen Depth (mm)]]*$X$5+$Y$5*penguins[[#This Row],[Flipper Length (mm)]]+penguins[[#This Row],[Body mass (g)]]*$Z$5+$AA$5*penguins[[#This Row],[Gender]]</f>
        <v>-239.48226720392913</v>
      </c>
      <c r="K50" s="6">
        <f>$V$6+$W$6*penguins[[#This Row],[Culmen Length (mm)]]+penguins[[#This Row],[Culmen Depth (mm)]]*$X$6+$Y$6*penguins[[#This Row],[Flipper Length (mm)]]+penguins[[#This Row],[Body mass (g)]]*$Z$6+$AA$6*penguins[[#This Row],[Gender]]</f>
        <v>-239.74563377980948</v>
      </c>
      <c r="L50" s="6">
        <f>$V$7+$W$7*penguins[[#This Row],[Culmen Length (mm)]]+penguins[[#This Row],[Culmen Depth (mm)]]*$X$7+$Y$7*penguins[[#This Row],[Flipper Length (mm)]]+penguins[[#This Row],[Body mass (g)]]*$Z$7+$AA$7*penguins[[#This Row],[Gender]]</f>
        <v>-240.05082521955401</v>
      </c>
      <c r="M50" s="6">
        <f t="shared" si="6"/>
        <v>0.42830190690033015</v>
      </c>
      <c r="N50" s="6">
        <f t="shared" si="3"/>
        <v>0.32913294621623934</v>
      </c>
      <c r="O50" s="6">
        <f t="shared" si="4"/>
        <v>0.24256514688343045</v>
      </c>
      <c r="P50" s="6">
        <f t="shared" si="5"/>
        <v>-0.84792694211685848</v>
      </c>
    </row>
    <row r="51" spans="1:16" x14ac:dyDescent="0.3">
      <c r="A51">
        <v>357</v>
      </c>
      <c r="B51">
        <v>169</v>
      </c>
      <c r="C51">
        <v>185</v>
      </c>
      <c r="D51">
        <v>3150</v>
      </c>
      <c r="E51">
        <v>0</v>
      </c>
      <c r="F51" s="6" t="s">
        <v>87</v>
      </c>
      <c r="G51" s="6">
        <f t="shared" si="0"/>
        <v>1</v>
      </c>
      <c r="H51" s="6">
        <f t="shared" si="1"/>
        <v>0</v>
      </c>
      <c r="I51" s="6">
        <f t="shared" si="2"/>
        <v>0</v>
      </c>
      <c r="J51" s="6">
        <f>$V$5+$W$5*penguins[[#This Row],[Culmen Length (mm)]]+penguins[[#This Row],[Culmen Depth (mm)]]*$X$5+$Y$5*penguins[[#This Row],[Flipper Length (mm)]]+penguins[[#This Row],[Body mass (g)]]*$Z$5+$AA$5*penguins[[#This Row],[Gender]]</f>
        <v>-200.58760098000198</v>
      </c>
      <c r="K51" s="6">
        <f>$V$6+$W$6*penguins[[#This Row],[Culmen Length (mm)]]+penguins[[#This Row],[Culmen Depth (mm)]]*$X$6+$Y$6*penguins[[#This Row],[Flipper Length (mm)]]+penguins[[#This Row],[Body mass (g)]]*$Z$6+$AA$6*penguins[[#This Row],[Gender]]</f>
        <v>-200.37311707973413</v>
      </c>
      <c r="L51" s="6">
        <f>$V$7+$W$7*penguins[[#This Row],[Culmen Length (mm)]]+penguins[[#This Row],[Culmen Depth (mm)]]*$X$7+$Y$7*penguins[[#This Row],[Flipper Length (mm)]]+penguins[[#This Row],[Body mass (g)]]*$Z$7+$AA$7*penguins[[#This Row],[Gender]]</f>
        <v>-201.21531179812973</v>
      </c>
      <c r="M51" s="6">
        <f t="shared" si="6"/>
        <v>0.36061577161732455</v>
      </c>
      <c r="N51" s="6">
        <f t="shared" si="3"/>
        <v>0.44688305892043784</v>
      </c>
      <c r="O51" s="6">
        <f t="shared" si="4"/>
        <v>0.1925011694622375</v>
      </c>
      <c r="P51" s="6">
        <f t="shared" si="5"/>
        <v>-1.0199422320164926</v>
      </c>
    </row>
    <row r="52" spans="1:16" x14ac:dyDescent="0.3">
      <c r="A52">
        <v>413</v>
      </c>
      <c r="B52">
        <v>211</v>
      </c>
      <c r="C52">
        <v>195</v>
      </c>
      <c r="D52">
        <v>4400</v>
      </c>
      <c r="E52">
        <v>1</v>
      </c>
      <c r="F52" s="6" t="s">
        <v>87</v>
      </c>
      <c r="G52" s="6">
        <f t="shared" si="0"/>
        <v>1</v>
      </c>
      <c r="H52" s="6">
        <f t="shared" si="1"/>
        <v>0</v>
      </c>
      <c r="I52" s="6">
        <f t="shared" si="2"/>
        <v>0</v>
      </c>
      <c r="J52" s="6">
        <f>$V$5+$W$5*penguins[[#This Row],[Culmen Length (mm)]]+penguins[[#This Row],[Culmen Depth (mm)]]*$X$5+$Y$5*penguins[[#This Row],[Flipper Length (mm)]]+penguins[[#This Row],[Body mass (g)]]*$Z$5+$AA$5*penguins[[#This Row],[Gender]]</f>
        <v>-281.61323095548693</v>
      </c>
      <c r="K52" s="6">
        <f>$V$6+$W$6*penguins[[#This Row],[Culmen Length (mm)]]+penguins[[#This Row],[Culmen Depth (mm)]]*$X$6+$Y$6*penguins[[#This Row],[Flipper Length (mm)]]+penguins[[#This Row],[Body mass (g)]]*$Z$6+$AA$6*penguins[[#This Row],[Gender]]</f>
        <v>-282.65094856487207</v>
      </c>
      <c r="L52" s="6">
        <f>$V$7+$W$7*penguins[[#This Row],[Culmen Length (mm)]]+penguins[[#This Row],[Culmen Depth (mm)]]*$X$7+$Y$7*penguins[[#This Row],[Flipper Length (mm)]]+penguins[[#This Row],[Body mass (g)]]*$Z$7+$AA$7*penguins[[#This Row],[Gender]]</f>
        <v>-281.82510629384359</v>
      </c>
      <c r="M52" s="6">
        <f t="shared" si="6"/>
        <v>0.4622507809623902</v>
      </c>
      <c r="N52" s="6">
        <f t="shared" si="3"/>
        <v>0.16375803636695507</v>
      </c>
      <c r="O52" s="6">
        <f t="shared" si="4"/>
        <v>0.37399118267065473</v>
      </c>
      <c r="P52" s="6">
        <f t="shared" si="5"/>
        <v>-0.77164771923576714</v>
      </c>
    </row>
    <row r="53" spans="1:16" x14ac:dyDescent="0.3">
      <c r="A53">
        <v>376</v>
      </c>
      <c r="B53">
        <v>17</v>
      </c>
      <c r="C53">
        <v>185</v>
      </c>
      <c r="D53">
        <v>3600</v>
      </c>
      <c r="E53">
        <v>0</v>
      </c>
      <c r="F53" s="6" t="s">
        <v>87</v>
      </c>
      <c r="G53" s="6">
        <f t="shared" si="0"/>
        <v>1</v>
      </c>
      <c r="H53" s="6">
        <f t="shared" si="1"/>
        <v>0</v>
      </c>
      <c r="I53" s="6">
        <f t="shared" si="2"/>
        <v>0</v>
      </c>
      <c r="J53" s="6">
        <f>$V$5+$W$5*penguins[[#This Row],[Culmen Length (mm)]]+penguins[[#This Row],[Culmen Depth (mm)]]*$X$5+$Y$5*penguins[[#This Row],[Flipper Length (mm)]]+penguins[[#This Row],[Body mass (g)]]*$Z$5+$AA$5*penguins[[#This Row],[Gender]]</f>
        <v>-232.68882220979413</v>
      </c>
      <c r="K53" s="6">
        <f>$V$6+$W$6*penguins[[#This Row],[Culmen Length (mm)]]+penguins[[#This Row],[Culmen Depth (mm)]]*$X$6+$Y$6*penguins[[#This Row],[Flipper Length (mm)]]+penguins[[#This Row],[Body mass (g)]]*$Z$6+$AA$6*penguins[[#This Row],[Gender]]</f>
        <v>-231.49134626640338</v>
      </c>
      <c r="L53" s="6">
        <f>$V$7+$W$7*penguins[[#This Row],[Culmen Length (mm)]]+penguins[[#This Row],[Culmen Depth (mm)]]*$X$7+$Y$7*penguins[[#This Row],[Flipper Length (mm)]]+penguins[[#This Row],[Body mass (g)]]*$Z$7+$AA$7*penguins[[#This Row],[Gender]]</f>
        <v>-230.89815697464715</v>
      </c>
      <c r="M53" s="6">
        <f t="shared" si="6"/>
        <v>9.7038524802420534E-2</v>
      </c>
      <c r="N53" s="6">
        <f t="shared" si="3"/>
        <v>0.32136707510954277</v>
      </c>
      <c r="O53" s="6">
        <f t="shared" si="4"/>
        <v>0.58159440008803664</v>
      </c>
      <c r="P53" s="6">
        <f t="shared" si="5"/>
        <v>-2.332647216415515</v>
      </c>
    </row>
    <row r="54" spans="1:16" x14ac:dyDescent="0.3">
      <c r="A54">
        <v>411</v>
      </c>
      <c r="B54">
        <v>182</v>
      </c>
      <c r="C54">
        <v>192</v>
      </c>
      <c r="D54">
        <v>4050</v>
      </c>
      <c r="E54">
        <v>1</v>
      </c>
      <c r="F54" s="6" t="s">
        <v>87</v>
      </c>
      <c r="G54" s="6">
        <f t="shared" si="0"/>
        <v>1</v>
      </c>
      <c r="H54" s="6">
        <f t="shared" si="1"/>
        <v>0</v>
      </c>
      <c r="I54" s="6">
        <f t="shared" si="2"/>
        <v>0</v>
      </c>
      <c r="J54" s="6">
        <f>$V$5+$W$5*penguins[[#This Row],[Culmen Length (mm)]]+penguins[[#This Row],[Culmen Depth (mm)]]*$X$5+$Y$5*penguins[[#This Row],[Flipper Length (mm)]]+penguins[[#This Row],[Body mass (g)]]*$Z$5+$AA$5*penguins[[#This Row],[Gender]]</f>
        <v>-259.10184035188638</v>
      </c>
      <c r="K54" s="6">
        <f>$V$6+$W$6*penguins[[#This Row],[Culmen Length (mm)]]+penguins[[#This Row],[Culmen Depth (mm)]]*$X$6+$Y$6*penguins[[#This Row],[Flipper Length (mm)]]+penguins[[#This Row],[Body mass (g)]]*$Z$6+$AA$6*penguins[[#This Row],[Gender]]</f>
        <v>-259.60985061310259</v>
      </c>
      <c r="L54" s="6">
        <f>$V$7+$W$7*penguins[[#This Row],[Culmen Length (mm)]]+penguins[[#This Row],[Culmen Depth (mm)]]*$X$7+$Y$7*penguins[[#This Row],[Flipper Length (mm)]]+penguins[[#This Row],[Body mass (g)]]*$Z$7+$AA$7*penguins[[#This Row],[Gender]]</f>
        <v>-259.21137838197421</v>
      </c>
      <c r="M54" s="6">
        <f t="shared" si="6"/>
        <v>0.40032992358547936</v>
      </c>
      <c r="N54" s="6">
        <f t="shared" si="3"/>
        <v>0.24087515130638915</v>
      </c>
      <c r="O54" s="6">
        <f t="shared" si="4"/>
        <v>0.35879492510813155</v>
      </c>
      <c r="P54" s="6">
        <f t="shared" si="5"/>
        <v>-0.91546626287844368</v>
      </c>
    </row>
    <row r="55" spans="1:16" x14ac:dyDescent="0.3">
      <c r="A55">
        <v>364</v>
      </c>
      <c r="B55">
        <v>171</v>
      </c>
      <c r="C55">
        <v>184</v>
      </c>
      <c r="D55">
        <v>2850</v>
      </c>
      <c r="E55">
        <v>0</v>
      </c>
      <c r="F55" s="6" t="s">
        <v>87</v>
      </c>
      <c r="G55" s="6">
        <f t="shared" si="0"/>
        <v>1</v>
      </c>
      <c r="H55" s="6">
        <f t="shared" si="1"/>
        <v>0</v>
      </c>
      <c r="I55" s="6">
        <f t="shared" si="2"/>
        <v>0</v>
      </c>
      <c r="J55" s="6">
        <f>$V$5+$W$5*penguins[[#This Row],[Culmen Length (mm)]]+penguins[[#This Row],[Culmen Depth (mm)]]*$X$5+$Y$5*penguins[[#This Row],[Flipper Length (mm)]]+penguins[[#This Row],[Body mass (g)]]*$Z$5+$AA$5*penguins[[#This Row],[Gender]]</f>
        <v>-180.74588668850137</v>
      </c>
      <c r="K55" s="6">
        <f>$V$6+$W$6*penguins[[#This Row],[Culmen Length (mm)]]+penguins[[#This Row],[Culmen Depth (mm)]]*$X$6+$Y$6*penguins[[#This Row],[Flipper Length (mm)]]+penguins[[#This Row],[Body mass (g)]]*$Z$6+$AA$6*penguins[[#This Row],[Gender]]</f>
        <v>-180.28329177464803</v>
      </c>
      <c r="L55" s="6">
        <f>$V$7+$W$7*penguins[[#This Row],[Culmen Length (mm)]]+penguins[[#This Row],[Culmen Depth (mm)]]*$X$7+$Y$7*penguins[[#This Row],[Flipper Length (mm)]]+penguins[[#This Row],[Body mass (g)]]*$Z$7+$AA$7*penguins[[#This Row],[Gender]]</f>
        <v>-181.63697178706045</v>
      </c>
      <c r="M55" s="6">
        <f t="shared" si="6"/>
        <v>0.33351117807542463</v>
      </c>
      <c r="N55" s="6">
        <f t="shared" si="3"/>
        <v>0.52967907067633746</v>
      </c>
      <c r="O55" s="6">
        <f t="shared" si="4"/>
        <v>0.13680975124823783</v>
      </c>
      <c r="P55" s="6">
        <f t="shared" si="5"/>
        <v>-1.0980788967206163</v>
      </c>
    </row>
    <row r="56" spans="1:16" x14ac:dyDescent="0.3">
      <c r="A56">
        <v>416</v>
      </c>
      <c r="B56">
        <v>18</v>
      </c>
      <c r="C56">
        <v>192</v>
      </c>
      <c r="D56">
        <v>3950</v>
      </c>
      <c r="E56">
        <v>1</v>
      </c>
      <c r="F56" s="6" t="s">
        <v>87</v>
      </c>
      <c r="G56" s="6">
        <f t="shared" si="0"/>
        <v>1</v>
      </c>
      <c r="H56" s="6">
        <f t="shared" si="1"/>
        <v>0</v>
      </c>
      <c r="I56" s="6">
        <f t="shared" si="2"/>
        <v>0</v>
      </c>
      <c r="J56" s="6">
        <f>$V$5+$W$5*penguins[[#This Row],[Culmen Length (mm)]]+penguins[[#This Row],[Culmen Depth (mm)]]*$X$5+$Y$5*penguins[[#This Row],[Flipper Length (mm)]]+penguins[[#This Row],[Body mass (g)]]*$Z$5+$AA$5*penguins[[#This Row],[Gender]]</f>
        <v>-255.31792271230319</v>
      </c>
      <c r="K56" s="6">
        <f>$V$6+$W$6*penguins[[#This Row],[Culmen Length (mm)]]+penguins[[#This Row],[Culmen Depth (mm)]]*$X$6+$Y$6*penguins[[#This Row],[Flipper Length (mm)]]+penguins[[#This Row],[Body mass (g)]]*$Z$6+$AA$6*penguins[[#This Row],[Gender]]</f>
        <v>-254.20551265901568</v>
      </c>
      <c r="L56" s="6">
        <f>$V$7+$W$7*penguins[[#This Row],[Culmen Length (mm)]]+penguins[[#This Row],[Culmen Depth (mm)]]*$X$7+$Y$7*penguins[[#This Row],[Flipper Length (mm)]]+penguins[[#This Row],[Body mass (g)]]*$Z$7+$AA$7*penguins[[#This Row],[Gender]]</f>
        <v>-253.35179947251555</v>
      </c>
      <c r="M56" s="6">
        <f t="shared" si="6"/>
        <v>8.9408559333172613E-2</v>
      </c>
      <c r="N56" s="6">
        <f t="shared" si="3"/>
        <v>0.27195224278003577</v>
      </c>
      <c r="O56" s="6">
        <f t="shared" si="4"/>
        <v>0.63863919788679169</v>
      </c>
      <c r="P56" s="6">
        <f t="shared" si="5"/>
        <v>-2.4145388594038431</v>
      </c>
    </row>
    <row r="57" spans="1:16" x14ac:dyDescent="0.3">
      <c r="A57">
        <v>355</v>
      </c>
      <c r="B57">
        <v>162</v>
      </c>
      <c r="C57">
        <v>195</v>
      </c>
      <c r="D57">
        <v>3350</v>
      </c>
      <c r="E57">
        <v>0</v>
      </c>
      <c r="F57" s="6" t="s">
        <v>87</v>
      </c>
      <c r="G57" s="6">
        <f t="shared" si="0"/>
        <v>1</v>
      </c>
      <c r="H57" s="6">
        <f t="shared" si="1"/>
        <v>0</v>
      </c>
      <c r="I57" s="6">
        <f t="shared" si="2"/>
        <v>0</v>
      </c>
      <c r="J57" s="6">
        <f>$V$5+$W$5*penguins[[#This Row],[Culmen Length (mm)]]+penguins[[#This Row],[Culmen Depth (mm)]]*$X$5+$Y$5*penguins[[#This Row],[Flipper Length (mm)]]+penguins[[#This Row],[Body mass (g)]]*$Z$5+$AA$5*penguins[[#This Row],[Gender]]</f>
        <v>-213.85068303853311</v>
      </c>
      <c r="K57" s="6">
        <f>$V$6+$W$6*penguins[[#This Row],[Culmen Length (mm)]]+penguins[[#This Row],[Culmen Depth (mm)]]*$X$6+$Y$6*penguins[[#This Row],[Flipper Length (mm)]]+penguins[[#This Row],[Body mass (g)]]*$Z$6+$AA$6*penguins[[#This Row],[Gender]]</f>
        <v>-213.50942797704164</v>
      </c>
      <c r="L57" s="6">
        <f>$V$7+$W$7*penguins[[#This Row],[Culmen Length (mm)]]+penguins[[#This Row],[Culmen Depth (mm)]]*$X$7+$Y$7*penguins[[#This Row],[Flipper Length (mm)]]+penguins[[#This Row],[Body mass (g)]]*$Z$7+$AA$7*penguins[[#This Row],[Gender]]</f>
        <v>-214.3088878165951</v>
      </c>
      <c r="M57" s="6">
        <f t="shared" si="6"/>
        <v>0.32904154024082427</v>
      </c>
      <c r="N57" s="6">
        <f t="shared" si="3"/>
        <v>0.46286668090701361</v>
      </c>
      <c r="O57" s="6">
        <f t="shared" si="4"/>
        <v>0.20809177885216223</v>
      </c>
      <c r="P57" s="6">
        <f t="shared" si="5"/>
        <v>-1.1115712740569921</v>
      </c>
    </row>
    <row r="58" spans="1:16" x14ac:dyDescent="0.3">
      <c r="A58">
        <v>411</v>
      </c>
      <c r="B58">
        <v>191</v>
      </c>
      <c r="C58">
        <v>188</v>
      </c>
      <c r="D58">
        <v>4100</v>
      </c>
      <c r="E58">
        <v>1</v>
      </c>
      <c r="F58" s="6" t="s">
        <v>87</v>
      </c>
      <c r="G58" s="6">
        <f t="shared" si="0"/>
        <v>1</v>
      </c>
      <c r="H58" s="6">
        <f t="shared" si="1"/>
        <v>0</v>
      </c>
      <c r="I58" s="6">
        <f t="shared" si="2"/>
        <v>0</v>
      </c>
      <c r="J58" s="6">
        <f>$V$5+$W$5*penguins[[#This Row],[Culmen Length (mm)]]+penguins[[#This Row],[Culmen Depth (mm)]]*$X$5+$Y$5*penguins[[#This Row],[Flipper Length (mm)]]+penguins[[#This Row],[Body mass (g)]]*$Z$5+$AA$5*penguins[[#This Row],[Gender]]</f>
        <v>-262.25512084922849</v>
      </c>
      <c r="K58" s="6">
        <f>$V$6+$W$6*penguins[[#This Row],[Culmen Length (mm)]]+penguins[[#This Row],[Culmen Depth (mm)]]*$X$6+$Y$6*penguins[[#This Row],[Flipper Length (mm)]]+penguins[[#This Row],[Body mass (g)]]*$Z$6+$AA$6*penguins[[#This Row],[Gender]]</f>
        <v>-262.99720880005555</v>
      </c>
      <c r="L58" s="6">
        <f>$V$7+$W$7*penguins[[#This Row],[Culmen Length (mm)]]+penguins[[#This Row],[Culmen Depth (mm)]]*$X$7+$Y$7*penguins[[#This Row],[Flipper Length (mm)]]+penguins[[#This Row],[Body mass (g)]]*$Z$7+$AA$7*penguins[[#This Row],[Gender]]</f>
        <v>-262.40307990453925</v>
      </c>
      <c r="M58" s="6">
        <f t="shared" si="6"/>
        <v>0.42760896776548085</v>
      </c>
      <c r="N58" s="6">
        <f t="shared" si="3"/>
        <v>0.20359265337944057</v>
      </c>
      <c r="O58" s="6">
        <f t="shared" si="4"/>
        <v>0.36879837885507866</v>
      </c>
      <c r="P58" s="6">
        <f t="shared" si="5"/>
        <v>-0.8495461277277746</v>
      </c>
    </row>
    <row r="59" spans="1:16" x14ac:dyDescent="0.3">
      <c r="A59">
        <v>359</v>
      </c>
      <c r="B59">
        <v>166</v>
      </c>
      <c r="C59">
        <v>190</v>
      </c>
      <c r="D59">
        <v>3050</v>
      </c>
      <c r="E59">
        <v>0</v>
      </c>
      <c r="F59" s="6" t="s">
        <v>87</v>
      </c>
      <c r="G59" s="6">
        <f t="shared" si="0"/>
        <v>1</v>
      </c>
      <c r="H59" s="6">
        <f t="shared" si="1"/>
        <v>0</v>
      </c>
      <c r="I59" s="6">
        <f t="shared" si="2"/>
        <v>0</v>
      </c>
      <c r="J59" s="6">
        <f>$V$5+$W$5*penguins[[#This Row],[Culmen Length (mm)]]+penguins[[#This Row],[Culmen Depth (mm)]]*$X$5+$Y$5*penguins[[#This Row],[Flipper Length (mm)]]+penguins[[#This Row],[Body mass (g)]]*$Z$5+$AA$5*penguins[[#This Row],[Gender]]</f>
        <v>-194.0170403996747</v>
      </c>
      <c r="K59" s="6">
        <f>$V$6+$W$6*penguins[[#This Row],[Culmen Length (mm)]]+penguins[[#This Row],[Culmen Depth (mm)]]*$X$6+$Y$6*penguins[[#This Row],[Flipper Length (mm)]]+penguins[[#This Row],[Body mass (g)]]*$Z$6+$AA$6*penguins[[#This Row],[Gender]]</f>
        <v>-193.549588426654</v>
      </c>
      <c r="L59" s="6">
        <f>$V$7+$W$7*penguins[[#This Row],[Culmen Length (mm)]]+penguins[[#This Row],[Culmen Depth (mm)]]*$X$7+$Y$7*penguins[[#This Row],[Flipper Length (mm)]]+penguins[[#This Row],[Body mass (g)]]*$Z$7+$AA$7*penguins[[#This Row],[Gender]]</f>
        <v>-194.73376427634776</v>
      </c>
      <c r="M59" s="6">
        <f t="shared" si="6"/>
        <v>0.32422561051511162</v>
      </c>
      <c r="N59" s="6">
        <f t="shared" si="3"/>
        <v>0.51743896452611127</v>
      </c>
      <c r="O59" s="6">
        <f t="shared" si="4"/>
        <v>0.15833542495877703</v>
      </c>
      <c r="P59" s="6">
        <f t="shared" si="5"/>
        <v>-1.1263156767638423</v>
      </c>
    </row>
    <row r="60" spans="1:16" x14ac:dyDescent="0.3">
      <c r="A60">
        <v>418</v>
      </c>
      <c r="B60">
        <v>194</v>
      </c>
      <c r="C60">
        <v>198</v>
      </c>
      <c r="D60">
        <v>4450</v>
      </c>
      <c r="E60">
        <v>1</v>
      </c>
      <c r="F60" s="6" t="s">
        <v>87</v>
      </c>
      <c r="G60" s="6">
        <f t="shared" si="0"/>
        <v>1</v>
      </c>
      <c r="H60" s="6">
        <f t="shared" si="1"/>
        <v>0</v>
      </c>
      <c r="I60" s="6">
        <f t="shared" si="2"/>
        <v>0</v>
      </c>
      <c r="J60" s="6">
        <f>$V$5+$W$5*penguins[[#This Row],[Culmen Length (mm)]]+penguins[[#This Row],[Culmen Depth (mm)]]*$X$5+$Y$5*penguins[[#This Row],[Flipper Length (mm)]]+penguins[[#This Row],[Body mass (g)]]*$Z$5+$AA$5*penguins[[#This Row],[Gender]]</f>
        <v>-285.14448507757049</v>
      </c>
      <c r="K60" s="6">
        <f>$V$6+$W$6*penguins[[#This Row],[Culmen Length (mm)]]+penguins[[#This Row],[Culmen Depth (mm)]]*$X$6+$Y$6*penguins[[#This Row],[Flipper Length (mm)]]+penguins[[#This Row],[Body mass (g)]]*$Z$6+$AA$6*penguins[[#This Row],[Gender]]</f>
        <v>-285.99420444461151</v>
      </c>
      <c r="L60" s="6">
        <f>$V$7+$W$7*penguins[[#This Row],[Culmen Length (mm)]]+penguins[[#This Row],[Culmen Depth (mm)]]*$X$7+$Y$7*penguins[[#This Row],[Flipper Length (mm)]]+penguins[[#This Row],[Body mass (g)]]*$Z$7+$AA$7*penguins[[#This Row],[Gender]]</f>
        <v>-285.1083647865326</v>
      </c>
      <c r="M60" s="6">
        <f t="shared" si="6"/>
        <v>0.40579220490696849</v>
      </c>
      <c r="N60" s="6">
        <f t="shared" si="3"/>
        <v>0.17349032791875016</v>
      </c>
      <c r="O60" s="6">
        <f t="shared" si="4"/>
        <v>0.42071746717428143</v>
      </c>
      <c r="P60" s="6">
        <f t="shared" si="5"/>
        <v>-0.9019140609741122</v>
      </c>
    </row>
    <row r="61" spans="1:16" x14ac:dyDescent="0.3">
      <c r="A61">
        <v>335</v>
      </c>
      <c r="B61">
        <v>19</v>
      </c>
      <c r="C61">
        <v>190</v>
      </c>
      <c r="D61">
        <v>3600</v>
      </c>
      <c r="E61">
        <v>0</v>
      </c>
      <c r="F61" s="6" t="s">
        <v>87</v>
      </c>
      <c r="G61" s="6">
        <f t="shared" si="0"/>
        <v>1</v>
      </c>
      <c r="H61" s="6">
        <f t="shared" si="1"/>
        <v>0</v>
      </c>
      <c r="I61" s="6">
        <f t="shared" si="2"/>
        <v>0</v>
      </c>
      <c r="J61" s="6">
        <f>$V$5+$W$5*penguins[[#This Row],[Culmen Length (mm)]]+penguins[[#This Row],[Culmen Depth (mm)]]*$X$5+$Y$5*penguins[[#This Row],[Flipper Length (mm)]]+penguins[[#This Row],[Body mass (g)]]*$Z$5+$AA$5*penguins[[#This Row],[Gender]]</f>
        <v>-232.98050000945972</v>
      </c>
      <c r="K61" s="6">
        <f>$V$6+$W$6*penguins[[#This Row],[Culmen Length (mm)]]+penguins[[#This Row],[Culmen Depth (mm)]]*$X$6+$Y$6*penguins[[#This Row],[Flipper Length (mm)]]+penguins[[#This Row],[Body mass (g)]]*$Z$6+$AA$6*penguins[[#This Row],[Gender]]</f>
        <v>-231.68859234514787</v>
      </c>
      <c r="L61" s="6">
        <f>$V$7+$W$7*penguins[[#This Row],[Culmen Length (mm)]]+penguins[[#This Row],[Culmen Depth (mm)]]*$X$7+$Y$7*penguins[[#This Row],[Flipper Length (mm)]]+penguins[[#This Row],[Body mass (g)]]*$Z$7+$AA$7*penguins[[#This Row],[Gender]]</f>
        <v>-231.33630699053313</v>
      </c>
      <c r="M61" s="6">
        <f t="shared" si="6"/>
        <v>0.10186874210101465</v>
      </c>
      <c r="N61" s="6">
        <f t="shared" si="3"/>
        <v>0.37077403492169314</v>
      </c>
      <c r="O61" s="6">
        <f t="shared" si="4"/>
        <v>0.52735722297729215</v>
      </c>
      <c r="P61" s="6">
        <f t="shared" si="5"/>
        <v>-2.2840701365371436</v>
      </c>
    </row>
    <row r="62" spans="1:16" x14ac:dyDescent="0.3">
      <c r="A62">
        <v>397</v>
      </c>
      <c r="B62">
        <v>184</v>
      </c>
      <c r="C62">
        <v>190</v>
      </c>
      <c r="D62">
        <v>3900</v>
      </c>
      <c r="E62">
        <v>1</v>
      </c>
      <c r="F62" s="6" t="s">
        <v>87</v>
      </c>
      <c r="G62" s="6">
        <f t="shared" si="0"/>
        <v>1</v>
      </c>
      <c r="H62" s="6">
        <f t="shared" si="1"/>
        <v>0</v>
      </c>
      <c r="I62" s="6">
        <f t="shared" si="2"/>
        <v>0</v>
      </c>
      <c r="J62" s="6">
        <f>$V$5+$W$5*penguins[[#This Row],[Culmen Length (mm)]]+penguins[[#This Row],[Culmen Depth (mm)]]*$X$5+$Y$5*penguins[[#This Row],[Flipper Length (mm)]]+penguins[[#This Row],[Body mass (g)]]*$Z$5+$AA$5*penguins[[#This Row],[Gender]]</f>
        <v>-249.31864049525106</v>
      </c>
      <c r="K62" s="6">
        <f>$V$6+$W$6*penguins[[#This Row],[Culmen Length (mm)]]+penguins[[#This Row],[Culmen Depth (mm)]]*$X$6+$Y$6*penguins[[#This Row],[Flipper Length (mm)]]+penguins[[#This Row],[Body mass (g)]]*$Z$6+$AA$6*penguins[[#This Row],[Gender]]</f>
        <v>-249.75656026340741</v>
      </c>
      <c r="L62" s="6">
        <f>$V$7+$W$7*penguins[[#This Row],[Culmen Length (mm)]]+penguins[[#This Row],[Culmen Depth (mm)]]*$X$7+$Y$7*penguins[[#This Row],[Flipper Length (mm)]]+penguins[[#This Row],[Body mass (g)]]*$Z$7+$AA$7*penguins[[#This Row],[Gender]]</f>
        <v>-249.59108715206054</v>
      </c>
      <c r="M62" s="6">
        <f t="shared" si="6"/>
        <v>0.41547363234959656</v>
      </c>
      <c r="N62" s="6">
        <f t="shared" si="3"/>
        <v>0.26813735934426236</v>
      </c>
      <c r="O62" s="6">
        <f t="shared" si="4"/>
        <v>0.31638900830614103</v>
      </c>
      <c r="P62" s="6">
        <f t="shared" si="5"/>
        <v>-0.87833612674941408</v>
      </c>
    </row>
    <row r="63" spans="1:16" x14ac:dyDescent="0.3">
      <c r="A63">
        <v>396</v>
      </c>
      <c r="B63">
        <v>172</v>
      </c>
      <c r="C63">
        <v>196</v>
      </c>
      <c r="D63">
        <v>3550</v>
      </c>
      <c r="E63">
        <v>0</v>
      </c>
      <c r="F63" s="6" t="s">
        <v>87</v>
      </c>
      <c r="G63" s="6">
        <f t="shared" si="0"/>
        <v>1</v>
      </c>
      <c r="H63" s="6">
        <f t="shared" si="1"/>
        <v>0</v>
      </c>
      <c r="I63" s="6">
        <f t="shared" si="2"/>
        <v>0</v>
      </c>
      <c r="J63" s="6">
        <f>$V$5+$W$5*penguins[[#This Row],[Culmen Length (mm)]]+penguins[[#This Row],[Culmen Depth (mm)]]*$X$5+$Y$5*penguins[[#This Row],[Flipper Length (mm)]]+penguins[[#This Row],[Body mass (g)]]*$Z$5+$AA$5*penguins[[#This Row],[Gender]]</f>
        <v>-226.49307772754904</v>
      </c>
      <c r="K63" s="6">
        <f>$V$6+$W$6*penguins[[#This Row],[Culmen Length (mm)]]+penguins[[#This Row],[Culmen Depth (mm)]]*$X$6+$Y$6*penguins[[#This Row],[Flipper Length (mm)]]+penguins[[#This Row],[Body mass (g)]]*$Z$6+$AA$6*penguins[[#This Row],[Gender]]</f>
        <v>-226.39736019467321</v>
      </c>
      <c r="L63" s="6">
        <f>$V$7+$W$7*penguins[[#This Row],[Culmen Length (mm)]]+penguins[[#This Row],[Culmen Depth (mm)]]*$X$7+$Y$7*penguins[[#This Row],[Flipper Length (mm)]]+penguins[[#This Row],[Body mass (g)]]*$Z$7+$AA$7*penguins[[#This Row],[Gender]]</f>
        <v>-226.84452856268774</v>
      </c>
      <c r="M63" s="6">
        <f t="shared" si="6"/>
        <v>0.35661880270068091</v>
      </c>
      <c r="N63" s="6">
        <f t="shared" si="3"/>
        <v>0.39244051226311338</v>
      </c>
      <c r="O63" s="6">
        <f t="shared" si="4"/>
        <v>0.25094068503620565</v>
      </c>
      <c r="P63" s="6">
        <f t="shared" si="5"/>
        <v>-1.031087847235131</v>
      </c>
    </row>
    <row r="64" spans="1:16" x14ac:dyDescent="0.3">
      <c r="A64">
        <v>458</v>
      </c>
      <c r="B64">
        <v>189</v>
      </c>
      <c r="C64">
        <v>197</v>
      </c>
      <c r="D64">
        <v>4150</v>
      </c>
      <c r="E64">
        <v>1</v>
      </c>
      <c r="F64" s="6" t="s">
        <v>87</v>
      </c>
      <c r="G64" s="6">
        <f t="shared" si="0"/>
        <v>1</v>
      </c>
      <c r="H64" s="6">
        <f t="shared" si="1"/>
        <v>0</v>
      </c>
      <c r="I64" s="6">
        <f t="shared" si="2"/>
        <v>0</v>
      </c>
      <c r="J64" s="6">
        <f>$V$5+$W$5*penguins[[#This Row],[Culmen Length (mm)]]+penguins[[#This Row],[Culmen Depth (mm)]]*$X$5+$Y$5*penguins[[#This Row],[Flipper Length (mm)]]+penguins[[#This Row],[Body mass (g)]]*$Z$5+$AA$5*penguins[[#This Row],[Gender]]</f>
        <v>-265.14404851551308</v>
      </c>
      <c r="K64" s="6">
        <f>$V$6+$W$6*penguins[[#This Row],[Culmen Length (mm)]]+penguins[[#This Row],[Culmen Depth (mm)]]*$X$6+$Y$6*penguins[[#This Row],[Flipper Length (mm)]]+penguins[[#This Row],[Body mass (g)]]*$Z$6+$AA$6*penguins[[#This Row],[Gender]]</f>
        <v>-265.66874709216887</v>
      </c>
      <c r="L64" s="6">
        <f>$V$7+$W$7*penguins[[#This Row],[Culmen Length (mm)]]+penguins[[#This Row],[Culmen Depth (mm)]]*$X$7+$Y$7*penguins[[#This Row],[Flipper Length (mm)]]+penguins[[#This Row],[Body mass (g)]]*$Z$7+$AA$7*penguins[[#This Row],[Gender]]</f>
        <v>-265.2194353778811</v>
      </c>
      <c r="M64" s="6">
        <f t="shared" si="6"/>
        <v>0.39696427973430759</v>
      </c>
      <c r="N64" s="6">
        <f t="shared" si="3"/>
        <v>0.23489714195107081</v>
      </c>
      <c r="O64" s="6">
        <f t="shared" si="4"/>
        <v>0.36813857831462166</v>
      </c>
      <c r="P64" s="6">
        <f t="shared" si="5"/>
        <v>-0.92390897782331649</v>
      </c>
    </row>
    <row r="65" spans="1:16" x14ac:dyDescent="0.3">
      <c r="A65">
        <v>355</v>
      </c>
      <c r="B65">
        <v>175</v>
      </c>
      <c r="C65">
        <v>190</v>
      </c>
      <c r="D65">
        <v>3700</v>
      </c>
      <c r="E65">
        <v>0</v>
      </c>
      <c r="F65" s="6" t="s">
        <v>87</v>
      </c>
      <c r="G65" s="6">
        <f t="shared" si="0"/>
        <v>1</v>
      </c>
      <c r="H65" s="6">
        <f t="shared" si="1"/>
        <v>0</v>
      </c>
      <c r="I65" s="6">
        <f t="shared" si="2"/>
        <v>0</v>
      </c>
      <c r="J65" s="6">
        <f>$V$5+$W$5*penguins[[#This Row],[Culmen Length (mm)]]+penguins[[#This Row],[Culmen Depth (mm)]]*$X$5+$Y$5*penguins[[#This Row],[Flipper Length (mm)]]+penguins[[#This Row],[Body mass (g)]]*$Z$5+$AA$5*penguins[[#This Row],[Gender]]</f>
        <v>-236.69091827486983</v>
      </c>
      <c r="K65" s="6">
        <f>$V$6+$W$6*penguins[[#This Row],[Culmen Length (mm)]]+penguins[[#This Row],[Culmen Depth (mm)]]*$X$6+$Y$6*penguins[[#This Row],[Flipper Length (mm)]]+penguins[[#This Row],[Body mass (g)]]*$Z$6+$AA$6*penguins[[#This Row],[Gender]]</f>
        <v>-236.93613605700367</v>
      </c>
      <c r="L65" s="6">
        <f>$V$7+$W$7*penguins[[#This Row],[Culmen Length (mm)]]+penguins[[#This Row],[Culmen Depth (mm)]]*$X$7+$Y$7*penguins[[#This Row],[Flipper Length (mm)]]+penguins[[#This Row],[Body mass (g)]]*$Z$7+$AA$7*penguins[[#This Row],[Gender]]</f>
        <v>-236.97193134270103</v>
      </c>
      <c r="M65" s="6">
        <f t="shared" si="6"/>
        <v>0.39408050620237223</v>
      </c>
      <c r="N65" s="6">
        <f t="shared" si="3"/>
        <v>0.30838143335700641</v>
      </c>
      <c r="O65" s="6">
        <f t="shared" si="4"/>
        <v>0.29753806044062142</v>
      </c>
      <c r="P65" s="6">
        <f t="shared" si="5"/>
        <v>-0.9312000600939554</v>
      </c>
    </row>
    <row r="66" spans="1:16" x14ac:dyDescent="0.3">
      <c r="A66">
        <v>428</v>
      </c>
      <c r="B66">
        <v>185</v>
      </c>
      <c r="C66">
        <v>195</v>
      </c>
      <c r="D66">
        <v>4250</v>
      </c>
      <c r="E66">
        <v>1</v>
      </c>
      <c r="F66" s="6" t="s">
        <v>87</v>
      </c>
      <c r="G66" s="6">
        <f t="shared" si="0"/>
        <v>1</v>
      </c>
      <c r="H66" s="6">
        <f t="shared" si="1"/>
        <v>0</v>
      </c>
      <c r="I66" s="6">
        <f t="shared" si="2"/>
        <v>0</v>
      </c>
      <c r="J66" s="6">
        <f>$V$5+$W$5*penguins[[#This Row],[Culmen Length (mm)]]+penguins[[#This Row],[Culmen Depth (mm)]]*$X$5+$Y$5*penguins[[#This Row],[Flipper Length (mm)]]+penguins[[#This Row],[Body mass (g)]]*$Z$5+$AA$5*penguins[[#This Row],[Gender]]</f>
        <v>-272.06059437638964</v>
      </c>
      <c r="K66" s="6">
        <f>$V$6+$W$6*penguins[[#This Row],[Culmen Length (mm)]]+penguins[[#This Row],[Culmen Depth (mm)]]*$X$6+$Y$6*penguins[[#This Row],[Flipper Length (mm)]]+penguins[[#This Row],[Body mass (g)]]*$Z$6+$AA$6*penguins[[#This Row],[Gender]]</f>
        <v>-272.70673054399401</v>
      </c>
      <c r="L66" s="6">
        <f>$V$7+$W$7*penguins[[#This Row],[Culmen Length (mm)]]+penguins[[#This Row],[Culmen Depth (mm)]]*$X$7+$Y$7*penguins[[#This Row],[Flipper Length (mm)]]+penguins[[#This Row],[Body mass (g)]]*$Z$7+$AA$7*penguins[[#This Row],[Gender]]</f>
        <v>-272.03338567832054</v>
      </c>
      <c r="M66" s="6">
        <f t="shared" si="6"/>
        <v>0.39190343019313562</v>
      </c>
      <c r="N66" s="6">
        <f t="shared" si="3"/>
        <v>0.20538356717726561</v>
      </c>
      <c r="O66" s="6">
        <f t="shared" si="4"/>
        <v>0.40271300262959869</v>
      </c>
      <c r="P66" s="6">
        <f t="shared" si="5"/>
        <v>-0.93673982108932508</v>
      </c>
    </row>
    <row r="67" spans="1:16" x14ac:dyDescent="0.3">
      <c r="A67">
        <v>409</v>
      </c>
      <c r="B67">
        <v>168</v>
      </c>
      <c r="C67">
        <v>191</v>
      </c>
      <c r="D67">
        <v>3700</v>
      </c>
      <c r="E67">
        <v>0</v>
      </c>
      <c r="F67" s="6" t="s">
        <v>87</v>
      </c>
      <c r="G67" s="6">
        <f t="shared" si="0"/>
        <v>1</v>
      </c>
      <c r="H67" s="6">
        <f t="shared" si="1"/>
        <v>0</v>
      </c>
      <c r="I67" s="6">
        <f t="shared" si="2"/>
        <v>0</v>
      </c>
      <c r="J67" s="6">
        <f>$V$5+$W$5*penguins[[#This Row],[Culmen Length (mm)]]+penguins[[#This Row],[Culmen Depth (mm)]]*$X$5+$Y$5*penguins[[#This Row],[Flipper Length (mm)]]+penguins[[#This Row],[Body mass (g)]]*$Z$5+$AA$5*penguins[[#This Row],[Gender]]</f>
        <v>-236.34966393104824</v>
      </c>
      <c r="K67" s="6">
        <f>$V$6+$W$6*penguins[[#This Row],[Culmen Length (mm)]]+penguins[[#This Row],[Culmen Depth (mm)]]*$X$6+$Y$6*penguins[[#This Row],[Flipper Length (mm)]]+penguins[[#This Row],[Body mass (g)]]*$Z$6+$AA$6*penguins[[#This Row],[Gender]]</f>
        <v>-236.48480416163937</v>
      </c>
      <c r="L67" s="6">
        <f>$V$7+$W$7*penguins[[#This Row],[Culmen Length (mm)]]+penguins[[#This Row],[Culmen Depth (mm)]]*$X$7+$Y$7*penguins[[#This Row],[Flipper Length (mm)]]+penguins[[#This Row],[Body mass (g)]]*$Z$7+$AA$7*penguins[[#This Row],[Gender]]</f>
        <v>-236.44978455565101</v>
      </c>
      <c r="M67" s="6">
        <f t="shared" si="6"/>
        <v>0.35992952438971093</v>
      </c>
      <c r="N67" s="6">
        <f t="shared" si="3"/>
        <v>0.31443205646071032</v>
      </c>
      <c r="O67" s="6">
        <f t="shared" si="4"/>
        <v>0.32563841914957881</v>
      </c>
      <c r="P67" s="6">
        <f t="shared" si="5"/>
        <v>-1.021847032280701</v>
      </c>
    </row>
    <row r="68" spans="1:16" x14ac:dyDescent="0.3">
      <c r="A68">
        <v>372</v>
      </c>
      <c r="B68">
        <v>194</v>
      </c>
      <c r="C68">
        <v>184</v>
      </c>
      <c r="D68">
        <v>3900</v>
      </c>
      <c r="E68">
        <v>1</v>
      </c>
      <c r="F68" s="6" t="s">
        <v>87</v>
      </c>
      <c r="G68" s="6">
        <f t="shared" ref="G68:G131" si="18">IF(F68="Emperor Penguin",1,0)</f>
        <v>1</v>
      </c>
      <c r="H68" s="6">
        <f t="shared" ref="H68:H131" si="19">IF(F68="King Penguin",1,0)</f>
        <v>0</v>
      </c>
      <c r="I68" s="6">
        <f t="shared" ref="I68:I131" si="20">IF(F68="Little Penguin",1,0)</f>
        <v>0</v>
      </c>
      <c r="J68" s="6">
        <f>$V$5+$W$5*penguins[[#This Row],[Culmen Length (mm)]]+penguins[[#This Row],[Culmen Depth (mm)]]*$X$5+$Y$5*penguins[[#This Row],[Flipper Length (mm)]]+penguins[[#This Row],[Body mass (g)]]*$Z$5+$AA$5*penguins[[#This Row],[Gender]]</f>
        <v>-249.38339123560783</v>
      </c>
      <c r="K68" s="6">
        <f>$V$6+$W$6*penguins[[#This Row],[Culmen Length (mm)]]+penguins[[#This Row],[Culmen Depth (mm)]]*$X$6+$Y$6*penguins[[#This Row],[Flipper Length (mm)]]+penguins[[#This Row],[Body mass (g)]]*$Z$6+$AA$6*penguins[[#This Row],[Gender]]</f>
        <v>-250.07656747606518</v>
      </c>
      <c r="L68" s="6">
        <f>$V$7+$W$7*penguins[[#This Row],[Culmen Length (mm)]]+penguins[[#This Row],[Culmen Depth (mm)]]*$X$7+$Y$7*penguins[[#This Row],[Flipper Length (mm)]]+penguins[[#This Row],[Body mass (g)]]*$Z$7+$AA$7*penguins[[#This Row],[Gender]]</f>
        <v>-249.77770444693991</v>
      </c>
      <c r="M68" s="6">
        <f t="shared" ref="M68:M131" si="21">EXP(J68)/(EXP(J68)+EXP(K68)+EXP(L68))</f>
        <v>0.4599544468693329</v>
      </c>
      <c r="N68" s="6">
        <f t="shared" ref="N68:N131" si="22">EXP(K68)/(EXP(J68)+EXP(K68)+EXP(L68))</f>
        <v>0.22997054041725296</v>
      </c>
      <c r="O68" s="6">
        <f t="shared" ref="O68:O131" si="23">EXP(L68)/(EXP(J68)+EXP(K68)+EXP(L68))</f>
        <v>0.3100750127134142</v>
      </c>
      <c r="P68" s="6">
        <f t="shared" ref="P68:P131" si="24">(1-H68-I68)*LN(M68)+I68*LN(O68)+H68*LN(N68)</f>
        <v>-0.77662782294757493</v>
      </c>
    </row>
    <row r="69" spans="1:16" x14ac:dyDescent="0.3">
      <c r="A69">
        <v>362</v>
      </c>
      <c r="B69">
        <v>161</v>
      </c>
      <c r="C69">
        <v>187</v>
      </c>
      <c r="D69">
        <v>3550</v>
      </c>
      <c r="E69">
        <v>0</v>
      </c>
      <c r="F69" s="6" t="s">
        <v>87</v>
      </c>
      <c r="G69" s="6">
        <f t="shared" si="18"/>
        <v>1</v>
      </c>
      <c r="H69" s="6">
        <f t="shared" si="19"/>
        <v>0</v>
      </c>
      <c r="I69" s="6">
        <f t="shared" si="20"/>
        <v>0</v>
      </c>
      <c r="J69" s="6">
        <f>$V$5+$W$5*penguins[[#This Row],[Culmen Length (mm)]]+penguins[[#This Row],[Culmen Depth (mm)]]*$X$5+$Y$5*penguins[[#This Row],[Flipper Length (mm)]]+penguins[[#This Row],[Body mass (g)]]*$Z$5+$AA$5*penguins[[#This Row],[Gender]]</f>
        <v>-227.01114230901769</v>
      </c>
      <c r="K69" s="6">
        <f>$V$6+$W$6*penguins[[#This Row],[Culmen Length (mm)]]+penguins[[#This Row],[Culmen Depth (mm)]]*$X$6+$Y$6*penguins[[#This Row],[Flipper Length (mm)]]+penguins[[#This Row],[Body mass (g)]]*$Z$6+$AA$6*penguins[[#This Row],[Gender]]</f>
        <v>-227.05574328957175</v>
      </c>
      <c r="L69" s="6">
        <f>$V$7+$W$7*penguins[[#This Row],[Culmen Length (mm)]]+penguins[[#This Row],[Culmen Depth (mm)]]*$X$7+$Y$7*penguins[[#This Row],[Flipper Length (mm)]]+penguins[[#This Row],[Body mass (g)]]*$Z$7+$AA$7*penguins[[#This Row],[Gender]]</f>
        <v>-227.19771834539256</v>
      </c>
      <c r="M69" s="6">
        <f t="shared" si="21"/>
        <v>0.35891506636860443</v>
      </c>
      <c r="N69" s="6">
        <f t="shared" si="22"/>
        <v>0.34325883926959883</v>
      </c>
      <c r="O69" s="6">
        <f t="shared" si="23"/>
        <v>0.2978260943617968</v>
      </c>
      <c r="P69" s="6">
        <f t="shared" si="24"/>
        <v>-1.0246695024157153</v>
      </c>
    </row>
    <row r="70" spans="1:16" x14ac:dyDescent="0.3">
      <c r="A70">
        <v>421</v>
      </c>
      <c r="B70">
        <v>191</v>
      </c>
      <c r="C70">
        <v>195</v>
      </c>
      <c r="D70">
        <v>4000</v>
      </c>
      <c r="E70">
        <v>1</v>
      </c>
      <c r="F70" s="6" t="s">
        <v>87</v>
      </c>
      <c r="G70" s="6">
        <f t="shared" si="18"/>
        <v>1</v>
      </c>
      <c r="H70" s="6">
        <f t="shared" si="19"/>
        <v>0</v>
      </c>
      <c r="I70" s="6">
        <f t="shared" si="20"/>
        <v>0</v>
      </c>
      <c r="J70" s="6">
        <f>$V$5+$W$5*penguins[[#This Row],[Culmen Length (mm)]]+penguins[[#This Row],[Culmen Depth (mm)]]*$X$5+$Y$5*penguins[[#This Row],[Flipper Length (mm)]]+penguins[[#This Row],[Body mass (g)]]*$Z$5+$AA$5*penguins[[#This Row],[Gender]]</f>
        <v>-255.55603403573835</v>
      </c>
      <c r="K70" s="6">
        <f>$V$6+$W$6*penguins[[#This Row],[Culmen Length (mm)]]+penguins[[#This Row],[Culmen Depth (mm)]]*$X$6+$Y$6*penguins[[#This Row],[Flipper Length (mm)]]+penguins[[#This Row],[Body mass (g)]]*$Z$6+$AA$6*penguins[[#This Row],[Gender]]</f>
        <v>-256.01896712128712</v>
      </c>
      <c r="L70" s="6">
        <f>$V$7+$W$7*penguins[[#This Row],[Culmen Length (mm)]]+penguins[[#This Row],[Culmen Depth (mm)]]*$X$7+$Y$7*penguins[[#This Row],[Flipper Length (mm)]]+penguins[[#This Row],[Body mass (g)]]*$Z$7+$AA$7*penguins[[#This Row],[Gender]]</f>
        <v>-255.83613027640925</v>
      </c>
      <c r="M70" s="6">
        <f t="shared" si="21"/>
        <v>0.41926158893257415</v>
      </c>
      <c r="N70" s="6">
        <f t="shared" si="22"/>
        <v>0.26389781315438243</v>
      </c>
      <c r="O70" s="6">
        <f t="shared" si="23"/>
        <v>0.31684059791304348</v>
      </c>
      <c r="P70" s="6">
        <f t="shared" si="24"/>
        <v>-0.86926023660343155</v>
      </c>
    </row>
    <row r="71" spans="1:16" x14ac:dyDescent="0.3">
      <c r="A71">
        <v>346</v>
      </c>
      <c r="B71">
        <v>172</v>
      </c>
      <c r="C71">
        <v>189</v>
      </c>
      <c r="D71">
        <v>3200</v>
      </c>
      <c r="E71">
        <v>0</v>
      </c>
      <c r="F71" s="6" t="s">
        <v>87</v>
      </c>
      <c r="G71" s="6">
        <f t="shared" si="18"/>
        <v>1</v>
      </c>
      <c r="H71" s="6">
        <f t="shared" si="19"/>
        <v>0</v>
      </c>
      <c r="I71" s="6">
        <f t="shared" si="20"/>
        <v>0</v>
      </c>
      <c r="J71" s="6">
        <f>$V$5+$W$5*penguins[[#This Row],[Culmen Length (mm)]]+penguins[[#This Row],[Culmen Depth (mm)]]*$X$5+$Y$5*penguins[[#This Row],[Flipper Length (mm)]]+penguins[[#This Row],[Body mass (g)]]*$Z$5+$AA$5*penguins[[#This Row],[Gender]]</f>
        <v>-203.90367028556025</v>
      </c>
      <c r="K71" s="6">
        <f>$V$6+$W$6*penguins[[#This Row],[Culmen Length (mm)]]+penguins[[#This Row],[Culmen Depth (mm)]]*$X$6+$Y$6*penguins[[#This Row],[Flipper Length (mm)]]+penguins[[#This Row],[Body mass (g)]]*$Z$6+$AA$6*penguins[[#This Row],[Gender]]</f>
        <v>-203.66702764488082</v>
      </c>
      <c r="L71" s="6">
        <f>$V$7+$W$7*penguins[[#This Row],[Culmen Length (mm)]]+penguins[[#This Row],[Culmen Depth (mm)]]*$X$7+$Y$7*penguins[[#This Row],[Flipper Length (mm)]]+penguins[[#This Row],[Body mass (g)]]*$Z$7+$AA$7*penguins[[#This Row],[Gender]]</f>
        <v>-204.5841538043488</v>
      </c>
      <c r="M71" s="6">
        <f t="shared" si="21"/>
        <v>0.36057340927933379</v>
      </c>
      <c r="N71" s="6">
        <f t="shared" si="22"/>
        <v>0.45684227887650586</v>
      </c>
      <c r="O71" s="6">
        <f t="shared" si="23"/>
        <v>0.18258431184416024</v>
      </c>
      <c r="P71" s="6">
        <f t="shared" si="24"/>
        <v>-1.0200597111444707</v>
      </c>
    </row>
    <row r="72" spans="1:16" x14ac:dyDescent="0.3">
      <c r="A72">
        <v>429</v>
      </c>
      <c r="B72">
        <v>176</v>
      </c>
      <c r="C72">
        <v>196</v>
      </c>
      <c r="D72">
        <v>4700</v>
      </c>
      <c r="E72">
        <v>1</v>
      </c>
      <c r="F72" s="6" t="s">
        <v>87</v>
      </c>
      <c r="G72" s="6">
        <f t="shared" si="18"/>
        <v>1</v>
      </c>
      <c r="H72" s="6">
        <f t="shared" si="19"/>
        <v>0</v>
      </c>
      <c r="I72" s="6">
        <f t="shared" si="20"/>
        <v>0</v>
      </c>
      <c r="J72" s="6">
        <f>$V$5+$W$5*penguins[[#This Row],[Culmen Length (mm)]]+penguins[[#This Row],[Culmen Depth (mm)]]*$X$5+$Y$5*penguins[[#This Row],[Flipper Length (mm)]]+penguins[[#This Row],[Body mass (g)]]*$Z$5+$AA$5*penguins[[#This Row],[Gender]]</f>
        <v>-301.83172677726066</v>
      </c>
      <c r="K72" s="6">
        <f>$V$6+$W$6*penguins[[#This Row],[Culmen Length (mm)]]+penguins[[#This Row],[Culmen Depth (mm)]]*$X$6+$Y$6*penguins[[#This Row],[Flipper Length (mm)]]+penguins[[#This Row],[Body mass (g)]]*$Z$6+$AA$6*penguins[[#This Row],[Gender]]</f>
        <v>-302.80296584259969</v>
      </c>
      <c r="L72" s="6">
        <f>$V$7+$W$7*penguins[[#This Row],[Culmen Length (mm)]]+penguins[[#This Row],[Culmen Depth (mm)]]*$X$7+$Y$7*penguins[[#This Row],[Flipper Length (mm)]]+penguins[[#This Row],[Body mass (g)]]*$Z$7+$AA$7*penguins[[#This Row],[Gender]]</f>
        <v>-301.30522130136706</v>
      </c>
      <c r="M72" s="6">
        <f t="shared" si="21"/>
        <v>0.32556117553541719</v>
      </c>
      <c r="N72" s="6">
        <f t="shared" si="22"/>
        <v>0.12326189530834605</v>
      </c>
      <c r="O72" s="6">
        <f t="shared" si="23"/>
        <v>0.55117692915623673</v>
      </c>
      <c r="P72" s="6">
        <f t="shared" si="24"/>
        <v>-1.1222048917194665</v>
      </c>
    </row>
    <row r="73" spans="1:16" x14ac:dyDescent="0.3">
      <c r="A73">
        <v>367</v>
      </c>
      <c r="B73">
        <v>188</v>
      </c>
      <c r="C73">
        <v>187</v>
      </c>
      <c r="D73">
        <v>3800</v>
      </c>
      <c r="E73">
        <v>0</v>
      </c>
      <c r="F73" s="6" t="s">
        <v>87</v>
      </c>
      <c r="G73" s="6">
        <f t="shared" si="18"/>
        <v>1</v>
      </c>
      <c r="H73" s="6">
        <f t="shared" si="19"/>
        <v>0</v>
      </c>
      <c r="I73" s="6">
        <f t="shared" si="20"/>
        <v>0</v>
      </c>
      <c r="J73" s="6">
        <f>$V$5+$W$5*penguins[[#This Row],[Culmen Length (mm)]]+penguins[[#This Row],[Culmen Depth (mm)]]*$X$5+$Y$5*penguins[[#This Row],[Flipper Length (mm)]]+penguins[[#This Row],[Body mass (g)]]*$Z$5+$AA$5*penguins[[#This Row],[Gender]]</f>
        <v>-242.96070838400146</v>
      </c>
      <c r="K73" s="6">
        <f>$V$6+$W$6*penguins[[#This Row],[Culmen Length (mm)]]+penguins[[#This Row],[Culmen Depth (mm)]]*$X$6+$Y$6*penguins[[#This Row],[Flipper Length (mm)]]+penguins[[#This Row],[Body mass (g)]]*$Z$6+$AA$6*penguins[[#This Row],[Gender]]</f>
        <v>-243.49550091550313</v>
      </c>
      <c r="L73" s="6">
        <f>$V$7+$W$7*penguins[[#This Row],[Culmen Length (mm)]]+penguins[[#This Row],[Culmen Depth (mm)]]*$X$7+$Y$7*penguins[[#This Row],[Flipper Length (mm)]]+penguins[[#This Row],[Body mass (g)]]*$Z$7+$AA$7*penguins[[#This Row],[Gender]]</f>
        <v>-243.27682011183759</v>
      </c>
      <c r="M73" s="6">
        <f t="shared" si="21"/>
        <v>0.43200858592968716</v>
      </c>
      <c r="N73" s="6">
        <f t="shared" si="22"/>
        <v>0.25306665977175746</v>
      </c>
      <c r="O73" s="6">
        <f t="shared" si="23"/>
        <v>0.31492475429855549</v>
      </c>
      <c r="P73" s="6">
        <f t="shared" si="24"/>
        <v>-0.83930981609828992</v>
      </c>
    </row>
    <row r="74" spans="1:16" x14ac:dyDescent="0.3">
      <c r="A74">
        <v>351</v>
      </c>
      <c r="B74">
        <v>194</v>
      </c>
      <c r="C74">
        <v>193</v>
      </c>
      <c r="D74">
        <v>4200</v>
      </c>
      <c r="E74">
        <v>1</v>
      </c>
      <c r="F74" s="6" t="s">
        <v>87</v>
      </c>
      <c r="G74" s="6">
        <f t="shared" si="18"/>
        <v>1</v>
      </c>
      <c r="H74" s="6">
        <f t="shared" si="19"/>
        <v>0</v>
      </c>
      <c r="I74" s="6">
        <f t="shared" si="20"/>
        <v>0</v>
      </c>
      <c r="J74" s="6">
        <f>$V$5+$W$5*penguins[[#This Row],[Culmen Length (mm)]]+penguins[[#This Row],[Culmen Depth (mm)]]*$X$5+$Y$5*penguins[[#This Row],[Flipper Length (mm)]]+penguins[[#This Row],[Body mass (g)]]*$Z$5+$AA$5*penguins[[#This Row],[Gender]]</f>
        <v>-269.27469465337015</v>
      </c>
      <c r="K74" s="6">
        <f>$V$6+$W$6*penguins[[#This Row],[Culmen Length (mm)]]+penguins[[#This Row],[Culmen Depth (mm)]]*$X$6+$Y$6*penguins[[#This Row],[Flipper Length (mm)]]+penguins[[#This Row],[Body mass (g)]]*$Z$6+$AA$6*penguins[[#This Row],[Gender]]</f>
        <v>-270.03507730010233</v>
      </c>
      <c r="L74" s="6">
        <f>$V$7+$W$7*penguins[[#This Row],[Culmen Length (mm)]]+penguins[[#This Row],[Culmen Depth (mm)]]*$X$7+$Y$7*penguins[[#This Row],[Flipper Length (mm)]]+penguins[[#This Row],[Body mass (g)]]*$Z$7+$AA$7*penguins[[#This Row],[Gender]]</f>
        <v>-269.53045711522697</v>
      </c>
      <c r="M74" s="6">
        <f t="shared" si="21"/>
        <v>0.44606745809675141</v>
      </c>
      <c r="N74" s="6">
        <f t="shared" si="22"/>
        <v>0.20853096537269619</v>
      </c>
      <c r="O74" s="6">
        <f t="shared" si="23"/>
        <v>0.34540157653055237</v>
      </c>
      <c r="P74" s="6">
        <f t="shared" si="24"/>
        <v>-0.80728508706139568</v>
      </c>
    </row>
    <row r="75" spans="1:16" x14ac:dyDescent="0.3">
      <c r="A75">
        <v>373</v>
      </c>
      <c r="B75">
        <v>178</v>
      </c>
      <c r="C75">
        <v>191</v>
      </c>
      <c r="D75">
        <v>3350</v>
      </c>
      <c r="E75">
        <v>0</v>
      </c>
      <c r="F75" s="6" t="s">
        <v>87</v>
      </c>
      <c r="G75" s="6">
        <f t="shared" si="18"/>
        <v>1</v>
      </c>
      <c r="H75" s="6">
        <f t="shared" si="19"/>
        <v>0</v>
      </c>
      <c r="I75" s="6">
        <f t="shared" si="20"/>
        <v>0</v>
      </c>
      <c r="J75" s="6">
        <f>$V$5+$W$5*penguins[[#This Row],[Culmen Length (mm)]]+penguins[[#This Row],[Culmen Depth (mm)]]*$X$5+$Y$5*penguins[[#This Row],[Flipper Length (mm)]]+penguins[[#This Row],[Body mass (g)]]*$Z$5+$AA$5*penguins[[#This Row],[Gender]]</f>
        <v>-213.43788932851206</v>
      </c>
      <c r="K75" s="6">
        <f>$V$6+$W$6*penguins[[#This Row],[Culmen Length (mm)]]+penguins[[#This Row],[Culmen Depth (mm)]]*$X$6+$Y$6*penguins[[#This Row],[Flipper Length (mm)]]+penguins[[#This Row],[Body mass (g)]]*$Z$6+$AA$6*penguins[[#This Row],[Gender]]</f>
        <v>-213.34087769789787</v>
      </c>
      <c r="L75" s="6">
        <f>$V$7+$W$7*penguins[[#This Row],[Culmen Length (mm)]]+penguins[[#This Row],[Culmen Depth (mm)]]*$X$7+$Y$7*penguins[[#This Row],[Flipper Length (mm)]]+penguins[[#This Row],[Body mass (g)]]*$Z$7+$AA$7*penguins[[#This Row],[Gender]]</f>
        <v>-214.03685729238842</v>
      </c>
      <c r="M75" s="6">
        <f t="shared" si="21"/>
        <v>0.37718036025120549</v>
      </c>
      <c r="N75" s="6">
        <f t="shared" si="22"/>
        <v>0.41560492638134544</v>
      </c>
      <c r="O75" s="6">
        <f t="shared" si="23"/>
        <v>0.20721471336744909</v>
      </c>
      <c r="P75" s="6">
        <f t="shared" si="24"/>
        <v>-0.97503179678090901</v>
      </c>
    </row>
    <row r="76" spans="1:16" x14ac:dyDescent="0.3">
      <c r="A76">
        <v>413</v>
      </c>
      <c r="B76">
        <v>203</v>
      </c>
      <c r="C76">
        <v>194</v>
      </c>
      <c r="D76">
        <v>3550</v>
      </c>
      <c r="E76">
        <v>1</v>
      </c>
      <c r="F76" s="6" t="s">
        <v>87</v>
      </c>
      <c r="G76" s="6">
        <f t="shared" si="18"/>
        <v>1</v>
      </c>
      <c r="H76" s="6">
        <f t="shared" si="19"/>
        <v>0</v>
      </c>
      <c r="I76" s="6">
        <f t="shared" si="20"/>
        <v>0</v>
      </c>
      <c r="J76" s="6">
        <f>$V$5+$W$5*penguins[[#This Row],[Culmen Length (mm)]]+penguins[[#This Row],[Culmen Depth (mm)]]*$X$5+$Y$5*penguins[[#This Row],[Flipper Length (mm)]]+penguins[[#This Row],[Body mass (g)]]*$Z$5+$AA$5*penguins[[#This Row],[Gender]]</f>
        <v>-225.79230888844117</v>
      </c>
      <c r="K76" s="6">
        <f>$V$6+$W$6*penguins[[#This Row],[Culmen Length (mm)]]+penguins[[#This Row],[Culmen Depth (mm)]]*$X$6+$Y$6*penguins[[#This Row],[Flipper Length (mm)]]+penguins[[#This Row],[Body mass (g)]]*$Z$6+$AA$6*penguins[[#This Row],[Gender]]</f>
        <v>-225.96051500483637</v>
      </c>
      <c r="L76" s="6">
        <f>$V$7+$W$7*penguins[[#This Row],[Culmen Length (mm)]]+penguins[[#This Row],[Culmen Depth (mm)]]*$X$7+$Y$7*penguins[[#This Row],[Flipper Length (mm)]]+penguins[[#This Row],[Body mass (g)]]*$Z$7+$AA$7*penguins[[#This Row],[Gender]]</f>
        <v>-226.62380621864898</v>
      </c>
      <c r="M76" s="6">
        <f t="shared" si="21"/>
        <v>0.43848562427757221</v>
      </c>
      <c r="N76" s="6">
        <f t="shared" si="22"/>
        <v>0.37059910951182495</v>
      </c>
      <c r="O76" s="6">
        <f t="shared" si="23"/>
        <v>0.1909152662106029</v>
      </c>
      <c r="P76" s="6">
        <f t="shared" si="24"/>
        <v>-0.82442825156688626</v>
      </c>
    </row>
    <row r="77" spans="1:16" x14ac:dyDescent="0.3">
      <c r="A77">
        <v>363</v>
      </c>
      <c r="B77">
        <v>195</v>
      </c>
      <c r="C77">
        <v>190</v>
      </c>
      <c r="D77">
        <v>3800</v>
      </c>
      <c r="E77">
        <v>1</v>
      </c>
      <c r="F77" s="6" t="s">
        <v>87</v>
      </c>
      <c r="G77" s="6">
        <f t="shared" si="18"/>
        <v>1</v>
      </c>
      <c r="H77" s="6">
        <f t="shared" si="19"/>
        <v>0</v>
      </c>
      <c r="I77" s="6">
        <f t="shared" si="20"/>
        <v>0</v>
      </c>
      <c r="J77" s="6">
        <f>$V$5+$W$5*penguins[[#This Row],[Culmen Length (mm)]]+penguins[[#This Row],[Culmen Depth (mm)]]*$X$5+$Y$5*penguins[[#This Row],[Flipper Length (mm)]]+penguins[[#This Row],[Body mass (g)]]*$Z$5+$AA$5*penguins[[#This Row],[Gender]]</f>
        <v>-242.83253152339714</v>
      </c>
      <c r="K77" s="6">
        <f>$V$6+$W$6*penguins[[#This Row],[Culmen Length (mm)]]+penguins[[#This Row],[Culmen Depth (mm)]]*$X$6+$Y$6*penguins[[#This Row],[Flipper Length (mm)]]+penguins[[#This Row],[Body mass (g)]]*$Z$6+$AA$6*penguins[[#This Row],[Gender]]</f>
        <v>-243.28827750421732</v>
      </c>
      <c r="L77" s="6">
        <f>$V$7+$W$7*penguins[[#This Row],[Culmen Length (mm)]]+penguins[[#This Row],[Culmen Depth (mm)]]*$X$7+$Y$7*penguins[[#This Row],[Flipper Length (mm)]]+penguins[[#This Row],[Body mass (g)]]*$Z$7+$AA$7*penguins[[#This Row],[Gender]]</f>
        <v>-243.39749983627533</v>
      </c>
      <c r="M77" s="6">
        <f t="shared" si="21"/>
        <v>0.45405981380660587</v>
      </c>
      <c r="N77" s="6">
        <f t="shared" si="22"/>
        <v>0.28786250617225084</v>
      </c>
      <c r="O77" s="6">
        <f t="shared" si="23"/>
        <v>0.25807768002114334</v>
      </c>
      <c r="P77" s="6">
        <f t="shared" si="24"/>
        <v>-0.78952634114615672</v>
      </c>
    </row>
    <row r="78" spans="1:16" x14ac:dyDescent="0.3">
      <c r="A78">
        <v>369</v>
      </c>
      <c r="B78">
        <v>186</v>
      </c>
      <c r="C78">
        <v>189</v>
      </c>
      <c r="D78">
        <v>3500</v>
      </c>
      <c r="E78">
        <v>0</v>
      </c>
      <c r="F78" s="6" t="s">
        <v>87</v>
      </c>
      <c r="G78" s="6">
        <f t="shared" si="18"/>
        <v>1</v>
      </c>
      <c r="H78" s="6">
        <f t="shared" si="19"/>
        <v>0</v>
      </c>
      <c r="I78" s="6">
        <f t="shared" si="20"/>
        <v>0</v>
      </c>
      <c r="J78" s="6">
        <f>$V$5+$W$5*penguins[[#This Row],[Culmen Length (mm)]]+penguins[[#This Row],[Culmen Depth (mm)]]*$X$5+$Y$5*penguins[[#This Row],[Flipper Length (mm)]]+penguins[[#This Row],[Body mass (g)]]*$Z$5+$AA$5*penguins[[#This Row],[Gender]]</f>
        <v>-223.21779700463193</v>
      </c>
      <c r="K78" s="6">
        <f>$V$6+$W$6*penguins[[#This Row],[Culmen Length (mm)]]+penguins[[#This Row],[Culmen Depth (mm)]]*$X$6+$Y$6*penguins[[#This Row],[Flipper Length (mm)]]+penguins[[#This Row],[Body mass (g)]]*$Z$6+$AA$6*penguins[[#This Row],[Gender]]</f>
        <v>-223.39246527112547</v>
      </c>
      <c r="L78" s="6">
        <f>$V$7+$W$7*penguins[[#This Row],[Culmen Length (mm)]]+penguins[[#This Row],[Culmen Depth (mm)]]*$X$7+$Y$7*penguins[[#This Row],[Flipper Length (mm)]]+penguins[[#This Row],[Body mass (g)]]*$Z$7+$AA$7*penguins[[#This Row],[Gender]]</f>
        <v>-223.78128210326614</v>
      </c>
      <c r="M78" s="6">
        <f t="shared" si="21"/>
        <v>0.4151173532606699</v>
      </c>
      <c r="N78" s="6">
        <f t="shared" si="22"/>
        <v>0.34858879604294873</v>
      </c>
      <c r="O78" s="6">
        <f t="shared" si="23"/>
        <v>0.23629385069638137</v>
      </c>
      <c r="P78" s="6">
        <f t="shared" si="24"/>
        <v>-0.87919401978449463</v>
      </c>
    </row>
    <row r="79" spans="1:16" x14ac:dyDescent="0.3">
      <c r="A79">
        <v>383</v>
      </c>
      <c r="B79">
        <v>192</v>
      </c>
      <c r="C79">
        <v>189</v>
      </c>
      <c r="D79">
        <v>3950</v>
      </c>
      <c r="E79">
        <v>1</v>
      </c>
      <c r="F79" s="6" t="s">
        <v>87</v>
      </c>
      <c r="G79" s="6">
        <f t="shared" si="18"/>
        <v>1</v>
      </c>
      <c r="H79" s="6">
        <f t="shared" si="19"/>
        <v>0</v>
      </c>
      <c r="I79" s="6">
        <f t="shared" si="20"/>
        <v>0</v>
      </c>
      <c r="J79" s="6">
        <f>$V$5+$W$5*penguins[[#This Row],[Culmen Length (mm)]]+penguins[[#This Row],[Culmen Depth (mm)]]*$X$5+$Y$5*penguins[[#This Row],[Flipper Length (mm)]]+penguins[[#This Row],[Body mass (g)]]*$Z$5+$AA$5*penguins[[#This Row],[Gender]]</f>
        <v>-252.59510379976425</v>
      </c>
      <c r="K79" s="6">
        <f>$V$6+$W$6*penguins[[#This Row],[Culmen Length (mm)]]+penguins[[#This Row],[Culmen Depth (mm)]]*$X$6+$Y$6*penguins[[#This Row],[Flipper Length (mm)]]+penguins[[#This Row],[Body mass (g)]]*$Z$6+$AA$6*penguins[[#This Row],[Gender]]</f>
        <v>-253.18618784790303</v>
      </c>
      <c r="L79" s="6">
        <f>$V$7+$W$7*penguins[[#This Row],[Culmen Length (mm)]]+penguins[[#This Row],[Culmen Depth (mm)]]*$X$7+$Y$7*penguins[[#This Row],[Flipper Length (mm)]]+penguins[[#This Row],[Body mass (g)]]*$Z$7+$AA$7*penguins[[#This Row],[Gender]]</f>
        <v>-252.94570973183934</v>
      </c>
      <c r="M79" s="6">
        <f t="shared" si="21"/>
        <v>0.44287216582097627</v>
      </c>
      <c r="N79" s="6">
        <f t="shared" si="22"/>
        <v>0.24523013974301808</v>
      </c>
      <c r="O79" s="6">
        <f t="shared" si="23"/>
        <v>0.31189769443600573</v>
      </c>
      <c r="P79" s="6">
        <f t="shared" si="24"/>
        <v>-0.81447411531801928</v>
      </c>
    </row>
    <row r="80" spans="1:16" x14ac:dyDescent="0.3">
      <c r="A80">
        <v>389</v>
      </c>
      <c r="B80">
        <v>188</v>
      </c>
      <c r="C80">
        <v>190</v>
      </c>
      <c r="D80">
        <v>3600</v>
      </c>
      <c r="E80">
        <v>0</v>
      </c>
      <c r="F80" s="6" t="s">
        <v>87</v>
      </c>
      <c r="G80" s="6">
        <f t="shared" si="18"/>
        <v>1</v>
      </c>
      <c r="H80" s="6">
        <f t="shared" si="19"/>
        <v>0</v>
      </c>
      <c r="I80" s="6">
        <f t="shared" si="20"/>
        <v>0</v>
      </c>
      <c r="J80" s="6">
        <f>$V$5+$W$5*penguins[[#This Row],[Culmen Length (mm)]]+penguins[[#This Row],[Culmen Depth (mm)]]*$X$5+$Y$5*penguins[[#This Row],[Flipper Length (mm)]]+penguins[[#This Row],[Body mass (g)]]*$Z$5+$AA$5*penguins[[#This Row],[Gender]]</f>
        <v>-229.59307483212888</v>
      </c>
      <c r="K80" s="6">
        <f>$V$6+$W$6*penguins[[#This Row],[Culmen Length (mm)]]+penguins[[#This Row],[Culmen Depth (mm)]]*$X$6+$Y$6*penguins[[#This Row],[Flipper Length (mm)]]+penguins[[#This Row],[Body mass (g)]]*$Z$6+$AA$6*penguins[[#This Row],[Gender]]</f>
        <v>-229.85006726589742</v>
      </c>
      <c r="L80" s="6">
        <f>$V$7+$W$7*penguins[[#This Row],[Culmen Length (mm)]]+penguins[[#This Row],[Culmen Depth (mm)]]*$X$7+$Y$7*penguins[[#This Row],[Flipper Length (mm)]]+penguins[[#This Row],[Body mass (g)]]*$Z$7+$AA$7*penguins[[#This Row],[Gender]]</f>
        <v>-230.06927962115989</v>
      </c>
      <c r="M80" s="6">
        <f t="shared" si="21"/>
        <v>0.41762191893113682</v>
      </c>
      <c r="N80" s="6">
        <f t="shared" si="22"/>
        <v>0.32297796118983685</v>
      </c>
      <c r="O80" s="6">
        <f t="shared" si="23"/>
        <v>0.25940011987902639</v>
      </c>
      <c r="P80" s="6">
        <f t="shared" si="24"/>
        <v>-0.87317875592923</v>
      </c>
    </row>
    <row r="81" spans="1:16" x14ac:dyDescent="0.3">
      <c r="A81">
        <v>357</v>
      </c>
      <c r="B81">
        <v>18</v>
      </c>
      <c r="C81">
        <v>202</v>
      </c>
      <c r="D81">
        <v>3550</v>
      </c>
      <c r="E81">
        <v>0</v>
      </c>
      <c r="F81" s="6" t="s">
        <v>87</v>
      </c>
      <c r="G81" s="6">
        <f t="shared" si="18"/>
        <v>1</v>
      </c>
      <c r="H81" s="6">
        <f t="shared" si="19"/>
        <v>0</v>
      </c>
      <c r="I81" s="6">
        <f t="shared" si="20"/>
        <v>0</v>
      </c>
      <c r="J81" s="6">
        <f>$V$5+$W$5*penguins[[#This Row],[Culmen Length (mm)]]+penguins[[#This Row],[Culmen Depth (mm)]]*$X$5+$Y$5*penguins[[#This Row],[Flipper Length (mm)]]+penguins[[#This Row],[Body mass (g)]]*$Z$5+$AA$5*penguins[[#This Row],[Gender]]</f>
        <v>-229.46730710887377</v>
      </c>
      <c r="K81" s="6">
        <f>$V$6+$W$6*penguins[[#This Row],[Culmen Length (mm)]]+penguins[[#This Row],[Culmen Depth (mm)]]*$X$6+$Y$6*penguins[[#This Row],[Flipper Length (mm)]]+penguins[[#This Row],[Body mass (g)]]*$Z$6+$AA$6*penguins[[#This Row],[Gender]]</f>
        <v>-227.80307117446989</v>
      </c>
      <c r="L81" s="6">
        <f>$V$7+$W$7*penguins[[#This Row],[Culmen Length (mm)]]+penguins[[#This Row],[Culmen Depth (mm)]]*$X$7+$Y$7*penguins[[#This Row],[Flipper Length (mm)]]+penguins[[#This Row],[Body mass (g)]]*$Z$7+$AA$7*penguins[[#This Row],[Gender]]</f>
        <v>-227.92285402001508</v>
      </c>
      <c r="M81" s="6">
        <f t="shared" si="21"/>
        <v>9.11822678836096E-2</v>
      </c>
      <c r="N81" s="6">
        <f t="shared" si="22"/>
        <v>0.48159156604643449</v>
      </c>
      <c r="O81" s="6">
        <f t="shared" si="23"/>
        <v>0.427226166069956</v>
      </c>
      <c r="P81" s="6">
        <f t="shared" si="24"/>
        <v>-2.3948948319068002</v>
      </c>
    </row>
    <row r="82" spans="1:16" x14ac:dyDescent="0.3">
      <c r="A82">
        <v>411</v>
      </c>
      <c r="B82">
        <v>181</v>
      </c>
      <c r="C82">
        <v>205</v>
      </c>
      <c r="D82">
        <v>4300</v>
      </c>
      <c r="E82">
        <v>1</v>
      </c>
      <c r="F82" s="6" t="s">
        <v>87</v>
      </c>
      <c r="G82" s="6">
        <f t="shared" si="18"/>
        <v>1</v>
      </c>
      <c r="H82" s="6">
        <f t="shared" si="19"/>
        <v>0</v>
      </c>
      <c r="I82" s="6">
        <f t="shared" si="20"/>
        <v>0</v>
      </c>
      <c r="J82" s="6">
        <f>$V$5+$W$5*penguins[[#This Row],[Culmen Length (mm)]]+penguins[[#This Row],[Culmen Depth (mm)]]*$X$5+$Y$5*penguins[[#This Row],[Flipper Length (mm)]]+penguins[[#This Row],[Body mass (g)]]*$Z$5+$AA$5*penguins[[#This Row],[Gender]]</f>
        <v>-275.52299189275863</v>
      </c>
      <c r="K82" s="6">
        <f>$V$6+$W$6*penguins[[#This Row],[Culmen Length (mm)]]+penguins[[#This Row],[Culmen Depth (mm)]]*$X$6+$Y$6*penguins[[#This Row],[Flipper Length (mm)]]+penguins[[#This Row],[Body mass (g)]]*$Z$6+$AA$6*penguins[[#This Row],[Gender]]</f>
        <v>-275.93077573479104</v>
      </c>
      <c r="L82" s="6">
        <f>$V$7+$W$7*penguins[[#This Row],[Culmen Length (mm)]]+penguins[[#This Row],[Culmen Depth (mm)]]*$X$7+$Y$7*penguins[[#This Row],[Flipper Length (mm)]]+penguins[[#This Row],[Body mass (g)]]*$Z$7+$AA$7*penguins[[#This Row],[Gender]]</f>
        <v>-275.5224118281032</v>
      </c>
      <c r="M82" s="6">
        <f t="shared" si="21"/>
        <v>0.37513558322334251</v>
      </c>
      <c r="N82" s="6">
        <f t="shared" si="22"/>
        <v>0.24951116753641719</v>
      </c>
      <c r="O82" s="6">
        <f t="shared" si="23"/>
        <v>0.37535324924024027</v>
      </c>
      <c r="P82" s="6">
        <f t="shared" si="24"/>
        <v>-0.98046776309483319</v>
      </c>
    </row>
    <row r="83" spans="1:16" x14ac:dyDescent="0.3">
      <c r="A83">
        <v>34</v>
      </c>
      <c r="B83">
        <v>171</v>
      </c>
      <c r="C83">
        <v>185</v>
      </c>
      <c r="D83">
        <v>3400</v>
      </c>
      <c r="E83">
        <v>0</v>
      </c>
      <c r="F83" s="6" t="s">
        <v>87</v>
      </c>
      <c r="G83" s="6">
        <f t="shared" si="18"/>
        <v>1</v>
      </c>
      <c r="H83" s="6">
        <f t="shared" si="19"/>
        <v>0</v>
      </c>
      <c r="I83" s="6">
        <f t="shared" si="20"/>
        <v>0</v>
      </c>
      <c r="J83" s="6">
        <f>$V$5+$W$5*penguins[[#This Row],[Culmen Length (mm)]]+penguins[[#This Row],[Culmen Depth (mm)]]*$X$5+$Y$5*penguins[[#This Row],[Flipper Length (mm)]]+penguins[[#This Row],[Body mass (g)]]*$Z$5+$AA$5*penguins[[#This Row],[Gender]]</f>
        <v>-219.75398851841197</v>
      </c>
      <c r="K83" s="6">
        <f>$V$6+$W$6*penguins[[#This Row],[Culmen Length (mm)]]+penguins[[#This Row],[Culmen Depth (mm)]]*$X$6+$Y$6*penguins[[#This Row],[Flipper Length (mm)]]+penguins[[#This Row],[Body mass (g)]]*$Z$6+$AA$6*penguins[[#This Row],[Gender]]</f>
        <v>-219.91639933328574</v>
      </c>
      <c r="L83" s="6">
        <f>$V$7+$W$7*penguins[[#This Row],[Culmen Length (mm)]]+penguins[[#This Row],[Culmen Depth (mm)]]*$X$7+$Y$7*penguins[[#This Row],[Flipper Length (mm)]]+penguins[[#This Row],[Body mass (g)]]*$Z$7+$AA$7*penguins[[#This Row],[Gender]]</f>
        <v>-220.77916389536512</v>
      </c>
      <c r="M83" s="6">
        <f t="shared" si="21"/>
        <v>0.45272930035857295</v>
      </c>
      <c r="N83" s="6">
        <f t="shared" si="22"/>
        <v>0.38486151221327719</v>
      </c>
      <c r="O83" s="6">
        <f t="shared" si="23"/>
        <v>0.16240918742814991</v>
      </c>
      <c r="P83" s="6">
        <f t="shared" si="24"/>
        <v>-0.79246090306816319</v>
      </c>
    </row>
    <row r="84" spans="1:16" x14ac:dyDescent="0.3">
      <c r="A84">
        <v>396</v>
      </c>
      <c r="B84">
        <v>181</v>
      </c>
      <c r="C84">
        <v>186</v>
      </c>
      <c r="D84">
        <v>4450</v>
      </c>
      <c r="E84">
        <v>1</v>
      </c>
      <c r="F84" s="6" t="s">
        <v>87</v>
      </c>
      <c r="G84" s="6">
        <f t="shared" si="18"/>
        <v>1</v>
      </c>
      <c r="H84" s="6">
        <f t="shared" si="19"/>
        <v>0</v>
      </c>
      <c r="I84" s="6">
        <f t="shared" si="20"/>
        <v>0</v>
      </c>
      <c r="J84" s="6">
        <f>$V$5+$W$5*penguins[[#This Row],[Culmen Length (mm)]]+penguins[[#This Row],[Culmen Depth (mm)]]*$X$5+$Y$5*penguins[[#This Row],[Flipper Length (mm)]]+penguins[[#This Row],[Body mass (g)]]*$Z$5+$AA$5*penguins[[#This Row],[Gender]]</f>
        <v>-285.60833648489177</v>
      </c>
      <c r="K84" s="6">
        <f>$V$6+$W$6*penguins[[#This Row],[Culmen Length (mm)]]+penguins[[#This Row],[Culmen Depth (mm)]]*$X$6+$Y$6*penguins[[#This Row],[Flipper Length (mm)]]+penguins[[#This Row],[Body mass (g)]]*$Z$6+$AA$6*penguins[[#This Row],[Gender]]</f>
        <v>-286.65216945586997</v>
      </c>
      <c r="L84" s="6">
        <f>$V$7+$W$7*penguins[[#This Row],[Culmen Length (mm)]]+penguins[[#This Row],[Culmen Depth (mm)]]*$X$7+$Y$7*penguins[[#This Row],[Flipper Length (mm)]]+penguins[[#This Row],[Body mass (g)]]*$Z$7+$AA$7*penguins[[#This Row],[Gender]]</f>
        <v>-285.33185564917125</v>
      </c>
      <c r="M84" s="6">
        <f t="shared" si="21"/>
        <v>0.3744499080554492</v>
      </c>
      <c r="N84" s="6">
        <f t="shared" si="22"/>
        <v>0.13184474632680201</v>
      </c>
      <c r="O84" s="6">
        <f t="shared" si="23"/>
        <v>0.49370534561774881</v>
      </c>
      <c r="P84" s="6">
        <f t="shared" si="24"/>
        <v>-0.98229724183239342</v>
      </c>
    </row>
    <row r="85" spans="1:16" x14ac:dyDescent="0.3">
      <c r="A85">
        <v>362</v>
      </c>
      <c r="B85">
        <v>173</v>
      </c>
      <c r="C85">
        <v>187</v>
      </c>
      <c r="D85">
        <v>3300</v>
      </c>
      <c r="E85">
        <v>0</v>
      </c>
      <c r="F85" s="6" t="s">
        <v>87</v>
      </c>
      <c r="G85" s="6">
        <f t="shared" si="18"/>
        <v>1</v>
      </c>
      <c r="H85" s="6">
        <f t="shared" si="19"/>
        <v>0</v>
      </c>
      <c r="I85" s="6">
        <f t="shared" si="20"/>
        <v>0</v>
      </c>
      <c r="J85" s="6">
        <f>$V$5+$W$5*penguins[[#This Row],[Culmen Length (mm)]]+penguins[[#This Row],[Culmen Depth (mm)]]*$X$5+$Y$5*penguins[[#This Row],[Flipper Length (mm)]]+penguins[[#This Row],[Body mass (g)]]*$Z$5+$AA$5*penguins[[#This Row],[Gender]]</f>
        <v>-210.34318374011971</v>
      </c>
      <c r="K85" s="6">
        <f>$V$6+$W$6*penguins[[#This Row],[Culmen Length (mm)]]+penguins[[#This Row],[Culmen Depth (mm)]]*$X$6+$Y$6*penguins[[#This Row],[Flipper Length (mm)]]+penguins[[#This Row],[Body mass (g)]]*$Z$6+$AA$6*penguins[[#This Row],[Gender]]</f>
        <v>-210.25773240704044</v>
      </c>
      <c r="L85" s="6">
        <f>$V$7+$W$7*penguins[[#This Row],[Culmen Length (mm)]]+penguins[[#This Row],[Culmen Depth (mm)]]*$X$7+$Y$7*penguins[[#This Row],[Flipper Length (mm)]]+penguins[[#This Row],[Body mass (g)]]*$Z$7+$AA$7*penguins[[#This Row],[Gender]]</f>
        <v>-210.90310743504156</v>
      </c>
      <c r="M85" s="6">
        <f t="shared" si="21"/>
        <v>0.37587467870707214</v>
      </c>
      <c r="N85" s="6">
        <f t="shared" si="22"/>
        <v>0.40940591438814489</v>
      </c>
      <c r="O85" s="6">
        <f t="shared" si="23"/>
        <v>0.21471940690478286</v>
      </c>
      <c r="P85" s="6">
        <f t="shared" si="24"/>
        <v>-0.97849949246044809</v>
      </c>
    </row>
    <row r="86" spans="1:16" x14ac:dyDescent="0.3">
      <c r="A86">
        <v>408</v>
      </c>
      <c r="B86">
        <v>189</v>
      </c>
      <c r="C86">
        <v>208</v>
      </c>
      <c r="D86">
        <v>4300</v>
      </c>
      <c r="E86">
        <v>1</v>
      </c>
      <c r="F86" s="6" t="s">
        <v>87</v>
      </c>
      <c r="G86" s="6">
        <f t="shared" si="18"/>
        <v>1</v>
      </c>
      <c r="H86" s="6">
        <f t="shared" si="19"/>
        <v>0</v>
      </c>
      <c r="I86" s="6">
        <f t="shared" si="20"/>
        <v>0</v>
      </c>
      <c r="J86" s="6">
        <f>$V$5+$W$5*penguins[[#This Row],[Culmen Length (mm)]]+penguins[[#This Row],[Culmen Depth (mm)]]*$X$5+$Y$5*penguins[[#This Row],[Flipper Length (mm)]]+penguins[[#This Row],[Body mass (g)]]*$Z$5+$AA$5*penguins[[#This Row],[Gender]]</f>
        <v>-275.39683419719319</v>
      </c>
      <c r="K86" s="6">
        <f>$V$6+$W$6*penguins[[#This Row],[Culmen Length (mm)]]+penguins[[#This Row],[Culmen Depth (mm)]]*$X$6+$Y$6*penguins[[#This Row],[Flipper Length (mm)]]+penguins[[#This Row],[Body mass (g)]]*$Z$6+$AA$6*penguins[[#This Row],[Gender]]</f>
        <v>-275.80324980392732</v>
      </c>
      <c r="L86" s="6">
        <f>$V$7+$W$7*penguins[[#This Row],[Culmen Length (mm)]]+penguins[[#This Row],[Culmen Depth (mm)]]*$X$7+$Y$7*penguins[[#This Row],[Flipper Length (mm)]]+penguins[[#This Row],[Body mass (g)]]*$Z$7+$AA$7*penguins[[#This Row],[Gender]]</f>
        <v>-275.53414775030001</v>
      </c>
      <c r="M86" s="6">
        <f t="shared" si="21"/>
        <v>0.39405292768265437</v>
      </c>
      <c r="N86" s="6">
        <f t="shared" si="22"/>
        <v>0.26245237257536291</v>
      </c>
      <c r="O86" s="6">
        <f t="shared" si="23"/>
        <v>0.34349469974198282</v>
      </c>
      <c r="P86" s="6">
        <f t="shared" si="24"/>
        <v>-0.93127004448630157</v>
      </c>
    </row>
    <row r="87" spans="1:16" x14ac:dyDescent="0.3">
      <c r="A87">
        <v>381</v>
      </c>
      <c r="B87">
        <v>186</v>
      </c>
      <c r="C87">
        <v>190</v>
      </c>
      <c r="D87">
        <v>3700</v>
      </c>
      <c r="E87">
        <v>0</v>
      </c>
      <c r="F87" s="6" t="s">
        <v>87</v>
      </c>
      <c r="G87" s="6">
        <f t="shared" si="18"/>
        <v>1</v>
      </c>
      <c r="H87" s="6">
        <f t="shared" si="19"/>
        <v>0</v>
      </c>
      <c r="I87" s="6">
        <f t="shared" si="20"/>
        <v>0</v>
      </c>
      <c r="J87" s="6">
        <f>$V$5+$W$5*penguins[[#This Row],[Culmen Length (mm)]]+penguins[[#This Row],[Culmen Depth (mm)]]*$X$5+$Y$5*penguins[[#This Row],[Flipper Length (mm)]]+penguins[[#This Row],[Body mass (g)]]*$Z$5+$AA$5*penguins[[#This Row],[Gender]]</f>
        <v>-236.27961830009883</v>
      </c>
      <c r="K87" s="6">
        <f>$V$6+$W$6*penguins[[#This Row],[Culmen Length (mm)]]+penguins[[#This Row],[Culmen Depth (mm)]]*$X$6+$Y$6*penguins[[#This Row],[Flipper Length (mm)]]+penguins[[#This Row],[Body mass (g)]]*$Z$6+$AA$6*penguins[[#This Row],[Gender]]</f>
        <v>-236.61751339568605</v>
      </c>
      <c r="L87" s="6">
        <f>$V$7+$W$7*penguins[[#This Row],[Culmen Length (mm)]]+penguins[[#This Row],[Culmen Depth (mm)]]*$X$7+$Y$7*penguins[[#This Row],[Flipper Length (mm)]]+penguins[[#This Row],[Body mass (g)]]*$Z$7+$AA$7*penguins[[#This Row],[Gender]]</f>
        <v>-236.65778027181588</v>
      </c>
      <c r="M87" s="6">
        <f t="shared" si="21"/>
        <v>0.41694643236350853</v>
      </c>
      <c r="N87" s="6">
        <f t="shared" si="22"/>
        <v>0.29739542732397117</v>
      </c>
      <c r="O87" s="6">
        <f t="shared" si="23"/>
        <v>0.28565814031252035</v>
      </c>
      <c r="P87" s="6">
        <f t="shared" si="24"/>
        <v>-0.87479752499490315</v>
      </c>
    </row>
    <row r="88" spans="1:16" x14ac:dyDescent="0.3">
      <c r="A88">
        <v>403</v>
      </c>
      <c r="B88">
        <v>185</v>
      </c>
      <c r="C88">
        <v>196</v>
      </c>
      <c r="D88">
        <v>4350</v>
      </c>
      <c r="E88">
        <v>1</v>
      </c>
      <c r="F88" s="6" t="s">
        <v>87</v>
      </c>
      <c r="G88" s="6">
        <f t="shared" si="18"/>
        <v>1</v>
      </c>
      <c r="H88" s="6">
        <f t="shared" si="19"/>
        <v>0</v>
      </c>
      <c r="I88" s="6">
        <f t="shared" si="20"/>
        <v>0</v>
      </c>
      <c r="J88" s="6">
        <f>$V$5+$W$5*penguins[[#This Row],[Culmen Length (mm)]]+penguins[[#This Row],[Culmen Depth (mm)]]*$X$5+$Y$5*penguins[[#This Row],[Flipper Length (mm)]]+penguins[[#This Row],[Body mass (g)]]*$Z$5+$AA$5*penguins[[#This Row],[Gender]]</f>
        <v>-278.852421297913</v>
      </c>
      <c r="K88" s="6">
        <f>$V$6+$W$6*penguins[[#This Row],[Culmen Length (mm)]]+penguins[[#This Row],[Culmen Depth (mm)]]*$X$6+$Y$6*penguins[[#This Row],[Flipper Length (mm)]]+penguins[[#This Row],[Body mass (g)]]*$Z$6+$AA$6*penguins[[#This Row],[Gender]]</f>
        <v>-279.57860819186874</v>
      </c>
      <c r="L88" s="6">
        <f>$V$7+$W$7*penguins[[#This Row],[Culmen Length (mm)]]+penguins[[#This Row],[Culmen Depth (mm)]]*$X$7+$Y$7*penguins[[#This Row],[Flipper Length (mm)]]+penguins[[#This Row],[Body mass (g)]]*$Z$7+$AA$7*penguins[[#This Row],[Gender]]</f>
        <v>-278.7934614735284</v>
      </c>
      <c r="M88" s="6">
        <f t="shared" si="21"/>
        <v>0.39300719278037338</v>
      </c>
      <c r="N88" s="6">
        <f t="shared" si="22"/>
        <v>0.19011725625365639</v>
      </c>
      <c r="O88" s="6">
        <f t="shared" si="23"/>
        <v>0.41687555096597018</v>
      </c>
      <c r="P88" s="6">
        <f t="shared" si="24"/>
        <v>-0.93392736504022389</v>
      </c>
    </row>
    <row r="89" spans="1:16" x14ac:dyDescent="0.3">
      <c r="A89">
        <v>331</v>
      </c>
      <c r="B89">
        <v>161</v>
      </c>
      <c r="C89">
        <v>178</v>
      </c>
      <c r="D89">
        <v>2900</v>
      </c>
      <c r="E89">
        <v>0</v>
      </c>
      <c r="F89" s="6" t="s">
        <v>87</v>
      </c>
      <c r="G89" s="6">
        <f t="shared" si="18"/>
        <v>1</v>
      </c>
      <c r="H89" s="6">
        <f t="shared" si="19"/>
        <v>0</v>
      </c>
      <c r="I89" s="6">
        <f t="shared" si="20"/>
        <v>0</v>
      </c>
      <c r="J89" s="6">
        <f>$V$5+$W$5*penguins[[#This Row],[Culmen Length (mm)]]+penguins[[#This Row],[Culmen Depth (mm)]]*$X$5+$Y$5*penguins[[#This Row],[Flipper Length (mm)]]+penguins[[#This Row],[Body mass (g)]]*$Z$5+$AA$5*penguins[[#This Row],[Gender]]</f>
        <v>-184.51716872564026</v>
      </c>
      <c r="K89" s="6">
        <f>$V$6+$W$6*penguins[[#This Row],[Culmen Length (mm)]]+penguins[[#This Row],[Culmen Depth (mm)]]*$X$6+$Y$6*penguins[[#This Row],[Flipper Length (mm)]]+penguins[[#This Row],[Body mass (g)]]*$Z$6+$AA$6*penguins[[#This Row],[Gender]]</f>
        <v>-184.17539530330581</v>
      </c>
      <c r="L89" s="6">
        <f>$V$7+$W$7*penguins[[#This Row],[Culmen Length (mm)]]+penguins[[#This Row],[Culmen Depth (mm)]]*$X$7+$Y$7*penguins[[#This Row],[Flipper Length (mm)]]+penguins[[#This Row],[Body mass (g)]]*$Z$7+$AA$7*penguins[[#This Row],[Gender]]</f>
        <v>-185.2389471550068</v>
      </c>
      <c r="M89" s="6">
        <f t="shared" si="21"/>
        <v>0.3456226688274926</v>
      </c>
      <c r="N89" s="6">
        <f t="shared" si="22"/>
        <v>0.48644364134420592</v>
      </c>
      <c r="O89" s="6">
        <f t="shared" si="23"/>
        <v>0.16793368982830156</v>
      </c>
      <c r="P89" s="6">
        <f t="shared" si="24"/>
        <v>-1.0624076515311989</v>
      </c>
    </row>
    <row r="90" spans="1:16" x14ac:dyDescent="0.3">
      <c r="A90">
        <v>432</v>
      </c>
      <c r="B90">
        <v>185</v>
      </c>
      <c r="C90">
        <v>192</v>
      </c>
      <c r="D90">
        <v>4100</v>
      </c>
      <c r="E90">
        <v>1</v>
      </c>
      <c r="F90" s="6" t="s">
        <v>87</v>
      </c>
      <c r="G90" s="6">
        <f t="shared" si="18"/>
        <v>1</v>
      </c>
      <c r="H90" s="6">
        <f t="shared" si="19"/>
        <v>0</v>
      </c>
      <c r="I90" s="6">
        <f t="shared" si="20"/>
        <v>0</v>
      </c>
      <c r="J90" s="6">
        <f>$V$5+$W$5*penguins[[#This Row],[Culmen Length (mm)]]+penguins[[#This Row],[Culmen Depth (mm)]]*$X$5+$Y$5*penguins[[#This Row],[Flipper Length (mm)]]+penguins[[#This Row],[Body mass (g)]]*$Z$5+$AA$5*penguins[[#This Row],[Gender]]</f>
        <v>-262.16362474546787</v>
      </c>
      <c r="K90" s="6">
        <f>$V$6+$W$6*penguins[[#This Row],[Culmen Length (mm)]]+penguins[[#This Row],[Culmen Depth (mm)]]*$X$6+$Y$6*penguins[[#This Row],[Flipper Length (mm)]]+penguins[[#This Row],[Body mass (g)]]*$Z$6+$AA$6*penguins[[#This Row],[Gender]]</f>
        <v>-262.74016039887312</v>
      </c>
      <c r="L90" s="6">
        <f>$V$7+$W$7*penguins[[#This Row],[Culmen Length (mm)]]+penguins[[#This Row],[Culmen Depth (mm)]]*$X$7+$Y$7*penguins[[#This Row],[Flipper Length (mm)]]+penguins[[#This Row],[Body mass (g)]]*$Z$7+$AA$7*penguins[[#This Row],[Gender]]</f>
        <v>-262.2312155591402</v>
      </c>
      <c r="M90" s="6">
        <f t="shared" si="21"/>
        <v>0.40056331206927159</v>
      </c>
      <c r="N90" s="6">
        <f t="shared" si="22"/>
        <v>0.22505305697403796</v>
      </c>
      <c r="O90" s="6">
        <f t="shared" si="23"/>
        <v>0.37438363095669053</v>
      </c>
      <c r="P90" s="6">
        <f t="shared" si="24"/>
        <v>-0.91488344239748942</v>
      </c>
    </row>
    <row r="91" spans="1:16" x14ac:dyDescent="0.3">
      <c r="A91">
        <v>35</v>
      </c>
      <c r="B91">
        <v>179</v>
      </c>
      <c r="C91">
        <v>192</v>
      </c>
      <c r="D91">
        <v>3725</v>
      </c>
      <c r="E91">
        <v>0</v>
      </c>
      <c r="F91" s="6" t="s">
        <v>87</v>
      </c>
      <c r="G91" s="6">
        <f t="shared" si="18"/>
        <v>1</v>
      </c>
      <c r="H91" s="6">
        <f t="shared" si="19"/>
        <v>0</v>
      </c>
      <c r="I91" s="6">
        <f t="shared" si="20"/>
        <v>0</v>
      </c>
      <c r="J91" s="6">
        <f>$V$5+$W$5*penguins[[#This Row],[Culmen Length (mm)]]+penguins[[#This Row],[Culmen Depth (mm)]]*$X$5+$Y$5*penguins[[#This Row],[Flipper Length (mm)]]+penguins[[#This Row],[Body mass (g)]]*$Z$5+$AA$5*penguins[[#This Row],[Gender]]</f>
        <v>-240.97456997190068</v>
      </c>
      <c r="K91" s="6">
        <f>$V$6+$W$6*penguins[[#This Row],[Culmen Length (mm)]]+penguins[[#This Row],[Culmen Depth (mm)]]*$X$6+$Y$6*penguins[[#This Row],[Flipper Length (mm)]]+penguins[[#This Row],[Body mass (g)]]*$Z$6+$AA$6*penguins[[#This Row],[Gender]]</f>
        <v>-241.34574559689855</v>
      </c>
      <c r="L91" s="6">
        <f>$V$7+$W$7*penguins[[#This Row],[Culmen Length (mm)]]+penguins[[#This Row],[Culmen Depth (mm)]]*$X$7+$Y$7*penguins[[#This Row],[Flipper Length (mm)]]+penguins[[#This Row],[Body mass (g)]]*$Z$7+$AA$7*penguins[[#This Row],[Gender]]</f>
        <v>-241.88636785220356</v>
      </c>
      <c r="M91" s="6">
        <f t="shared" si="21"/>
        <v>0.478074557307687</v>
      </c>
      <c r="N91" s="6">
        <f t="shared" si="22"/>
        <v>0.3298345196097352</v>
      </c>
      <c r="O91" s="6">
        <f t="shared" si="23"/>
        <v>0.19209092308257775</v>
      </c>
      <c r="P91" s="6">
        <f t="shared" si="24"/>
        <v>-0.73798858102278264</v>
      </c>
    </row>
    <row r="92" spans="1:16" x14ac:dyDescent="0.3">
      <c r="A92">
        <v>41</v>
      </c>
      <c r="B92">
        <v>20</v>
      </c>
      <c r="C92">
        <v>203</v>
      </c>
      <c r="D92">
        <v>4725</v>
      </c>
      <c r="E92">
        <v>1</v>
      </c>
      <c r="F92" s="6" t="s">
        <v>87</v>
      </c>
      <c r="G92" s="6">
        <f t="shared" si="18"/>
        <v>1</v>
      </c>
      <c r="H92" s="6">
        <f t="shared" si="19"/>
        <v>0</v>
      </c>
      <c r="I92" s="6">
        <f t="shared" si="20"/>
        <v>0</v>
      </c>
      <c r="J92" s="6">
        <f>$V$5+$W$5*penguins[[#This Row],[Culmen Length (mm)]]+penguins[[#This Row],[Culmen Depth (mm)]]*$X$5+$Y$5*penguins[[#This Row],[Flipper Length (mm)]]+penguins[[#This Row],[Body mass (g)]]*$Z$5+$AA$5*penguins[[#This Row],[Gender]]</f>
        <v>-309.44402447786075</v>
      </c>
      <c r="K92" s="6">
        <f>$V$6+$W$6*penguins[[#This Row],[Culmen Length (mm)]]+penguins[[#This Row],[Culmen Depth (mm)]]*$X$6+$Y$6*penguins[[#This Row],[Flipper Length (mm)]]+penguins[[#This Row],[Body mass (g)]]*$Z$6+$AA$6*penguins[[#This Row],[Gender]]</f>
        <v>-308.95308194746303</v>
      </c>
      <c r="L92" s="6">
        <f>$V$7+$W$7*penguins[[#This Row],[Culmen Length (mm)]]+penguins[[#This Row],[Culmen Depth (mm)]]*$X$7+$Y$7*penguins[[#This Row],[Flipper Length (mm)]]+penguins[[#This Row],[Body mass (g)]]*$Z$7+$AA$7*penguins[[#This Row],[Gender]]</f>
        <v>-307.61719991081924</v>
      </c>
      <c r="M92" s="6">
        <f t="shared" si="21"/>
        <v>0.11302016972978776</v>
      </c>
      <c r="N92" s="6">
        <f t="shared" si="22"/>
        <v>0.18465862059892696</v>
      </c>
      <c r="O92" s="6">
        <f t="shared" si="23"/>
        <v>0.70232120967128542</v>
      </c>
      <c r="P92" s="6">
        <f t="shared" si="24"/>
        <v>-2.180188983013847</v>
      </c>
    </row>
    <row r="93" spans="1:16" x14ac:dyDescent="0.3">
      <c r="A93">
        <v>377</v>
      </c>
      <c r="B93">
        <v>16</v>
      </c>
      <c r="C93">
        <v>183</v>
      </c>
      <c r="D93">
        <v>3075</v>
      </c>
      <c r="E93">
        <v>0</v>
      </c>
      <c r="F93" s="6" t="s">
        <v>87</v>
      </c>
      <c r="G93" s="6">
        <f t="shared" si="18"/>
        <v>1</v>
      </c>
      <c r="H93" s="6">
        <f t="shared" si="19"/>
        <v>0</v>
      </c>
      <c r="I93" s="6">
        <f t="shared" si="20"/>
        <v>0</v>
      </c>
      <c r="J93" s="6">
        <f>$V$5+$W$5*penguins[[#This Row],[Culmen Length (mm)]]+penguins[[#This Row],[Culmen Depth (mm)]]*$X$5+$Y$5*penguins[[#This Row],[Flipper Length (mm)]]+penguins[[#This Row],[Body mass (g)]]*$Z$5+$AA$5*penguins[[#This Row],[Gender]]</f>
        <v>-198.14036862971906</v>
      </c>
      <c r="K93" s="6">
        <f>$V$6+$W$6*penguins[[#This Row],[Culmen Length (mm)]]+penguins[[#This Row],[Culmen Depth (mm)]]*$X$6+$Y$6*penguins[[#This Row],[Flipper Length (mm)]]+penguins[[#This Row],[Body mass (g)]]*$Z$6+$AA$6*penguins[[#This Row],[Gender]]</f>
        <v>-196.47739874737772</v>
      </c>
      <c r="L93" s="6">
        <f>$V$7+$W$7*penguins[[#This Row],[Culmen Length (mm)]]+penguins[[#This Row],[Culmen Depth (mm)]]*$X$7+$Y$7*penguins[[#This Row],[Flipper Length (mm)]]+penguins[[#This Row],[Body mass (g)]]*$Z$7+$AA$7*penguins[[#This Row],[Gender]]</f>
        <v>-196.76969574250873</v>
      </c>
      <c r="M93" s="6">
        <f t="shared" si="21"/>
        <v>9.7914871194738837E-2</v>
      </c>
      <c r="N93" s="6">
        <f t="shared" si="22"/>
        <v>0.51649640190267831</v>
      </c>
      <c r="O93" s="6">
        <f t="shared" si="23"/>
        <v>0.38558872690258289</v>
      </c>
      <c r="P93" s="6">
        <f t="shared" si="24"/>
        <v>-2.3236568390945802</v>
      </c>
    </row>
    <row r="94" spans="1:16" x14ac:dyDescent="0.3">
      <c r="A94">
        <v>378</v>
      </c>
      <c r="B94">
        <v>20</v>
      </c>
      <c r="C94">
        <v>190</v>
      </c>
      <c r="D94">
        <v>4250</v>
      </c>
      <c r="E94">
        <v>1</v>
      </c>
      <c r="F94" s="6" t="s">
        <v>88</v>
      </c>
      <c r="G94" s="6">
        <f t="shared" si="18"/>
        <v>0</v>
      </c>
      <c r="H94" s="6">
        <f t="shared" si="19"/>
        <v>1</v>
      </c>
      <c r="I94" s="6">
        <f t="shared" si="20"/>
        <v>0</v>
      </c>
      <c r="J94" s="6">
        <f>$V$5+$W$5*penguins[[#This Row],[Culmen Length (mm)]]+penguins[[#This Row],[Culmen Depth (mm)]]*$X$5+$Y$5*penguins[[#This Row],[Flipper Length (mm)]]+penguins[[#This Row],[Body mass (g)]]*$Z$5+$AA$5*penguins[[#This Row],[Gender]]</f>
        <v>-275.3663416380632</v>
      </c>
      <c r="K94" s="6">
        <f>$V$6+$W$6*penguins[[#This Row],[Culmen Length (mm)]]+penguins[[#This Row],[Culmen Depth (mm)]]*$X$6+$Y$6*penguins[[#This Row],[Flipper Length (mm)]]+penguins[[#This Row],[Body mass (g)]]*$Z$6+$AA$6*penguins[[#This Row],[Gender]]</f>
        <v>-274.62708628762317</v>
      </c>
      <c r="L94" s="6">
        <f>$V$7+$W$7*penguins[[#This Row],[Culmen Length (mm)]]+penguins[[#This Row],[Culmen Depth (mm)]]*$X$7+$Y$7*penguins[[#This Row],[Flipper Length (mm)]]+penguins[[#This Row],[Body mass (g)]]*$Z$7+$AA$7*penguins[[#This Row],[Gender]]</f>
        <v>-273.21827229082214</v>
      </c>
      <c r="M94" s="6">
        <f t="shared" si="21"/>
        <v>8.5743619605959401E-2</v>
      </c>
      <c r="N94" s="6">
        <f t="shared" si="22"/>
        <v>0.17957932400782925</v>
      </c>
      <c r="O94" s="6">
        <f t="shared" si="23"/>
        <v>0.73467705638621128</v>
      </c>
      <c r="P94" s="6">
        <f t="shared" si="24"/>
        <v>-1.7171382521919751</v>
      </c>
    </row>
    <row r="95" spans="1:16" x14ac:dyDescent="0.3">
      <c r="A95">
        <v>379</v>
      </c>
      <c r="B95">
        <v>186</v>
      </c>
      <c r="C95">
        <v>193</v>
      </c>
      <c r="D95">
        <v>2925</v>
      </c>
      <c r="E95">
        <v>0</v>
      </c>
      <c r="F95" s="6" t="s">
        <v>88</v>
      </c>
      <c r="G95" s="6">
        <f t="shared" si="18"/>
        <v>0</v>
      </c>
      <c r="H95" s="6">
        <f t="shared" si="19"/>
        <v>1</v>
      </c>
      <c r="I95" s="6">
        <f t="shared" si="20"/>
        <v>0</v>
      </c>
      <c r="J95" s="6">
        <f>$V$5+$W$5*penguins[[#This Row],[Culmen Length (mm)]]+penguins[[#This Row],[Culmen Depth (mm)]]*$X$5+$Y$5*penguins[[#This Row],[Flipper Length (mm)]]+penguins[[#This Row],[Body mass (g)]]*$Z$5+$AA$5*penguins[[#This Row],[Gender]]</f>
        <v>-185.25772405968448</v>
      </c>
      <c r="K95" s="6">
        <f>$V$6+$W$6*penguins[[#This Row],[Culmen Length (mm)]]+penguins[[#This Row],[Culmen Depth (mm)]]*$X$6+$Y$6*penguins[[#This Row],[Flipper Length (mm)]]+penguins[[#This Row],[Body mass (g)]]*$Z$6+$AA$6*penguins[[#This Row],[Gender]]</f>
        <v>-184.77123715726481</v>
      </c>
      <c r="L95" s="6">
        <f>$V$7+$W$7*penguins[[#This Row],[Culmen Length (mm)]]+penguins[[#This Row],[Culmen Depth (mm)]]*$X$7+$Y$7*penguins[[#This Row],[Flipper Length (mm)]]+penguins[[#This Row],[Body mass (g)]]*$Z$7+$AA$7*penguins[[#This Row],[Gender]]</f>
        <v>-186.33597931949151</v>
      </c>
      <c r="M95" s="6">
        <f t="shared" si="21"/>
        <v>0.33706573596584483</v>
      </c>
      <c r="N95" s="6">
        <f t="shared" si="22"/>
        <v>0.54826836046805372</v>
      </c>
      <c r="O95" s="6">
        <f t="shared" si="23"/>
        <v>0.11466590356610144</v>
      </c>
      <c r="P95" s="6">
        <f t="shared" si="24"/>
        <v>-0.60099040301907491</v>
      </c>
    </row>
    <row r="96" spans="1:16" x14ac:dyDescent="0.3">
      <c r="A96">
        <v>397</v>
      </c>
      <c r="B96">
        <v>189</v>
      </c>
      <c r="C96">
        <v>184</v>
      </c>
      <c r="D96">
        <v>3550</v>
      </c>
      <c r="E96">
        <v>1</v>
      </c>
      <c r="F96" s="6" t="s">
        <v>88</v>
      </c>
      <c r="G96" s="6">
        <f t="shared" si="18"/>
        <v>0</v>
      </c>
      <c r="H96" s="6">
        <f t="shared" si="19"/>
        <v>1</v>
      </c>
      <c r="I96" s="6">
        <f t="shared" si="20"/>
        <v>0</v>
      </c>
      <c r="J96" s="6">
        <f>$V$5+$W$5*penguins[[#This Row],[Culmen Length (mm)]]+penguins[[#This Row],[Culmen Depth (mm)]]*$X$5+$Y$5*penguins[[#This Row],[Flipper Length (mm)]]+penguins[[#This Row],[Body mass (g)]]*$Z$5+$AA$5*penguins[[#This Row],[Gender]]</f>
        <v>-226.21393602614256</v>
      </c>
      <c r="K96" s="6">
        <f>$V$6+$W$6*penguins[[#This Row],[Culmen Length (mm)]]+penguins[[#This Row],[Culmen Depth (mm)]]*$X$6+$Y$6*penguins[[#This Row],[Flipper Length (mm)]]+penguins[[#This Row],[Body mass (g)]]*$Z$6+$AA$6*penguins[[#This Row],[Gender]]</f>
        <v>-226.51366989071687</v>
      </c>
      <c r="L96" s="6">
        <f>$V$7+$W$7*penguins[[#This Row],[Culmen Length (mm)]]+penguins[[#This Row],[Culmen Depth (mm)]]*$X$7+$Y$7*penguins[[#This Row],[Flipper Length (mm)]]+penguins[[#This Row],[Body mass (g)]]*$Z$7+$AA$7*penguins[[#This Row],[Gender]]</f>
        <v>-226.79932199465972</v>
      </c>
      <c r="M96" s="6">
        <f t="shared" si="21"/>
        <v>0.43517875705105685</v>
      </c>
      <c r="N96" s="6">
        <f t="shared" si="22"/>
        <v>0.32247416285655495</v>
      </c>
      <c r="O96" s="6">
        <f t="shared" si="23"/>
        <v>0.24234708009238828</v>
      </c>
      <c r="P96" s="6">
        <f t="shared" si="24"/>
        <v>-1.1317322611291749</v>
      </c>
    </row>
    <row r="97" spans="1:16" x14ac:dyDescent="0.3">
      <c r="A97">
        <v>386</v>
      </c>
      <c r="B97">
        <v>172</v>
      </c>
      <c r="C97">
        <v>199</v>
      </c>
      <c r="D97">
        <v>3750</v>
      </c>
      <c r="E97">
        <v>0</v>
      </c>
      <c r="F97" s="6" t="s">
        <v>88</v>
      </c>
      <c r="G97" s="6">
        <f t="shared" si="18"/>
        <v>0</v>
      </c>
      <c r="H97" s="6">
        <f t="shared" si="19"/>
        <v>1</v>
      </c>
      <c r="I97" s="6">
        <f t="shared" si="20"/>
        <v>0</v>
      </c>
      <c r="J97" s="6">
        <f>$V$5+$W$5*penguins[[#This Row],[Culmen Length (mm)]]+penguins[[#This Row],[Culmen Depth (mm)]]*$X$5+$Y$5*penguins[[#This Row],[Flipper Length (mm)]]+penguins[[#This Row],[Body mass (g)]]*$Z$5+$AA$5*penguins[[#This Row],[Gender]]</f>
        <v>-239.7329594034027</v>
      </c>
      <c r="K97" s="6">
        <f>$V$6+$W$6*penguins[[#This Row],[Culmen Length (mm)]]+penguins[[#This Row],[Culmen Depth (mm)]]*$X$6+$Y$6*penguins[[#This Row],[Flipper Length (mm)]]+penguins[[#This Row],[Body mass (g)]]*$Z$6+$AA$6*penguins[[#This Row],[Gender]]</f>
        <v>-239.75729837296018</v>
      </c>
      <c r="L97" s="6">
        <f>$V$7+$W$7*penguins[[#This Row],[Culmen Length (mm)]]+penguins[[#This Row],[Culmen Depth (mm)]]*$X$7+$Y$7*penguins[[#This Row],[Flipper Length (mm)]]+penguins[[#This Row],[Body mass (g)]]*$Z$7+$AA$7*penguins[[#This Row],[Gender]]</f>
        <v>-239.95735161405324</v>
      </c>
      <c r="M97" s="6">
        <f t="shared" si="21"/>
        <v>0.36036600536256352</v>
      </c>
      <c r="N97" s="6">
        <f t="shared" si="22"/>
        <v>0.3517009451966896</v>
      </c>
      <c r="O97" s="6">
        <f t="shared" si="23"/>
        <v>0.28793304944074694</v>
      </c>
      <c r="P97" s="6">
        <f t="shared" si="24"/>
        <v>-1.0449740519974533</v>
      </c>
    </row>
    <row r="98" spans="1:16" x14ac:dyDescent="0.3">
      <c r="A98">
        <v>382</v>
      </c>
      <c r="B98">
        <v>20</v>
      </c>
      <c r="C98">
        <v>190</v>
      </c>
      <c r="D98">
        <v>3900</v>
      </c>
      <c r="E98">
        <v>1</v>
      </c>
      <c r="F98" s="6" t="s">
        <v>88</v>
      </c>
      <c r="G98" s="6">
        <f t="shared" si="18"/>
        <v>0</v>
      </c>
      <c r="H98" s="6">
        <f t="shared" si="19"/>
        <v>1</v>
      </c>
      <c r="I98" s="6">
        <f t="shared" si="20"/>
        <v>0</v>
      </c>
      <c r="J98" s="6">
        <f>$V$5+$W$5*penguins[[#This Row],[Culmen Length (mm)]]+penguins[[#This Row],[Culmen Depth (mm)]]*$X$5+$Y$5*penguins[[#This Row],[Flipper Length (mm)]]+penguins[[#This Row],[Body mass (g)]]*$Z$5+$AA$5*penguins[[#This Row],[Gender]]</f>
        <v>-252.2884375113963</v>
      </c>
      <c r="K98" s="6">
        <f>$V$6+$W$6*penguins[[#This Row],[Culmen Length (mm)]]+penguins[[#This Row],[Culmen Depth (mm)]]*$X$6+$Y$6*penguins[[#This Row],[Flipper Length (mm)]]+penguins[[#This Row],[Body mass (g)]]*$Z$6+$AA$6*penguins[[#This Row],[Gender]]</f>
        <v>-251.20974459437028</v>
      </c>
      <c r="L98" s="6">
        <f>$V$7+$W$7*penguins[[#This Row],[Culmen Length (mm)]]+penguins[[#This Row],[Culmen Depth (mm)]]*$X$7+$Y$7*penguins[[#This Row],[Flipper Length (mm)]]+penguins[[#This Row],[Body mass (g)]]*$Z$7+$AA$7*penguins[[#This Row],[Gender]]</f>
        <v>-250.43524406469106</v>
      </c>
      <c r="M98" s="6">
        <f t="shared" si="21"/>
        <v>9.6889884548093635E-2</v>
      </c>
      <c r="N98" s="6">
        <f t="shared" si="22"/>
        <v>0.28493698194746686</v>
      </c>
      <c r="O98" s="6">
        <f t="shared" si="23"/>
        <v>0.61817313350443959</v>
      </c>
      <c r="P98" s="6">
        <f t="shared" si="24"/>
        <v>-1.2554872391370282</v>
      </c>
    </row>
    <row r="99" spans="1:16" x14ac:dyDescent="0.3">
      <c r="A99">
        <v>381</v>
      </c>
      <c r="B99">
        <v>17</v>
      </c>
      <c r="C99">
        <v>181</v>
      </c>
      <c r="D99">
        <v>3175</v>
      </c>
      <c r="E99">
        <v>0</v>
      </c>
      <c r="F99" s="6" t="s">
        <v>88</v>
      </c>
      <c r="G99" s="6">
        <f t="shared" si="18"/>
        <v>0</v>
      </c>
      <c r="H99" s="6">
        <f t="shared" si="19"/>
        <v>1</v>
      </c>
      <c r="I99" s="6">
        <f t="shared" si="20"/>
        <v>0</v>
      </c>
      <c r="J99" s="6">
        <f>$V$5+$W$5*penguins[[#This Row],[Culmen Length (mm)]]+penguins[[#This Row],[Culmen Depth (mm)]]*$X$5+$Y$5*penguins[[#This Row],[Flipper Length (mm)]]+penguins[[#This Row],[Body mass (g)]]*$Z$5+$AA$5*penguins[[#This Row],[Gender]]</f>
        <v>-204.6817179330753</v>
      </c>
      <c r="K99" s="6">
        <f>$V$6+$W$6*penguins[[#This Row],[Culmen Length (mm)]]+penguins[[#This Row],[Culmen Depth (mm)]]*$X$6+$Y$6*penguins[[#This Row],[Flipper Length (mm)]]+penguins[[#This Row],[Body mass (g)]]*$Z$6+$AA$6*penguins[[#This Row],[Gender]]</f>
        <v>-203.17428283761396</v>
      </c>
      <c r="L99" s="6">
        <f>$V$7+$W$7*penguins[[#This Row],[Culmen Length (mm)]]+penguins[[#This Row],[Culmen Depth (mm)]]*$X$7+$Y$7*penguins[[#This Row],[Flipper Length (mm)]]+penguins[[#This Row],[Body mass (g)]]*$Z$7+$AA$7*penguins[[#This Row],[Gender]]</f>
        <v>-203.21229430977985</v>
      </c>
      <c r="M99" s="6">
        <f t="shared" si="21"/>
        <v>0.1014007077534356</v>
      </c>
      <c r="N99" s="6">
        <f t="shared" si="22"/>
        <v>0.45783788858878427</v>
      </c>
      <c r="O99" s="6">
        <f t="shared" si="23"/>
        <v>0.44076140365778016</v>
      </c>
      <c r="P99" s="6">
        <f t="shared" si="24"/>
        <v>-0.78124011257114767</v>
      </c>
    </row>
    <row r="100" spans="1:16" x14ac:dyDescent="0.3">
      <c r="A100">
        <v>432</v>
      </c>
      <c r="B100">
        <v>19</v>
      </c>
      <c r="C100">
        <v>197</v>
      </c>
      <c r="D100">
        <v>4775</v>
      </c>
      <c r="E100">
        <v>1</v>
      </c>
      <c r="F100" s="6" t="s">
        <v>88</v>
      </c>
      <c r="G100" s="6">
        <f t="shared" si="18"/>
        <v>0</v>
      </c>
      <c r="H100" s="6">
        <f t="shared" si="19"/>
        <v>1</v>
      </c>
      <c r="I100" s="6">
        <f t="shared" si="20"/>
        <v>0</v>
      </c>
      <c r="J100" s="6">
        <f>$V$5+$W$5*penguins[[#This Row],[Culmen Length (mm)]]+penguins[[#This Row],[Culmen Depth (mm)]]*$X$5+$Y$5*penguins[[#This Row],[Flipper Length (mm)]]+penguins[[#This Row],[Body mass (g)]]*$Z$5+$AA$5*penguins[[#This Row],[Gender]]</f>
        <v>-309.46111554950613</v>
      </c>
      <c r="K100" s="6">
        <f>$V$6+$W$6*penguins[[#This Row],[Culmen Length (mm)]]+penguins[[#This Row],[Culmen Depth (mm)]]*$X$6+$Y$6*penguins[[#This Row],[Flipper Length (mm)]]+penguins[[#This Row],[Body mass (g)]]*$Z$6+$AA$6*penguins[[#This Row],[Gender]]</f>
        <v>-309.02105160641145</v>
      </c>
      <c r="L100" s="6">
        <f>$V$7+$W$7*penguins[[#This Row],[Culmen Length (mm)]]+penguins[[#This Row],[Culmen Depth (mm)]]*$X$7+$Y$7*penguins[[#This Row],[Flipper Length (mm)]]+penguins[[#This Row],[Body mass (g)]]*$Z$7+$AA$7*penguins[[#This Row],[Gender]]</f>
        <v>-306.81254357651011</v>
      </c>
      <c r="M100" s="6">
        <f t="shared" si="21"/>
        <v>5.9928156109555583E-2</v>
      </c>
      <c r="N100" s="6">
        <f t="shared" si="22"/>
        <v>9.3056830734882384E-2</v>
      </c>
      <c r="O100" s="6">
        <f t="shared" si="23"/>
        <v>0.84701501315556194</v>
      </c>
      <c r="P100" s="6">
        <f t="shared" si="24"/>
        <v>-2.3745448892933942</v>
      </c>
    </row>
    <row r="101" spans="1:16" x14ac:dyDescent="0.3">
      <c r="A101">
        <v>381</v>
      </c>
      <c r="B101">
        <v>165</v>
      </c>
      <c r="C101">
        <v>198</v>
      </c>
      <c r="D101">
        <v>3825</v>
      </c>
      <c r="E101">
        <v>0</v>
      </c>
      <c r="F101" s="6" t="s">
        <v>88</v>
      </c>
      <c r="G101" s="6">
        <f t="shared" si="18"/>
        <v>0</v>
      </c>
      <c r="H101" s="6">
        <f t="shared" si="19"/>
        <v>1</v>
      </c>
      <c r="I101" s="6">
        <f t="shared" si="20"/>
        <v>0</v>
      </c>
      <c r="J101" s="6">
        <f>$V$5+$W$5*penguins[[#This Row],[Culmen Length (mm)]]+penguins[[#This Row],[Culmen Depth (mm)]]*$X$5+$Y$5*penguins[[#This Row],[Flipper Length (mm)]]+penguins[[#This Row],[Body mass (g)]]*$Z$5+$AA$5*penguins[[#This Row],[Gender]]</f>
        <v>-244.83902783937307</v>
      </c>
      <c r="K101" s="6">
        <f>$V$6+$W$6*penguins[[#This Row],[Culmen Length (mm)]]+penguins[[#This Row],[Culmen Depth (mm)]]*$X$6+$Y$6*penguins[[#This Row],[Flipper Length (mm)]]+penguins[[#This Row],[Body mass (g)]]*$Z$6+$AA$6*penguins[[#This Row],[Gender]]</f>
        <v>-244.89820444207808</v>
      </c>
      <c r="L101" s="6">
        <f>$V$7+$W$7*penguins[[#This Row],[Culmen Length (mm)]]+penguins[[#This Row],[Culmen Depth (mm)]]*$X$7+$Y$7*penguins[[#This Row],[Flipper Length (mm)]]+penguins[[#This Row],[Body mass (g)]]*$Z$7+$AA$7*penguins[[#This Row],[Gender]]</f>
        <v>-244.90672896193539</v>
      </c>
      <c r="M101" s="6">
        <f t="shared" si="21"/>
        <v>0.34757461895903913</v>
      </c>
      <c r="N101" s="6">
        <f t="shared" si="22"/>
        <v>0.32760308537981092</v>
      </c>
      <c r="O101" s="6">
        <f t="shared" si="23"/>
        <v>0.3248222956611499</v>
      </c>
      <c r="P101" s="6">
        <f t="shared" si="24"/>
        <v>-1.1159525089162821</v>
      </c>
    </row>
    <row r="102" spans="1:16" x14ac:dyDescent="0.3">
      <c r="A102">
        <v>456</v>
      </c>
      <c r="B102">
        <v>203</v>
      </c>
      <c r="C102">
        <v>191</v>
      </c>
      <c r="D102">
        <v>4600</v>
      </c>
      <c r="E102">
        <v>1</v>
      </c>
      <c r="F102" s="6" t="s">
        <v>88</v>
      </c>
      <c r="G102" s="6">
        <f t="shared" si="18"/>
        <v>0</v>
      </c>
      <c r="H102" s="6">
        <f t="shared" si="19"/>
        <v>1</v>
      </c>
      <c r="I102" s="6">
        <f t="shared" si="20"/>
        <v>0</v>
      </c>
      <c r="J102" s="6">
        <f>$V$5+$W$5*penguins[[#This Row],[Culmen Length (mm)]]+penguins[[#This Row],[Culmen Depth (mm)]]*$X$5+$Y$5*penguins[[#This Row],[Flipper Length (mm)]]+penguins[[#This Row],[Body mass (g)]]*$Z$5+$AA$5*penguins[[#This Row],[Gender]]</f>
        <v>-294.57223164173411</v>
      </c>
      <c r="K102" s="6">
        <f>$V$6+$W$6*penguins[[#This Row],[Culmen Length (mm)]]+penguins[[#This Row],[Culmen Depth (mm)]]*$X$6+$Y$6*penguins[[#This Row],[Flipper Length (mm)]]+penguins[[#This Row],[Body mass (g)]]*$Z$6+$AA$6*penguins[[#This Row],[Gender]]</f>
        <v>-295.81554290253166</v>
      </c>
      <c r="L102" s="6">
        <f>$V$7+$W$7*penguins[[#This Row],[Culmen Length (mm)]]+penguins[[#This Row],[Culmen Depth (mm)]]*$X$7+$Y$7*penguins[[#This Row],[Flipper Length (mm)]]+penguins[[#This Row],[Body mass (g)]]*$Z$7+$AA$7*penguins[[#This Row],[Gender]]</f>
        <v>-294.39172118909164</v>
      </c>
      <c r="M102" s="6">
        <f t="shared" si="21"/>
        <v>0.40221116101696114</v>
      </c>
      <c r="N102" s="6">
        <f t="shared" si="22"/>
        <v>0.11600879022926143</v>
      </c>
      <c r="O102" s="6">
        <f t="shared" si="23"/>
        <v>0.4817800487537775</v>
      </c>
      <c r="P102" s="6">
        <f t="shared" si="24"/>
        <v>-2.1540893129083072</v>
      </c>
    </row>
    <row r="103" spans="1:16" x14ac:dyDescent="0.3">
      <c r="A103">
        <v>397</v>
      </c>
      <c r="B103">
        <v>177</v>
      </c>
      <c r="C103">
        <v>193</v>
      </c>
      <c r="D103">
        <v>3200</v>
      </c>
      <c r="E103">
        <v>0</v>
      </c>
      <c r="F103" s="6" t="s">
        <v>88</v>
      </c>
      <c r="G103" s="6">
        <f t="shared" si="18"/>
        <v>0</v>
      </c>
      <c r="H103" s="6">
        <f t="shared" si="19"/>
        <v>1</v>
      </c>
      <c r="I103" s="6">
        <f t="shared" si="20"/>
        <v>0</v>
      </c>
      <c r="J103" s="6">
        <f>$V$5+$W$5*penguins[[#This Row],[Culmen Length (mm)]]+penguins[[#This Row],[Culmen Depth (mm)]]*$X$5+$Y$5*penguins[[#This Row],[Flipper Length (mm)]]+penguins[[#This Row],[Body mass (g)]]*$Z$5+$AA$5*penguins[[#This Row],[Gender]]</f>
        <v>-203.36692892409641</v>
      </c>
      <c r="K103" s="6">
        <f>$V$6+$W$6*penguins[[#This Row],[Culmen Length (mm)]]+penguins[[#This Row],[Culmen Depth (mm)]]*$X$6+$Y$6*penguins[[#This Row],[Flipper Length (mm)]]+penguins[[#This Row],[Body mass (g)]]*$Z$6+$AA$6*penguins[[#This Row],[Gender]]</f>
        <v>-203.0559634730219</v>
      </c>
      <c r="L103" s="6">
        <f>$V$7+$W$7*penguins[[#This Row],[Culmen Length (mm)]]+penguins[[#This Row],[Culmen Depth (mm)]]*$X$7+$Y$7*penguins[[#This Row],[Flipper Length (mm)]]+penguins[[#This Row],[Body mass (g)]]*$Z$7+$AA$7*penguins[[#This Row],[Gender]]</f>
        <v>-204.05692340920515</v>
      </c>
      <c r="M103" s="6">
        <f t="shared" si="21"/>
        <v>0.34887928918987604</v>
      </c>
      <c r="N103" s="6">
        <f t="shared" si="22"/>
        <v>0.47613024330896769</v>
      </c>
      <c r="O103" s="6">
        <f t="shared" si="23"/>
        <v>0.17499046750115616</v>
      </c>
      <c r="P103" s="6">
        <f t="shared" si="24"/>
        <v>-0.74206384178095985</v>
      </c>
    </row>
    <row r="104" spans="1:16" x14ac:dyDescent="0.3">
      <c r="A104">
        <v>422</v>
      </c>
      <c r="B104">
        <v>195</v>
      </c>
      <c r="C104">
        <v>197</v>
      </c>
      <c r="D104">
        <v>4275</v>
      </c>
      <c r="E104">
        <v>1</v>
      </c>
      <c r="F104" s="6" t="s">
        <v>88</v>
      </c>
      <c r="G104" s="6">
        <f t="shared" si="18"/>
        <v>0</v>
      </c>
      <c r="H104" s="6">
        <f t="shared" si="19"/>
        <v>1</v>
      </c>
      <c r="I104" s="6">
        <f t="shared" si="20"/>
        <v>0</v>
      </c>
      <c r="J104" s="6">
        <f>$V$5+$W$5*penguins[[#This Row],[Culmen Length (mm)]]+penguins[[#This Row],[Culmen Depth (mm)]]*$X$5+$Y$5*penguins[[#This Row],[Flipper Length (mm)]]+penguins[[#This Row],[Body mass (g)]]*$Z$5+$AA$5*penguins[[#This Row],[Gender]]</f>
        <v>-273.57554738012203</v>
      </c>
      <c r="K104" s="6">
        <f>$V$6+$W$6*penguins[[#This Row],[Culmen Length (mm)]]+penguins[[#This Row],[Culmen Depth (mm)]]*$X$6+$Y$6*penguins[[#This Row],[Flipper Length (mm)]]+penguins[[#This Row],[Body mass (g)]]*$Z$6+$AA$6*penguins[[#This Row],[Gender]]</f>
        <v>-274.28967148077157</v>
      </c>
      <c r="L104" s="6">
        <f>$V$7+$W$7*penguins[[#This Row],[Culmen Length (mm)]]+penguins[[#This Row],[Culmen Depth (mm)]]*$X$7+$Y$7*penguins[[#This Row],[Flipper Length (mm)]]+penguins[[#This Row],[Body mass (g)]]*$Z$7+$AA$7*penguins[[#This Row],[Gender]]</f>
        <v>-273.68721705192036</v>
      </c>
      <c r="M104" s="6">
        <f t="shared" si="21"/>
        <v>0.41947005198667892</v>
      </c>
      <c r="N104" s="6">
        <f t="shared" si="22"/>
        <v>0.20538125511341201</v>
      </c>
      <c r="O104" s="6">
        <f t="shared" si="23"/>
        <v>0.37514869289990899</v>
      </c>
      <c r="P104" s="6">
        <f t="shared" si="24"/>
        <v>-1.5828872460542467</v>
      </c>
    </row>
    <row r="105" spans="1:16" x14ac:dyDescent="0.3">
      <c r="A105">
        <v>396</v>
      </c>
      <c r="B105">
        <v>207</v>
      </c>
      <c r="C105">
        <v>191</v>
      </c>
      <c r="D105">
        <v>3900</v>
      </c>
      <c r="E105">
        <v>0</v>
      </c>
      <c r="F105" s="6" t="s">
        <v>88</v>
      </c>
      <c r="G105" s="6">
        <f t="shared" si="18"/>
        <v>0</v>
      </c>
      <c r="H105" s="6">
        <f t="shared" si="19"/>
        <v>1</v>
      </c>
      <c r="I105" s="6">
        <f t="shared" si="20"/>
        <v>0</v>
      </c>
      <c r="J105" s="6">
        <f>$V$5+$W$5*penguins[[#This Row],[Culmen Length (mm)]]+penguins[[#This Row],[Culmen Depth (mm)]]*$X$5+$Y$5*penguins[[#This Row],[Flipper Length (mm)]]+penguins[[#This Row],[Body mass (g)]]*$Z$5+$AA$5*penguins[[#This Row],[Gender]]</f>
        <v>-248.95200169246326</v>
      </c>
      <c r="K105" s="6">
        <f>$V$6+$W$6*penguins[[#This Row],[Culmen Length (mm)]]+penguins[[#This Row],[Culmen Depth (mm)]]*$X$6+$Y$6*penguins[[#This Row],[Flipper Length (mm)]]+penguins[[#This Row],[Body mass (g)]]*$Z$6+$AA$6*penguins[[#This Row],[Gender]]</f>
        <v>-249.64693337366526</v>
      </c>
      <c r="L105" s="6">
        <f>$V$7+$W$7*penguins[[#This Row],[Culmen Length (mm)]]+penguins[[#This Row],[Culmen Depth (mm)]]*$X$7+$Y$7*penguins[[#This Row],[Flipper Length (mm)]]+penguins[[#This Row],[Body mass (g)]]*$Z$7+$AA$7*penguins[[#This Row],[Gender]]</f>
        <v>-249.41506467219634</v>
      </c>
      <c r="M105" s="6">
        <f t="shared" si="21"/>
        <v>0.46982291254202413</v>
      </c>
      <c r="N105" s="6">
        <f t="shared" si="22"/>
        <v>0.23449263043509919</v>
      </c>
      <c r="O105" s="6">
        <f t="shared" si="23"/>
        <v>0.29568445702287671</v>
      </c>
      <c r="P105" s="6">
        <f t="shared" si="24"/>
        <v>-1.4503311183056276</v>
      </c>
    </row>
    <row r="106" spans="1:16" x14ac:dyDescent="0.3">
      <c r="A106">
        <v>427</v>
      </c>
      <c r="B106">
        <v>183</v>
      </c>
      <c r="C106">
        <v>196</v>
      </c>
      <c r="D106">
        <v>4075</v>
      </c>
      <c r="E106">
        <v>1</v>
      </c>
      <c r="F106" s="6" t="s">
        <v>88</v>
      </c>
      <c r="G106" s="6">
        <f t="shared" si="18"/>
        <v>0</v>
      </c>
      <c r="H106" s="6">
        <f t="shared" si="19"/>
        <v>1</v>
      </c>
      <c r="I106" s="6">
        <f t="shared" si="20"/>
        <v>0</v>
      </c>
      <c r="J106" s="6">
        <f>$V$5+$W$5*penguins[[#This Row],[Culmen Length (mm)]]+penguins[[#This Row],[Culmen Depth (mm)]]*$X$5+$Y$5*penguins[[#This Row],[Flipper Length (mm)]]+penguins[[#This Row],[Body mass (g)]]*$Z$5+$AA$5*penguins[[#This Row],[Gender]]</f>
        <v>-260.57744659842342</v>
      </c>
      <c r="K106" s="6">
        <f>$V$6+$W$6*penguins[[#This Row],[Culmen Length (mm)]]+penguins[[#This Row],[Culmen Depth (mm)]]*$X$6+$Y$6*penguins[[#This Row],[Flipper Length (mm)]]+penguins[[#This Row],[Body mass (g)]]*$Z$6+$AA$6*penguins[[#This Row],[Gender]]</f>
        <v>-261.01082167832851</v>
      </c>
      <c r="L106" s="6">
        <f>$V$7+$W$7*penguins[[#This Row],[Culmen Length (mm)]]+penguins[[#This Row],[Culmen Depth (mm)]]*$X$7+$Y$7*penguins[[#This Row],[Flipper Length (mm)]]+penguins[[#This Row],[Body mass (g)]]*$Z$7+$AA$7*penguins[[#This Row],[Gender]]</f>
        <v>-260.68601381408922</v>
      </c>
      <c r="M106" s="6">
        <f t="shared" si="21"/>
        <v>0.39286002552963029</v>
      </c>
      <c r="N106" s="6">
        <f t="shared" si="22"/>
        <v>0.25469794137001478</v>
      </c>
      <c r="O106" s="6">
        <f t="shared" si="23"/>
        <v>0.35244203310035488</v>
      </c>
      <c r="P106" s="6">
        <f t="shared" si="24"/>
        <v>-1.3676769795970585</v>
      </c>
    </row>
    <row r="107" spans="1:16" x14ac:dyDescent="0.3">
      <c r="A107">
        <v>386</v>
      </c>
      <c r="B107">
        <v>17</v>
      </c>
      <c r="C107">
        <v>188</v>
      </c>
      <c r="D107">
        <v>2900</v>
      </c>
      <c r="E107">
        <v>0</v>
      </c>
      <c r="F107" s="6" t="s">
        <v>88</v>
      </c>
      <c r="G107" s="6">
        <f t="shared" si="18"/>
        <v>0</v>
      </c>
      <c r="H107" s="6">
        <f t="shared" si="19"/>
        <v>1</v>
      </c>
      <c r="I107" s="6">
        <f t="shared" si="20"/>
        <v>0</v>
      </c>
      <c r="J107" s="6">
        <f>$V$5+$W$5*penguins[[#This Row],[Culmen Length (mm)]]+penguins[[#This Row],[Culmen Depth (mm)]]*$X$5+$Y$5*penguins[[#This Row],[Flipper Length (mm)]]+penguins[[#This Row],[Body mass (g)]]*$Z$5+$AA$5*penguins[[#This Row],[Gender]]</f>
        <v>-186.50308330138321</v>
      </c>
      <c r="K107" s="6">
        <f>$V$6+$W$6*penguins[[#This Row],[Culmen Length (mm)]]+penguins[[#This Row],[Culmen Depth (mm)]]*$X$6+$Y$6*penguins[[#This Row],[Flipper Length (mm)]]+penguins[[#This Row],[Body mass (g)]]*$Z$6+$AA$6*penguins[[#This Row],[Gender]]</f>
        <v>-184.54930825359713</v>
      </c>
      <c r="L107" s="6">
        <f>$V$7+$W$7*penguins[[#This Row],[Culmen Length (mm)]]+penguins[[#This Row],[Culmen Depth (mm)]]*$X$7+$Y$7*penguins[[#This Row],[Flipper Length (mm)]]+penguins[[#This Row],[Body mass (g)]]*$Z$7+$AA$7*penguins[[#This Row],[Gender]]</f>
        <v>-185.3259567815883</v>
      </c>
      <c r="M107" s="6">
        <f t="shared" si="21"/>
        <v>8.8493166298602807E-2</v>
      </c>
      <c r="N107" s="6">
        <f t="shared" si="22"/>
        <v>0.62434330156739737</v>
      </c>
      <c r="O107" s="6">
        <f t="shared" si="23"/>
        <v>0.2871635321339997</v>
      </c>
      <c r="P107" s="6">
        <f t="shared" si="24"/>
        <v>-0.47105489912849546</v>
      </c>
    </row>
    <row r="108" spans="1:16" x14ac:dyDescent="0.3">
      <c r="A108">
        <v>373</v>
      </c>
      <c r="B108">
        <v>205</v>
      </c>
      <c r="C108">
        <v>199</v>
      </c>
      <c r="D108">
        <v>3775</v>
      </c>
      <c r="E108">
        <v>1</v>
      </c>
      <c r="F108" s="6" t="s">
        <v>88</v>
      </c>
      <c r="G108" s="6">
        <f t="shared" si="18"/>
        <v>0</v>
      </c>
      <c r="H108" s="6">
        <f t="shared" si="19"/>
        <v>1</v>
      </c>
      <c r="I108" s="6">
        <f t="shared" si="20"/>
        <v>0</v>
      </c>
      <c r="J108" s="6">
        <f>$V$5+$W$5*penguins[[#This Row],[Culmen Length (mm)]]+penguins[[#This Row],[Culmen Depth (mm)]]*$X$5+$Y$5*penguins[[#This Row],[Flipper Length (mm)]]+penguins[[#This Row],[Body mass (g)]]*$Z$5+$AA$5*penguins[[#This Row],[Gender]]</f>
        <v>-240.88947390977452</v>
      </c>
      <c r="K108" s="6">
        <f>$V$6+$W$6*penguins[[#This Row],[Culmen Length (mm)]]+penguins[[#This Row],[Culmen Depth (mm)]]*$X$6+$Y$6*penguins[[#This Row],[Flipper Length (mm)]]+penguins[[#This Row],[Body mass (g)]]*$Z$6+$AA$6*penguins[[#This Row],[Gender]]</f>
        <v>-241.18016546731587</v>
      </c>
      <c r="L108" s="6">
        <f>$V$7+$W$7*penguins[[#This Row],[Culmen Length (mm)]]+penguins[[#This Row],[Culmen Depth (mm)]]*$X$7+$Y$7*penguins[[#This Row],[Flipper Length (mm)]]+penguins[[#This Row],[Body mass (g)]]*$Z$7+$AA$7*penguins[[#This Row],[Gender]]</f>
        <v>-241.67138957735187</v>
      </c>
      <c r="M108" s="6">
        <f t="shared" si="21"/>
        <v>0.45345819011077215</v>
      </c>
      <c r="N108" s="6">
        <f t="shared" si="22"/>
        <v>0.33907167440699226</v>
      </c>
      <c r="O108" s="6">
        <f t="shared" si="23"/>
        <v>0.20747013548223561</v>
      </c>
      <c r="P108" s="6">
        <f t="shared" si="24"/>
        <v>-1.0815437650204522</v>
      </c>
    </row>
    <row r="109" spans="1:16" x14ac:dyDescent="0.3">
      <c r="A109">
        <v>357</v>
      </c>
      <c r="B109">
        <v>17</v>
      </c>
      <c r="C109">
        <v>189</v>
      </c>
      <c r="D109">
        <v>3350</v>
      </c>
      <c r="E109">
        <v>0</v>
      </c>
      <c r="F109" s="6" t="s">
        <v>88</v>
      </c>
      <c r="G109" s="6">
        <f t="shared" si="18"/>
        <v>0</v>
      </c>
      <c r="H109" s="6">
        <f t="shared" si="19"/>
        <v>1</v>
      </c>
      <c r="I109" s="6">
        <f t="shared" si="20"/>
        <v>0</v>
      </c>
      <c r="J109" s="6">
        <f>$V$5+$W$5*penguins[[#This Row],[Culmen Length (mm)]]+penguins[[#This Row],[Culmen Depth (mm)]]*$X$5+$Y$5*penguins[[#This Row],[Flipper Length (mm)]]+penguins[[#This Row],[Body mass (g)]]*$Z$5+$AA$5*penguins[[#This Row],[Gender]]</f>
        <v>-216.37281434957345</v>
      </c>
      <c r="K109" s="6">
        <f>$V$6+$W$6*penguins[[#This Row],[Culmen Length (mm)]]+penguins[[#This Row],[Culmen Depth (mm)]]*$X$6+$Y$6*penguins[[#This Row],[Flipper Length (mm)]]+penguins[[#This Row],[Body mass (g)]]*$Z$6+$AA$6*penguins[[#This Row],[Gender]]</f>
        <v>-214.83852759472464</v>
      </c>
      <c r="L109" s="6">
        <f>$V$7+$W$7*penguins[[#This Row],[Culmen Length (mm)]]+penguins[[#This Row],[Culmen Depth (mm)]]*$X$7+$Y$7*penguins[[#This Row],[Flipper Length (mm)]]+penguins[[#This Row],[Body mass (g)]]*$Z$7+$AA$7*penguins[[#This Row],[Gender]]</f>
        <v>-214.86906080292727</v>
      </c>
      <c r="M109" s="6">
        <f t="shared" si="21"/>
        <v>9.8652805012602929E-2</v>
      </c>
      <c r="N109" s="6">
        <f t="shared" si="22"/>
        <v>0.45755331841016883</v>
      </c>
      <c r="O109" s="6">
        <f t="shared" si="23"/>
        <v>0.44379387657722813</v>
      </c>
      <c r="P109" s="6">
        <f t="shared" si="24"/>
        <v>-0.78186185808411912</v>
      </c>
    </row>
    <row r="110" spans="1:16" x14ac:dyDescent="0.3">
      <c r="A110">
        <v>411</v>
      </c>
      <c r="B110">
        <v>186</v>
      </c>
      <c r="C110">
        <v>189</v>
      </c>
      <c r="D110">
        <v>3325</v>
      </c>
      <c r="E110">
        <v>1</v>
      </c>
      <c r="F110" s="6" t="s">
        <v>88</v>
      </c>
      <c r="G110" s="6">
        <f t="shared" si="18"/>
        <v>0</v>
      </c>
      <c r="H110" s="6">
        <f t="shared" si="19"/>
        <v>1</v>
      </c>
      <c r="I110" s="6">
        <f t="shared" si="20"/>
        <v>0</v>
      </c>
      <c r="J110" s="6">
        <f>$V$5+$W$5*penguins[[#This Row],[Culmen Length (mm)]]+penguins[[#This Row],[Culmen Depth (mm)]]*$X$5+$Y$5*penguins[[#This Row],[Flipper Length (mm)]]+penguins[[#This Row],[Body mass (g)]]*$Z$5+$AA$5*penguins[[#This Row],[Gender]]</f>
        <v>-211.31155429568469</v>
      </c>
      <c r="K110" s="6">
        <f>$V$6+$W$6*penguins[[#This Row],[Culmen Length (mm)]]+penguins[[#This Row],[Culmen Depth (mm)]]*$X$6+$Y$6*penguins[[#This Row],[Flipper Length (mm)]]+penguins[[#This Row],[Body mass (g)]]*$Z$6+$AA$6*penguins[[#This Row],[Gender]]</f>
        <v>-211.23326598674083</v>
      </c>
      <c r="L110" s="6">
        <f>$V$7+$W$7*penguins[[#This Row],[Culmen Length (mm)]]+penguins[[#This Row],[Culmen Depth (mm)]]*$X$7+$Y$7*penguins[[#This Row],[Flipper Length (mm)]]+penguins[[#This Row],[Body mass (g)]]*$Z$7+$AA$7*penguins[[#This Row],[Gender]]</f>
        <v>-212.0720533765595</v>
      </c>
      <c r="M110" s="6">
        <f t="shared" si="21"/>
        <v>0.3923311065572983</v>
      </c>
      <c r="N110" s="6">
        <f t="shared" si="22"/>
        <v>0.42428035518947349</v>
      </c>
      <c r="O110" s="6">
        <f t="shared" si="23"/>
        <v>0.18338853825322812</v>
      </c>
      <c r="P110" s="6">
        <f t="shared" si="24"/>
        <v>-0.85736082718703588</v>
      </c>
    </row>
    <row r="111" spans="1:16" x14ac:dyDescent="0.3">
      <c r="A111">
        <v>362</v>
      </c>
      <c r="B111">
        <v>172</v>
      </c>
      <c r="C111">
        <v>187</v>
      </c>
      <c r="D111">
        <v>3150</v>
      </c>
      <c r="E111">
        <v>0</v>
      </c>
      <c r="F111" s="6" t="s">
        <v>88</v>
      </c>
      <c r="G111" s="6">
        <f t="shared" si="18"/>
        <v>0</v>
      </c>
      <c r="H111" s="6">
        <f t="shared" si="19"/>
        <v>1</v>
      </c>
      <c r="I111" s="6">
        <f t="shared" si="20"/>
        <v>0</v>
      </c>
      <c r="J111" s="6">
        <f>$V$5+$W$5*penguins[[#This Row],[Culmen Length (mm)]]+penguins[[#This Row],[Culmen Depth (mm)]]*$X$5+$Y$5*penguins[[#This Row],[Flipper Length (mm)]]+penguins[[#This Row],[Body mass (g)]]*$Z$5+$AA$5*penguins[[#This Row],[Gender]]</f>
        <v>-200.48453370903835</v>
      </c>
      <c r="K111" s="6">
        <f>$V$6+$W$6*penguins[[#This Row],[Culmen Length (mm)]]+penguins[[#This Row],[Culmen Depth (mm)]]*$X$6+$Y$6*penguins[[#This Row],[Flipper Length (mm)]]+penguins[[#This Row],[Body mass (g)]]*$Z$6+$AA$6*penguins[[#This Row],[Gender]]</f>
        <v>-200.244948886065</v>
      </c>
      <c r="L111" s="6">
        <f>$V$7+$W$7*penguins[[#This Row],[Culmen Length (mm)]]+penguins[[#This Row],[Culmen Depth (mm)]]*$X$7+$Y$7*penguins[[#This Row],[Flipper Length (mm)]]+penguins[[#This Row],[Body mass (g)]]*$Z$7+$AA$7*penguins[[#This Row],[Gender]]</f>
        <v>-201.16082092592632</v>
      </c>
      <c r="M111" s="6">
        <f t="shared" si="21"/>
        <v>0.35981280774142715</v>
      </c>
      <c r="N111" s="6">
        <f t="shared" si="22"/>
        <v>0.45722185869266418</v>
      </c>
      <c r="O111" s="6">
        <f t="shared" si="23"/>
        <v>0.18296533356590863</v>
      </c>
      <c r="P111" s="6">
        <f t="shared" si="24"/>
        <v>-0.78258653829037528</v>
      </c>
    </row>
    <row r="112" spans="1:16" x14ac:dyDescent="0.3">
      <c r="A112">
        <v>377</v>
      </c>
      <c r="B112">
        <v>198</v>
      </c>
      <c r="C112">
        <v>198</v>
      </c>
      <c r="D112">
        <v>3500</v>
      </c>
      <c r="E112">
        <v>1</v>
      </c>
      <c r="F112" s="6" t="s">
        <v>88</v>
      </c>
      <c r="G112" s="6">
        <f t="shared" si="18"/>
        <v>0</v>
      </c>
      <c r="H112" s="6">
        <f t="shared" si="19"/>
        <v>1</v>
      </c>
      <c r="I112" s="6">
        <f t="shared" si="20"/>
        <v>0</v>
      </c>
      <c r="J112" s="6">
        <f>$V$5+$W$5*penguins[[#This Row],[Culmen Length (mm)]]+penguins[[#This Row],[Culmen Depth (mm)]]*$X$5+$Y$5*penguins[[#This Row],[Flipper Length (mm)]]+penguins[[#This Row],[Body mass (g)]]*$Z$5+$AA$5*penguins[[#This Row],[Gender]]</f>
        <v>-222.87520661541268</v>
      </c>
      <c r="K112" s="6">
        <f>$V$6+$W$6*penguins[[#This Row],[Culmen Length (mm)]]+penguins[[#This Row],[Culmen Depth (mm)]]*$X$6+$Y$6*penguins[[#This Row],[Flipper Length (mm)]]+penguins[[#This Row],[Body mass (g)]]*$Z$6+$AA$6*penguins[[#This Row],[Gender]]</f>
        <v>-222.85948845648232</v>
      </c>
      <c r="L112" s="6">
        <f>$V$7+$W$7*penguins[[#This Row],[Culmen Length (mm)]]+penguins[[#This Row],[Culmen Depth (mm)]]*$X$7+$Y$7*penguins[[#This Row],[Flipper Length (mm)]]+penguins[[#This Row],[Body mass (g)]]*$Z$7+$AA$7*penguins[[#This Row],[Gender]]</f>
        <v>-223.78621997552861</v>
      </c>
      <c r="M112" s="6">
        <f t="shared" si="21"/>
        <v>0.41357196493111414</v>
      </c>
      <c r="N112" s="6">
        <f t="shared" si="22"/>
        <v>0.42012391218576384</v>
      </c>
      <c r="O112" s="6">
        <f t="shared" si="23"/>
        <v>0.16630412288312194</v>
      </c>
      <c r="P112" s="6">
        <f t="shared" si="24"/>
        <v>-0.86720558220350097</v>
      </c>
    </row>
    <row r="113" spans="1:16" x14ac:dyDescent="0.3">
      <c r="A113">
        <v>402</v>
      </c>
      <c r="B113">
        <v>17</v>
      </c>
      <c r="C113">
        <v>176</v>
      </c>
      <c r="D113">
        <v>3450</v>
      </c>
      <c r="E113">
        <v>0</v>
      </c>
      <c r="F113" s="6" t="s">
        <v>88</v>
      </c>
      <c r="G113" s="6">
        <f t="shared" si="18"/>
        <v>0</v>
      </c>
      <c r="H113" s="6">
        <f t="shared" si="19"/>
        <v>1</v>
      </c>
      <c r="I113" s="6">
        <f t="shared" si="20"/>
        <v>0</v>
      </c>
      <c r="J113" s="6">
        <f>$V$5+$W$5*penguins[[#This Row],[Culmen Length (mm)]]+penguins[[#This Row],[Culmen Depth (mm)]]*$X$5+$Y$5*penguins[[#This Row],[Flipper Length (mm)]]+penguins[[#This Row],[Body mass (g)]]*$Z$5+$AA$5*penguins[[#This Row],[Gender]]</f>
        <v>-222.63106954996695</v>
      </c>
      <c r="K113" s="6">
        <f>$V$6+$W$6*penguins[[#This Row],[Culmen Length (mm)]]+penguins[[#This Row],[Culmen Depth (mm)]]*$X$6+$Y$6*penguins[[#This Row],[Flipper Length (mm)]]+penguins[[#This Row],[Body mass (g)]]*$Z$6+$AA$6*penguins[[#This Row],[Gender]]</f>
        <v>-221.50943016305075</v>
      </c>
      <c r="L113" s="6">
        <f>$V$7+$W$7*penguins[[#This Row],[Culmen Length (mm)]]+penguins[[#This Row],[Culmen Depth (mm)]]*$X$7+$Y$7*penguins[[#This Row],[Flipper Length (mm)]]+penguins[[#This Row],[Body mass (g)]]*$Z$7+$AA$7*penguins[[#This Row],[Gender]]</f>
        <v>-220.84037697447366</v>
      </c>
      <c r="M113" s="6">
        <f t="shared" si="21"/>
        <v>9.936915633077581E-2</v>
      </c>
      <c r="N113" s="6">
        <f t="shared" si="22"/>
        <v>0.30505166446264148</v>
      </c>
      <c r="O113" s="6">
        <f t="shared" si="23"/>
        <v>0.59557917920658265</v>
      </c>
      <c r="P113" s="6">
        <f t="shared" si="24"/>
        <v>-1.1872741250390846</v>
      </c>
    </row>
    <row r="114" spans="1:16" x14ac:dyDescent="0.3">
      <c r="A114">
        <v>414</v>
      </c>
      <c r="B114">
        <v>185</v>
      </c>
      <c r="C114">
        <v>202</v>
      </c>
      <c r="D114">
        <v>3875</v>
      </c>
      <c r="E114">
        <v>1</v>
      </c>
      <c r="F114" s="6" t="s">
        <v>88</v>
      </c>
      <c r="G114" s="6">
        <f t="shared" si="18"/>
        <v>0</v>
      </c>
      <c r="H114" s="6">
        <f t="shared" si="19"/>
        <v>1</v>
      </c>
      <c r="I114" s="6">
        <f t="shared" si="20"/>
        <v>0</v>
      </c>
      <c r="J114" s="6">
        <f>$V$5+$W$5*penguins[[#This Row],[Culmen Length (mm)]]+penguins[[#This Row],[Culmen Depth (mm)]]*$X$5+$Y$5*penguins[[#This Row],[Flipper Length (mm)]]+penguins[[#This Row],[Body mass (g)]]*$Z$5+$AA$5*penguins[[#This Row],[Gender]]</f>
        <v>-247.45921159755878</v>
      </c>
      <c r="K114" s="6">
        <f>$V$6+$W$6*penguins[[#This Row],[Culmen Length (mm)]]+penguins[[#This Row],[Culmen Depth (mm)]]*$X$6+$Y$6*penguins[[#This Row],[Flipper Length (mm)]]+penguins[[#This Row],[Body mass (g)]]*$Z$6+$AA$6*penguins[[#This Row],[Gender]]</f>
        <v>-247.56931649117638</v>
      </c>
      <c r="L114" s="6">
        <f>$V$7+$W$7*penguins[[#This Row],[Culmen Length (mm)]]+penguins[[#This Row],[Culmen Depth (mm)]]*$X$7+$Y$7*penguins[[#This Row],[Flipper Length (mm)]]+penguins[[#This Row],[Body mass (g)]]*$Z$7+$AA$7*penguins[[#This Row],[Gender]]</f>
        <v>-247.84515837191955</v>
      </c>
      <c r="M114" s="6">
        <f t="shared" si="21"/>
        <v>0.38826705405855083</v>
      </c>
      <c r="N114" s="6">
        <f t="shared" si="22"/>
        <v>0.34778639814986073</v>
      </c>
      <c r="O114" s="6">
        <f t="shared" si="23"/>
        <v>0.2639465477915886</v>
      </c>
      <c r="P114" s="6">
        <f t="shared" si="24"/>
        <v>-1.0561667860789714</v>
      </c>
    </row>
    <row r="115" spans="1:16" x14ac:dyDescent="0.3">
      <c r="A115">
        <v>352</v>
      </c>
      <c r="B115">
        <v>159</v>
      </c>
      <c r="C115">
        <v>186</v>
      </c>
      <c r="D115">
        <v>3050</v>
      </c>
      <c r="E115">
        <v>0</v>
      </c>
      <c r="F115" s="6" t="s">
        <v>88</v>
      </c>
      <c r="G115" s="6">
        <f t="shared" si="18"/>
        <v>0</v>
      </c>
      <c r="H115" s="6">
        <f t="shared" si="19"/>
        <v>1</v>
      </c>
      <c r="I115" s="6">
        <f t="shared" si="20"/>
        <v>0</v>
      </c>
      <c r="J115" s="6">
        <f>$V$5+$W$5*penguins[[#This Row],[Culmen Length (mm)]]+penguins[[#This Row],[Culmen Depth (mm)]]*$X$5+$Y$5*penguins[[#This Row],[Flipper Length (mm)]]+penguins[[#This Row],[Body mass (g)]]*$Z$5+$AA$5*penguins[[#This Row],[Gender]]</f>
        <v>-194.215048309922</v>
      </c>
      <c r="K115" s="6">
        <f>$V$6+$W$6*penguins[[#This Row],[Culmen Length (mm)]]+penguins[[#This Row],[Culmen Depth (mm)]]*$X$6+$Y$6*penguins[[#This Row],[Flipper Length (mm)]]+penguins[[#This Row],[Body mass (g)]]*$Z$6+$AA$6*penguins[[#This Row],[Gender]]</f>
        <v>-193.78743156838087</v>
      </c>
      <c r="L115" s="6">
        <f>$V$7+$W$7*penguins[[#This Row],[Culmen Length (mm)]]+penguins[[#This Row],[Culmen Depth (mm)]]*$X$7+$Y$7*penguins[[#This Row],[Flipper Length (mm)]]+penguins[[#This Row],[Body mass (g)]]*$Z$7+$AA$7*penguins[[#This Row],[Gender]]</f>
        <v>-194.8160396691826</v>
      </c>
      <c r="M115" s="6">
        <f t="shared" si="21"/>
        <v>0.32447873691196061</v>
      </c>
      <c r="N115" s="6">
        <f t="shared" si="22"/>
        <v>0.49762000811122326</v>
      </c>
      <c r="O115" s="6">
        <f t="shared" si="23"/>
        <v>0.17790125497681616</v>
      </c>
      <c r="P115" s="6">
        <f t="shared" si="24"/>
        <v>-0.69791852913880181</v>
      </c>
    </row>
    <row r="116" spans="1:16" x14ac:dyDescent="0.3">
      <c r="A116">
        <v>406</v>
      </c>
      <c r="B116">
        <v>19</v>
      </c>
      <c r="C116">
        <v>199</v>
      </c>
      <c r="D116">
        <v>4000</v>
      </c>
      <c r="E116">
        <v>1</v>
      </c>
      <c r="F116" s="6" t="s">
        <v>88</v>
      </c>
      <c r="G116" s="6">
        <f t="shared" si="18"/>
        <v>0</v>
      </c>
      <c r="H116" s="6">
        <f t="shared" si="19"/>
        <v>1</v>
      </c>
      <c r="I116" s="6">
        <f t="shared" si="20"/>
        <v>0</v>
      </c>
      <c r="J116" s="6">
        <f>$V$5+$W$5*penguins[[#This Row],[Culmen Length (mm)]]+penguins[[#This Row],[Culmen Depth (mm)]]*$X$5+$Y$5*penguins[[#This Row],[Flipper Length (mm)]]+penguins[[#This Row],[Body mass (g)]]*$Z$5+$AA$5*penguins[[#This Row],[Gender]]</f>
        <v>-258.64721234455578</v>
      </c>
      <c r="K116" s="6">
        <f>$V$6+$W$6*penguins[[#This Row],[Culmen Length (mm)]]+penguins[[#This Row],[Culmen Depth (mm)]]*$X$6+$Y$6*penguins[[#This Row],[Flipper Length (mm)]]+penguins[[#This Row],[Body mass (g)]]*$Z$6+$AA$6*penguins[[#This Row],[Gender]]</f>
        <v>-257.41702004801704</v>
      </c>
      <c r="L116" s="6">
        <f>$V$7+$W$7*penguins[[#This Row],[Culmen Length (mm)]]+penguins[[#This Row],[Culmen Depth (mm)]]*$X$7+$Y$7*penguins[[#This Row],[Flipper Length (mm)]]+penguins[[#This Row],[Body mass (g)]]*$Z$7+$AA$7*penguins[[#This Row],[Gender]]</f>
        <v>-256.73321124779807</v>
      </c>
      <c r="M116" s="6">
        <f t="shared" si="21"/>
        <v>8.926937339237824E-2</v>
      </c>
      <c r="N116" s="6">
        <f t="shared" si="22"/>
        <v>0.30546975206462768</v>
      </c>
      <c r="O116" s="6">
        <f t="shared" si="23"/>
        <v>0.60526087454299393</v>
      </c>
      <c r="P116" s="6">
        <f t="shared" si="24"/>
        <v>-1.1859045165175053</v>
      </c>
    </row>
    <row r="117" spans="1:16" x14ac:dyDescent="0.3">
      <c r="A117">
        <v>388</v>
      </c>
      <c r="B117">
        <v>176</v>
      </c>
      <c r="C117">
        <v>191</v>
      </c>
      <c r="D117">
        <v>3275</v>
      </c>
      <c r="E117">
        <v>0</v>
      </c>
      <c r="F117" s="6" t="s">
        <v>88</v>
      </c>
      <c r="G117" s="6">
        <f t="shared" si="18"/>
        <v>0</v>
      </c>
      <c r="H117" s="6">
        <f t="shared" si="19"/>
        <v>1</v>
      </c>
      <c r="I117" s="6">
        <f t="shared" si="20"/>
        <v>0</v>
      </c>
      <c r="J117" s="6">
        <f>$V$5+$W$5*penguins[[#This Row],[Culmen Length (mm)]]+penguins[[#This Row],[Culmen Depth (mm)]]*$X$5+$Y$5*penguins[[#This Row],[Flipper Length (mm)]]+penguins[[#This Row],[Body mass (g)]]*$Z$5+$AA$5*penguins[[#This Row],[Gender]]</f>
        <v>-208.40726799775416</v>
      </c>
      <c r="K117" s="6">
        <f>$V$6+$W$6*penguins[[#This Row],[Culmen Length (mm)]]+penguins[[#This Row],[Culmen Depth (mm)]]*$X$6+$Y$6*penguins[[#This Row],[Flipper Length (mm)]]+penguins[[#This Row],[Body mass (g)]]*$Z$6+$AA$6*penguins[[#This Row],[Gender]]</f>
        <v>-208.21383915692601</v>
      </c>
      <c r="L117" s="6">
        <f>$V$7+$W$7*penguins[[#This Row],[Culmen Length (mm)]]+penguins[[#This Row],[Culmen Depth (mm)]]*$X$7+$Y$7*penguins[[#This Row],[Flipper Length (mm)]]+penguins[[#This Row],[Body mass (g)]]*$Z$7+$AA$7*penguins[[#This Row],[Gender]]</f>
        <v>-209.01746519096673</v>
      </c>
      <c r="M117" s="6">
        <f t="shared" si="21"/>
        <v>0.36275957068592979</v>
      </c>
      <c r="N117" s="6">
        <f t="shared" si="22"/>
        <v>0.44017356539650543</v>
      </c>
      <c r="O117" s="6">
        <f t="shared" si="23"/>
        <v>0.19706686391756484</v>
      </c>
      <c r="P117" s="6">
        <f t="shared" si="24"/>
        <v>-0.8205861630411686</v>
      </c>
    </row>
    <row r="118" spans="1:16" x14ac:dyDescent="0.3">
      <c r="A118">
        <v>415</v>
      </c>
      <c r="B118">
        <v>183</v>
      </c>
      <c r="C118">
        <v>195</v>
      </c>
      <c r="D118">
        <v>4300</v>
      </c>
      <c r="E118">
        <v>1</v>
      </c>
      <c r="F118" s="6" t="s">
        <v>88</v>
      </c>
      <c r="G118" s="6">
        <f t="shared" si="18"/>
        <v>0</v>
      </c>
      <c r="H118" s="6">
        <f t="shared" si="19"/>
        <v>1</v>
      </c>
      <c r="I118" s="6">
        <f t="shared" si="20"/>
        <v>0</v>
      </c>
      <c r="J118" s="6">
        <f>$V$5+$W$5*penguins[[#This Row],[Culmen Length (mm)]]+penguins[[#This Row],[Culmen Depth (mm)]]*$X$5+$Y$5*penguins[[#This Row],[Flipper Length (mm)]]+penguins[[#This Row],[Body mass (g)]]*$Z$5+$AA$5*penguins[[#This Row],[Gender]]</f>
        <v>-275.49757532749146</v>
      </c>
      <c r="K118" s="6">
        <f>$V$6+$W$6*penguins[[#This Row],[Culmen Length (mm)]]+penguins[[#This Row],[Culmen Depth (mm)]]*$X$6+$Y$6*penguins[[#This Row],[Flipper Length (mm)]]+penguins[[#This Row],[Body mass (g)]]*$Z$6+$AA$6*penguins[[#This Row],[Gender]]</f>
        <v>-276.17813969135358</v>
      </c>
      <c r="L118" s="6">
        <f>$V$7+$W$7*penguins[[#This Row],[Culmen Length (mm)]]+penguins[[#This Row],[Culmen Depth (mm)]]*$X$7+$Y$7*penguins[[#This Row],[Flipper Length (mm)]]+penguins[[#This Row],[Body mass (g)]]*$Z$7+$AA$7*penguins[[#This Row],[Gender]]</f>
        <v>-275.42457458865493</v>
      </c>
      <c r="M118" s="6">
        <f t="shared" si="21"/>
        <v>0.38728729629423103</v>
      </c>
      <c r="N118" s="6">
        <f t="shared" si="22"/>
        <v>0.19609562471113001</v>
      </c>
      <c r="O118" s="6">
        <f t="shared" si="23"/>
        <v>0.41661707899463885</v>
      </c>
      <c r="P118" s="6">
        <f t="shared" si="24"/>
        <v>-1.6291528575477119</v>
      </c>
    </row>
    <row r="119" spans="1:16" x14ac:dyDescent="0.3">
      <c r="A119">
        <v>39</v>
      </c>
      <c r="B119">
        <v>171</v>
      </c>
      <c r="C119">
        <v>191</v>
      </c>
      <c r="D119">
        <v>3050</v>
      </c>
      <c r="E119">
        <v>0</v>
      </c>
      <c r="F119" s="6" t="s">
        <v>88</v>
      </c>
      <c r="G119" s="6">
        <f t="shared" si="18"/>
        <v>0</v>
      </c>
      <c r="H119" s="6">
        <f t="shared" si="19"/>
        <v>1</v>
      </c>
      <c r="I119" s="6">
        <f t="shared" si="20"/>
        <v>0</v>
      </c>
      <c r="J119" s="6">
        <f>$V$5+$W$5*penguins[[#This Row],[Culmen Length (mm)]]+penguins[[#This Row],[Culmen Depth (mm)]]*$X$5+$Y$5*penguins[[#This Row],[Flipper Length (mm)]]+penguins[[#This Row],[Body mass (g)]]*$Z$5+$AA$5*penguins[[#This Row],[Gender]]</f>
        <v>-196.64168204378996</v>
      </c>
      <c r="K119" s="6">
        <f>$V$6+$W$6*penguins[[#This Row],[Culmen Length (mm)]]+penguins[[#This Row],[Culmen Depth (mm)]]*$X$6+$Y$6*penguins[[#This Row],[Flipper Length (mm)]]+penguins[[#This Row],[Body mass (g)]]*$Z$6+$AA$6*penguins[[#This Row],[Gender]]</f>
        <v>-196.31089321945103</v>
      </c>
      <c r="L119" s="6">
        <f>$V$7+$W$7*penguins[[#This Row],[Culmen Length (mm)]]+penguins[[#This Row],[Culmen Depth (mm)]]*$X$7+$Y$7*penguins[[#This Row],[Flipper Length (mm)]]+penguins[[#This Row],[Body mass (g)]]*$Z$7+$AA$7*penguins[[#This Row],[Gender]]</f>
        <v>-198.01475942178533</v>
      </c>
      <c r="M119" s="6">
        <f t="shared" si="21"/>
        <v>0.37801581452940169</v>
      </c>
      <c r="N119" s="6">
        <f t="shared" si="22"/>
        <v>0.52622288380768645</v>
      </c>
      <c r="O119" s="6">
        <f t="shared" si="23"/>
        <v>9.5761301662911774E-2</v>
      </c>
      <c r="P119" s="6">
        <f t="shared" si="24"/>
        <v>-0.64203042251941456</v>
      </c>
    </row>
    <row r="120" spans="1:16" x14ac:dyDescent="0.3">
      <c r="A120">
        <v>441</v>
      </c>
      <c r="B120">
        <v>18</v>
      </c>
      <c r="C120">
        <v>210</v>
      </c>
      <c r="D120">
        <v>4000</v>
      </c>
      <c r="E120">
        <v>1</v>
      </c>
      <c r="F120" s="6" t="s">
        <v>88</v>
      </c>
      <c r="G120" s="6">
        <f t="shared" si="18"/>
        <v>0</v>
      </c>
      <c r="H120" s="6">
        <f t="shared" si="19"/>
        <v>1</v>
      </c>
      <c r="I120" s="6">
        <f t="shared" si="20"/>
        <v>0</v>
      </c>
      <c r="J120" s="6">
        <f>$V$5+$W$5*penguins[[#This Row],[Culmen Length (mm)]]+penguins[[#This Row],[Culmen Depth (mm)]]*$X$5+$Y$5*penguins[[#This Row],[Flipper Length (mm)]]+penguins[[#This Row],[Body mass (g)]]*$Z$5+$AA$5*penguins[[#This Row],[Gender]]</f>
        <v>-258.3200107328438</v>
      </c>
      <c r="K120" s="6">
        <f>$V$6+$W$6*penguins[[#This Row],[Culmen Length (mm)]]+penguins[[#This Row],[Culmen Depth (mm)]]*$X$6+$Y$6*penguins[[#This Row],[Flipper Length (mm)]]+penguins[[#This Row],[Body mass (g)]]*$Z$6+$AA$6*penguins[[#This Row],[Gender]]</f>
        <v>-256.78663566492418</v>
      </c>
      <c r="L120" s="6">
        <f>$V$7+$W$7*penguins[[#This Row],[Culmen Length (mm)]]+penguins[[#This Row],[Culmen Depth (mm)]]*$X$7+$Y$7*penguins[[#This Row],[Flipper Length (mm)]]+penguins[[#This Row],[Body mass (g)]]*$Z$7+$AA$7*penguins[[#This Row],[Gender]]</f>
        <v>-256.42981881033836</v>
      </c>
      <c r="M120" s="6">
        <f t="shared" si="21"/>
        <v>8.1603149198438918E-2</v>
      </c>
      <c r="N120" s="6">
        <f t="shared" si="22"/>
        <v>0.37813184165826536</v>
      </c>
      <c r="O120" s="6">
        <f t="shared" si="23"/>
        <v>0.54026500914329567</v>
      </c>
      <c r="P120" s="6">
        <f t="shared" si="24"/>
        <v>-0.97251235671902558</v>
      </c>
    </row>
    <row r="121" spans="1:16" x14ac:dyDescent="0.3">
      <c r="A121">
        <v>385</v>
      </c>
      <c r="B121">
        <v>179</v>
      </c>
      <c r="C121">
        <v>190</v>
      </c>
      <c r="D121">
        <v>3325</v>
      </c>
      <c r="E121">
        <v>0</v>
      </c>
      <c r="F121" s="6" t="s">
        <v>88</v>
      </c>
      <c r="G121" s="6">
        <f t="shared" si="18"/>
        <v>0</v>
      </c>
      <c r="H121" s="6">
        <f t="shared" si="19"/>
        <v>1</v>
      </c>
      <c r="I121" s="6">
        <f t="shared" si="20"/>
        <v>0</v>
      </c>
      <c r="J121" s="6">
        <f>$V$5+$W$5*penguins[[#This Row],[Culmen Length (mm)]]+penguins[[#This Row],[Culmen Depth (mm)]]*$X$5+$Y$5*penguins[[#This Row],[Flipper Length (mm)]]+penguins[[#This Row],[Body mass (g)]]*$Z$5+$AA$5*penguins[[#This Row],[Gender]]</f>
        <v>-211.67704342679963</v>
      </c>
      <c r="K121" s="6">
        <f>$V$6+$W$6*penguins[[#This Row],[Culmen Length (mm)]]+penguins[[#This Row],[Culmen Depth (mm)]]*$X$6+$Y$6*penguins[[#This Row],[Flipper Length (mm)]]+penguins[[#This Row],[Body mass (g)]]*$Z$6+$AA$6*penguins[[#This Row],[Gender]]</f>
        <v>-211.58639362272339</v>
      </c>
      <c r="L121" s="6">
        <f>$V$7+$W$7*penguins[[#This Row],[Culmen Length (mm)]]+penguins[[#This Row],[Culmen Depth (mm)]]*$X$7+$Y$7*penguins[[#This Row],[Flipper Length (mm)]]+penguins[[#This Row],[Body mass (g)]]*$Z$7+$AA$7*penguins[[#This Row],[Gender]]</f>
        <v>-212.2797709917451</v>
      </c>
      <c r="M121" s="6">
        <f t="shared" si="21"/>
        <v>0.37847215989240779</v>
      </c>
      <c r="N121" s="6">
        <f t="shared" si="22"/>
        <v>0.4143836851935605</v>
      </c>
      <c r="O121" s="6">
        <f t="shared" si="23"/>
        <v>0.20714415491403176</v>
      </c>
      <c r="P121" s="6">
        <f t="shared" si="24"/>
        <v>-0.88096295851853001</v>
      </c>
    </row>
    <row r="122" spans="1:16" x14ac:dyDescent="0.3">
      <c r="A122">
        <v>431</v>
      </c>
      <c r="B122">
        <v>192</v>
      </c>
      <c r="C122">
        <v>197</v>
      </c>
      <c r="D122">
        <v>3500</v>
      </c>
      <c r="E122">
        <v>1</v>
      </c>
      <c r="F122" s="6" t="s">
        <v>88</v>
      </c>
      <c r="G122" s="6">
        <f t="shared" si="18"/>
        <v>0</v>
      </c>
      <c r="H122" s="6">
        <f t="shared" si="19"/>
        <v>1</v>
      </c>
      <c r="I122" s="6">
        <f t="shared" si="20"/>
        <v>0</v>
      </c>
      <c r="J122" s="6">
        <f>$V$5+$W$5*penguins[[#This Row],[Culmen Length (mm)]]+penguins[[#This Row],[Culmen Depth (mm)]]*$X$5+$Y$5*penguins[[#This Row],[Flipper Length (mm)]]+penguins[[#This Row],[Body mass (g)]]*$Z$5+$AA$5*penguins[[#This Row],[Gender]]</f>
        <v>-222.52525861681261</v>
      </c>
      <c r="K122" s="6">
        <f>$V$6+$W$6*penguins[[#This Row],[Culmen Length (mm)]]+penguins[[#This Row],[Culmen Depth (mm)]]*$X$6+$Y$6*penguins[[#This Row],[Flipper Length (mm)]]+penguins[[#This Row],[Body mass (g)]]*$Z$6+$AA$6*penguins[[#This Row],[Gender]]</f>
        <v>-222.45987702245768</v>
      </c>
      <c r="L122" s="6">
        <f>$V$7+$W$7*penguins[[#This Row],[Culmen Length (mm)]]+penguins[[#This Row],[Culmen Depth (mm)]]*$X$7+$Y$7*penguins[[#This Row],[Flipper Length (mm)]]+penguins[[#This Row],[Body mass (g)]]*$Z$7+$AA$7*penguins[[#This Row],[Gender]]</f>
        <v>-223.25022580681727</v>
      </c>
      <c r="M122" s="6">
        <f t="shared" si="21"/>
        <v>0.39186384327488621</v>
      </c>
      <c r="N122" s="6">
        <f t="shared" si="22"/>
        <v>0.41834064265403709</v>
      </c>
      <c r="O122" s="6">
        <f t="shared" si="23"/>
        <v>0.18979551407107687</v>
      </c>
      <c r="P122" s="6">
        <f t="shared" si="24"/>
        <v>-0.8714592437572346</v>
      </c>
    </row>
    <row r="123" spans="1:16" x14ac:dyDescent="0.3">
      <c r="A123">
        <v>368</v>
      </c>
      <c r="B123">
        <v>185</v>
      </c>
      <c r="C123">
        <v>193</v>
      </c>
      <c r="D123">
        <v>3500</v>
      </c>
      <c r="E123">
        <v>0</v>
      </c>
      <c r="F123" s="6" t="s">
        <v>88</v>
      </c>
      <c r="G123" s="6">
        <f t="shared" si="18"/>
        <v>0</v>
      </c>
      <c r="H123" s="6">
        <f t="shared" si="19"/>
        <v>1</v>
      </c>
      <c r="I123" s="6">
        <f t="shared" si="20"/>
        <v>0</v>
      </c>
      <c r="J123" s="6">
        <f>$V$5+$W$5*penguins[[#This Row],[Culmen Length (mm)]]+penguins[[#This Row],[Culmen Depth (mm)]]*$X$5+$Y$5*penguins[[#This Row],[Flipper Length (mm)]]+penguins[[#This Row],[Body mass (g)]]*$Z$5+$AA$5*penguins[[#This Row],[Gender]]</f>
        <v>-223.22633830440282</v>
      </c>
      <c r="K123" s="6">
        <f>$V$6+$W$6*penguins[[#This Row],[Culmen Length (mm)]]+penguins[[#This Row],[Culmen Depth (mm)]]*$X$6+$Y$6*penguins[[#This Row],[Flipper Length (mm)]]+penguins[[#This Row],[Body mass (g)]]*$Z$6+$AA$6*penguins[[#This Row],[Gender]]</f>
        <v>-223.28982103937815</v>
      </c>
      <c r="L123" s="6">
        <f>$V$7+$W$7*penguins[[#This Row],[Culmen Length (mm)]]+penguins[[#This Row],[Culmen Depth (mm)]]*$X$7+$Y$7*penguins[[#This Row],[Flipper Length (mm)]]+penguins[[#This Row],[Body mass (g)]]*$Z$7+$AA$7*penguins[[#This Row],[Gender]]</f>
        <v>-223.81507572873102</v>
      </c>
      <c r="M123" s="6">
        <f t="shared" si="21"/>
        <v>0.40103982743652644</v>
      </c>
      <c r="N123" s="6">
        <f t="shared" si="22"/>
        <v>0.37637199687369816</v>
      </c>
      <c r="O123" s="6">
        <f t="shared" si="23"/>
        <v>0.22258817568977546</v>
      </c>
      <c r="P123" s="6">
        <f t="shared" si="24"/>
        <v>-0.97717727129224974</v>
      </c>
    </row>
    <row r="124" spans="1:16" x14ac:dyDescent="0.3">
      <c r="A124">
        <v>375</v>
      </c>
      <c r="B124">
        <v>185</v>
      </c>
      <c r="C124">
        <v>199</v>
      </c>
      <c r="D124">
        <v>4475</v>
      </c>
      <c r="E124">
        <v>1</v>
      </c>
      <c r="F124" s="6" t="s">
        <v>88</v>
      </c>
      <c r="G124" s="6">
        <f t="shared" si="18"/>
        <v>0</v>
      </c>
      <c r="H124" s="6">
        <f t="shared" si="19"/>
        <v>1</v>
      </c>
      <c r="I124" s="6">
        <f t="shared" si="20"/>
        <v>0</v>
      </c>
      <c r="J124" s="6">
        <f>$V$5+$W$5*penguins[[#This Row],[Culmen Length (mm)]]+penguins[[#This Row],[Culmen Depth (mm)]]*$X$5+$Y$5*penguins[[#This Row],[Flipper Length (mm)]]+penguins[[#This Row],[Body mass (g)]]*$Z$5+$AA$5*penguins[[#This Row],[Gender]]</f>
        <v>-287.30706556616161</v>
      </c>
      <c r="K124" s="6">
        <f>$V$6+$W$6*penguins[[#This Row],[Culmen Length (mm)]]+penguins[[#This Row],[Culmen Depth (mm)]]*$X$6+$Y$6*penguins[[#This Row],[Flipper Length (mm)]]+penguins[[#This Row],[Body mass (g)]]*$Z$6+$AA$6*penguins[[#This Row],[Gender]]</f>
        <v>-288.087397808579</v>
      </c>
      <c r="L124" s="6">
        <f>$V$7+$W$7*penguins[[#This Row],[Culmen Length (mm)]]+penguins[[#This Row],[Culmen Depth (mm)]]*$X$7+$Y$7*penguins[[#This Row],[Flipper Length (mm)]]+penguins[[#This Row],[Body mass (g)]]*$Z$7+$AA$7*penguins[[#This Row],[Gender]]</f>
        <v>-287.21850623391754</v>
      </c>
      <c r="M124" s="6">
        <f t="shared" si="21"/>
        <v>0.39202575523128302</v>
      </c>
      <c r="N124" s="6">
        <f t="shared" si="22"/>
        <v>0.17964726642613385</v>
      </c>
      <c r="O124" s="6">
        <f t="shared" si="23"/>
        <v>0.42832697834258304</v>
      </c>
      <c r="P124" s="6">
        <f t="shared" si="24"/>
        <v>-1.7167599816467314</v>
      </c>
    </row>
    <row r="125" spans="1:16" x14ac:dyDescent="0.3">
      <c r="A125">
        <v>381</v>
      </c>
      <c r="B125">
        <v>176</v>
      </c>
      <c r="C125">
        <v>187</v>
      </c>
      <c r="D125">
        <v>3425</v>
      </c>
      <c r="E125">
        <v>0</v>
      </c>
      <c r="F125" s="6" t="s">
        <v>88</v>
      </c>
      <c r="G125" s="6">
        <f t="shared" si="18"/>
        <v>0</v>
      </c>
      <c r="H125" s="6">
        <f t="shared" si="19"/>
        <v>1</v>
      </c>
      <c r="I125" s="6">
        <f t="shared" si="20"/>
        <v>0</v>
      </c>
      <c r="J125" s="6">
        <f>$V$5+$W$5*penguins[[#This Row],[Culmen Length (mm)]]+penguins[[#This Row],[Culmen Depth (mm)]]*$X$5+$Y$5*penguins[[#This Row],[Flipper Length (mm)]]+penguins[[#This Row],[Body mass (g)]]*$Z$5+$AA$5*penguins[[#This Row],[Gender]]</f>
        <v>-218.3599319559676</v>
      </c>
      <c r="K125" s="6">
        <f>$V$6+$W$6*penguins[[#This Row],[Culmen Length (mm)]]+penguins[[#This Row],[Culmen Depth (mm)]]*$X$6+$Y$6*penguins[[#This Row],[Flipper Length (mm)]]+penguins[[#This Row],[Body mass (g)]]*$Z$6+$AA$6*penguins[[#This Row],[Gender]]</f>
        <v>-218.41615630118193</v>
      </c>
      <c r="L125" s="6">
        <f>$V$7+$W$7*penguins[[#This Row],[Culmen Length (mm)]]+penguins[[#This Row],[Culmen Depth (mm)]]*$X$7+$Y$7*penguins[[#This Row],[Flipper Length (mm)]]+penguins[[#This Row],[Body mass (g)]]*$Z$7+$AA$7*penguins[[#This Row],[Gender]]</f>
        <v>-218.8167977974812</v>
      </c>
      <c r="M125" s="6">
        <f t="shared" si="21"/>
        <v>0.38780849162928244</v>
      </c>
      <c r="N125" s="6">
        <f t="shared" si="22"/>
        <v>0.36660585057151956</v>
      </c>
      <c r="O125" s="6">
        <f t="shared" si="23"/>
        <v>0.245585657799198</v>
      </c>
      <c r="P125" s="6">
        <f t="shared" si="24"/>
        <v>-1.0034679846980943</v>
      </c>
    </row>
    <row r="126" spans="1:16" x14ac:dyDescent="0.3">
      <c r="A126">
        <v>411</v>
      </c>
      <c r="B126">
        <v>175</v>
      </c>
      <c r="C126">
        <v>190</v>
      </c>
      <c r="D126">
        <v>3900</v>
      </c>
      <c r="E126">
        <v>1</v>
      </c>
      <c r="F126" s="6" t="s">
        <v>88</v>
      </c>
      <c r="G126" s="6">
        <f t="shared" si="18"/>
        <v>0</v>
      </c>
      <c r="H126" s="6">
        <f t="shared" si="19"/>
        <v>1</v>
      </c>
      <c r="I126" s="6">
        <f t="shared" si="20"/>
        <v>0</v>
      </c>
      <c r="J126" s="6">
        <f>$V$5+$W$5*penguins[[#This Row],[Culmen Length (mm)]]+penguins[[#This Row],[Culmen Depth (mm)]]*$X$5+$Y$5*penguins[[#This Row],[Flipper Length (mm)]]+penguins[[#This Row],[Body mass (g)]]*$Z$5+$AA$5*penguins[[#This Row],[Gender]]</f>
        <v>-249.35582297966096</v>
      </c>
      <c r="K126" s="6">
        <f>$V$6+$W$6*penguins[[#This Row],[Culmen Length (mm)]]+penguins[[#This Row],[Culmen Depth (mm)]]*$X$6+$Y$6*penguins[[#This Row],[Flipper Length (mm)]]+penguins[[#This Row],[Body mass (g)]]*$Z$6+$AA$6*penguins[[#This Row],[Gender]]</f>
        <v>-249.70514865832092</v>
      </c>
      <c r="L126" s="6">
        <f>$V$7+$W$7*penguins[[#This Row],[Culmen Length (mm)]]+penguins[[#This Row],[Culmen Depth (mm)]]*$X$7+$Y$7*penguins[[#This Row],[Flipper Length (mm)]]+penguins[[#This Row],[Body mass (g)]]*$Z$7+$AA$7*penguins[[#This Row],[Gender]]</f>
        <v>-249.48467866920592</v>
      </c>
      <c r="M126" s="6">
        <f t="shared" si="21"/>
        <v>0.38695733134549343</v>
      </c>
      <c r="N126" s="6">
        <f t="shared" si="22"/>
        <v>0.27286816142887532</v>
      </c>
      <c r="O126" s="6">
        <f t="shared" si="23"/>
        <v>0.34017450722563131</v>
      </c>
      <c r="P126" s="6">
        <f t="shared" si="24"/>
        <v>-1.2987665256120473</v>
      </c>
    </row>
    <row r="127" spans="1:16" x14ac:dyDescent="0.3">
      <c r="A127">
        <v>356</v>
      </c>
      <c r="B127">
        <v>175</v>
      </c>
      <c r="C127">
        <v>191</v>
      </c>
      <c r="D127">
        <v>3175</v>
      </c>
      <c r="E127">
        <v>0</v>
      </c>
      <c r="F127" s="6" t="s">
        <v>88</v>
      </c>
      <c r="G127" s="6">
        <f t="shared" si="18"/>
        <v>0</v>
      </c>
      <c r="H127" s="6">
        <f t="shared" si="19"/>
        <v>1</v>
      </c>
      <c r="I127" s="6">
        <f t="shared" si="20"/>
        <v>0</v>
      </c>
      <c r="J127" s="6">
        <f>$V$5+$W$5*penguins[[#This Row],[Culmen Length (mm)]]+penguins[[#This Row],[Culmen Depth (mm)]]*$X$5+$Y$5*penguins[[#This Row],[Flipper Length (mm)]]+penguins[[#This Row],[Body mass (g)]]*$Z$5+$AA$5*penguins[[#This Row],[Gender]]</f>
        <v>-202.11217435066453</v>
      </c>
      <c r="K127" s="6">
        <f>$V$6+$W$6*penguins[[#This Row],[Culmen Length (mm)]]+penguins[[#This Row],[Culmen Depth (mm)]]*$X$6+$Y$6*penguins[[#This Row],[Flipper Length (mm)]]+penguins[[#This Row],[Body mass (g)]]*$Z$6+$AA$6*penguins[[#This Row],[Gender]]</f>
        <v>-201.82447887994925</v>
      </c>
      <c r="L127" s="6">
        <f>$V$7+$W$7*penguins[[#This Row],[Culmen Length (mm)]]+penguins[[#This Row],[Culmen Depth (mm)]]*$X$7+$Y$7*penguins[[#This Row],[Flipper Length (mm)]]+penguins[[#This Row],[Body mass (g)]]*$Z$7+$AA$7*penguins[[#This Row],[Gender]]</f>
        <v>-202.85372897662307</v>
      </c>
      <c r="M127" s="6">
        <f t="shared" si="21"/>
        <v>0.3559068491043107</v>
      </c>
      <c r="N127" s="6">
        <f t="shared" si="22"/>
        <v>0.47454882356000067</v>
      </c>
      <c r="O127" s="6">
        <f t="shared" si="23"/>
        <v>0.16954432733568861</v>
      </c>
      <c r="P127" s="6">
        <f t="shared" si="24"/>
        <v>-0.74539077147308408</v>
      </c>
    </row>
    <row r="128" spans="1:16" x14ac:dyDescent="0.3">
      <c r="A128">
        <v>402</v>
      </c>
      <c r="B128">
        <v>201</v>
      </c>
      <c r="C128">
        <v>200</v>
      </c>
      <c r="D128">
        <v>3975</v>
      </c>
      <c r="E128">
        <v>1</v>
      </c>
      <c r="F128" s="6" t="s">
        <v>88</v>
      </c>
      <c r="G128" s="6">
        <f t="shared" si="18"/>
        <v>0</v>
      </c>
      <c r="H128" s="6">
        <f t="shared" si="19"/>
        <v>1</v>
      </c>
      <c r="I128" s="6">
        <f t="shared" si="20"/>
        <v>0</v>
      </c>
      <c r="J128" s="6">
        <f>$V$5+$W$5*penguins[[#This Row],[Culmen Length (mm)]]+penguins[[#This Row],[Culmen Depth (mm)]]*$X$5+$Y$5*penguins[[#This Row],[Flipper Length (mm)]]+penguins[[#This Row],[Body mass (g)]]*$Z$5+$AA$5*penguins[[#This Row],[Gender]]</f>
        <v>-253.87635707485609</v>
      </c>
      <c r="K128" s="6">
        <f>$V$6+$W$6*penguins[[#This Row],[Culmen Length (mm)]]+penguins[[#This Row],[Culmen Depth (mm)]]*$X$6+$Y$6*penguins[[#This Row],[Flipper Length (mm)]]+penguins[[#This Row],[Body mass (g)]]*$Z$6+$AA$6*penguins[[#This Row],[Gender]]</f>
        <v>-254.28699922273219</v>
      </c>
      <c r="L128" s="6">
        <f>$V$7+$W$7*penguins[[#This Row],[Culmen Length (mm)]]+penguins[[#This Row],[Culmen Depth (mm)]]*$X$7+$Y$7*penguins[[#This Row],[Flipper Length (mm)]]+penguins[[#This Row],[Body mass (g)]]*$Z$7+$AA$7*penguins[[#This Row],[Gender]]</f>
        <v>-254.38954361603939</v>
      </c>
      <c r="M128" s="6">
        <f t="shared" si="21"/>
        <v>0.44212391370578386</v>
      </c>
      <c r="N128" s="6">
        <f t="shared" si="22"/>
        <v>0.29322729017084276</v>
      </c>
      <c r="O128" s="6">
        <f t="shared" si="23"/>
        <v>0.26464879612337328</v>
      </c>
      <c r="P128" s="6">
        <f t="shared" si="24"/>
        <v>-1.2268072363199878</v>
      </c>
    </row>
    <row r="129" spans="1:16" x14ac:dyDescent="0.3">
      <c r="A129">
        <v>37</v>
      </c>
      <c r="B129">
        <v>165</v>
      </c>
      <c r="C129">
        <v>185</v>
      </c>
      <c r="D129">
        <v>3400</v>
      </c>
      <c r="E129">
        <v>0</v>
      </c>
      <c r="F129" s="6" t="s">
        <v>88</v>
      </c>
      <c r="G129" s="6">
        <f t="shared" si="18"/>
        <v>0</v>
      </c>
      <c r="H129" s="6">
        <f t="shared" si="19"/>
        <v>1</v>
      </c>
      <c r="I129" s="6">
        <f t="shared" si="20"/>
        <v>0</v>
      </c>
      <c r="J129" s="6">
        <f>$V$5+$W$5*penguins[[#This Row],[Culmen Length (mm)]]+penguins[[#This Row],[Culmen Depth (mm)]]*$X$5+$Y$5*penguins[[#This Row],[Flipper Length (mm)]]+penguins[[#This Row],[Body mass (g)]]*$Z$5+$AA$5*penguins[[#This Row],[Gender]]</f>
        <v>-219.83252353932798</v>
      </c>
      <c r="K129" s="6">
        <f>$V$6+$W$6*penguins[[#This Row],[Culmen Length (mm)]]+penguins[[#This Row],[Culmen Depth (mm)]]*$X$6+$Y$6*penguins[[#This Row],[Flipper Length (mm)]]+penguins[[#This Row],[Body mass (g)]]*$Z$6+$AA$6*penguins[[#This Row],[Gender]]</f>
        <v>-219.93816401971296</v>
      </c>
      <c r="L129" s="6">
        <f>$V$7+$W$7*penguins[[#This Row],[Culmen Length (mm)]]+penguins[[#This Row],[Culmen Depth (mm)]]*$X$7+$Y$7*penguins[[#This Row],[Flipper Length (mm)]]+penguins[[#This Row],[Body mass (g)]]*$Z$7+$AA$7*penguins[[#This Row],[Gender]]</f>
        <v>-220.77348195665616</v>
      </c>
      <c r="M129" s="6">
        <f t="shared" si="21"/>
        <v>0.43668089906078073</v>
      </c>
      <c r="N129" s="6">
        <f t="shared" si="22"/>
        <v>0.3929027948316044</v>
      </c>
      <c r="O129" s="6">
        <f t="shared" si="23"/>
        <v>0.17041630610761482</v>
      </c>
      <c r="P129" s="6">
        <f t="shared" si="24"/>
        <v>-0.9341930391022123</v>
      </c>
    </row>
    <row r="130" spans="1:16" x14ac:dyDescent="0.3">
      <c r="A130">
        <v>397</v>
      </c>
      <c r="B130">
        <v>179</v>
      </c>
      <c r="C130">
        <v>193</v>
      </c>
      <c r="D130">
        <v>4250</v>
      </c>
      <c r="E130">
        <v>1</v>
      </c>
      <c r="F130" s="6" t="s">
        <v>88</v>
      </c>
      <c r="G130" s="6">
        <f t="shared" si="18"/>
        <v>0</v>
      </c>
      <c r="H130" s="6">
        <f t="shared" si="19"/>
        <v>1</v>
      </c>
      <c r="I130" s="6">
        <f t="shared" si="20"/>
        <v>0</v>
      </c>
      <c r="J130" s="6">
        <f>$V$5+$W$5*penguins[[#This Row],[Culmen Length (mm)]]+penguins[[#This Row],[Culmen Depth (mm)]]*$X$5+$Y$5*penguins[[#This Row],[Flipper Length (mm)]]+penguins[[#This Row],[Body mass (g)]]*$Z$5+$AA$5*penguins[[#This Row],[Gender]]</f>
        <v>-272.43630297797068</v>
      </c>
      <c r="K130" s="6">
        <f>$V$6+$W$6*penguins[[#This Row],[Culmen Length (mm)]]+penguins[[#This Row],[Culmen Depth (mm)]]*$X$6+$Y$6*penguins[[#This Row],[Flipper Length (mm)]]+penguins[[#This Row],[Body mass (g)]]*$Z$6+$AA$6*penguins[[#This Row],[Gender]]</f>
        <v>-273.08910870771899</v>
      </c>
      <c r="L130" s="6">
        <f>$V$7+$W$7*penguins[[#This Row],[Culmen Length (mm)]]+penguins[[#This Row],[Culmen Depth (mm)]]*$X$7+$Y$7*penguins[[#This Row],[Flipper Length (mm)]]+penguins[[#This Row],[Body mass (g)]]*$Z$7+$AA$7*penguins[[#This Row],[Gender]]</f>
        <v>-272.36838856082824</v>
      </c>
      <c r="M130" s="6">
        <f t="shared" si="21"/>
        <v>0.38597269951278812</v>
      </c>
      <c r="N130" s="6">
        <f t="shared" si="22"/>
        <v>0.20093086839481478</v>
      </c>
      <c r="O130" s="6">
        <f t="shared" si="23"/>
        <v>0.41309643209239705</v>
      </c>
      <c r="P130" s="6">
        <f t="shared" si="24"/>
        <v>-1.6047943684176704</v>
      </c>
    </row>
    <row r="131" spans="1:16" x14ac:dyDescent="0.3">
      <c r="A131">
        <v>402</v>
      </c>
      <c r="B131">
        <v>171</v>
      </c>
      <c r="C131">
        <v>193</v>
      </c>
      <c r="D131">
        <v>3400</v>
      </c>
      <c r="E131">
        <v>0</v>
      </c>
      <c r="F131" s="6" t="s">
        <v>88</v>
      </c>
      <c r="G131" s="6">
        <f t="shared" si="18"/>
        <v>0</v>
      </c>
      <c r="H131" s="6">
        <f t="shared" si="19"/>
        <v>1</v>
      </c>
      <c r="I131" s="6">
        <f t="shared" si="20"/>
        <v>0</v>
      </c>
      <c r="J131" s="6">
        <f>$V$5+$W$5*penguins[[#This Row],[Culmen Length (mm)]]+penguins[[#This Row],[Culmen Depth (mm)]]*$X$5+$Y$5*penguins[[#This Row],[Flipper Length (mm)]]+penguins[[#This Row],[Body mass (g)]]*$Z$5+$AA$5*penguins[[#This Row],[Gender]]</f>
        <v>-216.59646778568032</v>
      </c>
      <c r="K131" s="6">
        <f>$V$6+$W$6*penguins[[#This Row],[Culmen Length (mm)]]+penguins[[#This Row],[Culmen Depth (mm)]]*$X$6+$Y$6*penguins[[#This Row],[Flipper Length (mm)]]+penguins[[#This Row],[Body mass (g)]]*$Z$6+$AA$6*penguins[[#This Row],[Gender]]</f>
        <v>-216.42114508128054</v>
      </c>
      <c r="L131" s="6">
        <f>$V$7+$W$7*penguins[[#This Row],[Culmen Length (mm)]]+penguins[[#This Row],[Culmen Depth (mm)]]*$X$7+$Y$7*penguins[[#This Row],[Flipper Length (mm)]]+penguins[[#This Row],[Body mass (g)]]*$Z$7+$AA$7*penguins[[#This Row],[Gender]]</f>
        <v>-217.02595583665027</v>
      </c>
      <c r="M131" s="6">
        <f t="shared" si="21"/>
        <v>0.35180634359051893</v>
      </c>
      <c r="N131" s="6">
        <f t="shared" si="22"/>
        <v>0.41922323913997739</v>
      </c>
      <c r="O131" s="6">
        <f t="shared" si="23"/>
        <v>0.22897041726950385</v>
      </c>
      <c r="P131" s="6">
        <f t="shared" si="24"/>
        <v>-0.86935171063215466</v>
      </c>
    </row>
    <row r="132" spans="1:16" x14ac:dyDescent="0.3">
      <c r="A132">
        <v>406</v>
      </c>
      <c r="B132">
        <v>172</v>
      </c>
      <c r="C132">
        <v>187</v>
      </c>
      <c r="D132">
        <v>3475</v>
      </c>
      <c r="E132">
        <v>1</v>
      </c>
      <c r="F132" s="6" t="s">
        <v>88</v>
      </c>
      <c r="G132" s="6">
        <f t="shared" ref="G132:G195" si="25">IF(F132="Emperor Penguin",1,0)</f>
        <v>0</v>
      </c>
      <c r="H132" s="6">
        <f t="shared" ref="H132:H195" si="26">IF(F132="King Penguin",1,0)</f>
        <v>1</v>
      </c>
      <c r="I132" s="6">
        <f t="shared" ref="I132:I195" si="27">IF(F132="Little Penguin",1,0)</f>
        <v>0</v>
      </c>
      <c r="J132" s="6">
        <f>$V$5+$W$5*penguins[[#This Row],[Culmen Length (mm)]]+penguins[[#This Row],[Culmen Depth (mm)]]*$X$5+$Y$5*penguins[[#This Row],[Flipper Length (mm)]]+penguins[[#This Row],[Body mass (g)]]*$Z$5+$AA$5*penguins[[#This Row],[Gender]]</f>
        <v>-221.48125956396007</v>
      </c>
      <c r="K132" s="6">
        <f>$V$6+$W$6*penguins[[#This Row],[Culmen Length (mm)]]+penguins[[#This Row],[Culmen Depth (mm)]]*$X$6+$Y$6*penguins[[#This Row],[Flipper Length (mm)]]+penguins[[#This Row],[Body mass (g)]]*$Z$6+$AA$6*penguins[[#This Row],[Gender]]</f>
        <v>-221.47083673827814</v>
      </c>
      <c r="L132" s="6">
        <f>$V$7+$W$7*penguins[[#This Row],[Culmen Length (mm)]]+penguins[[#This Row],[Culmen Depth (mm)]]*$X$7+$Y$7*penguins[[#This Row],[Flipper Length (mm)]]+penguins[[#This Row],[Body mass (g)]]*$Z$7+$AA$7*penguins[[#This Row],[Gender]]</f>
        <v>-221.91928934874943</v>
      </c>
      <c r="M132" s="6">
        <f t="shared" ref="M132:M195" si="28">EXP(J132)/(EXP(J132)+EXP(K132)+EXP(L132))</f>
        <v>0.37653666096951505</v>
      </c>
      <c r="N132" s="6">
        <f t="shared" ref="N132:N195" si="29">EXP(K132)/(EXP(J132)+EXP(K132)+EXP(L132))</f>
        <v>0.38048176077876822</v>
      </c>
      <c r="O132" s="6">
        <f t="shared" ref="O132:O195" si="30">EXP(L132)/(EXP(J132)+EXP(K132)+EXP(L132))</f>
        <v>0.24298157825171671</v>
      </c>
      <c r="P132" s="6">
        <f t="shared" ref="P132:P195" si="31">(1-H132-I132)*LN(M132)+I132*LN(O132)+H132*LN(N132)</f>
        <v>-0.96631703770771105</v>
      </c>
    </row>
    <row r="133" spans="1:16" x14ac:dyDescent="0.3">
      <c r="A133">
        <v>321</v>
      </c>
      <c r="B133">
        <v>155</v>
      </c>
      <c r="C133">
        <v>188</v>
      </c>
      <c r="D133">
        <v>3050</v>
      </c>
      <c r="E133">
        <v>0</v>
      </c>
      <c r="F133" s="6" t="s">
        <v>88</v>
      </c>
      <c r="G133" s="6">
        <f t="shared" si="25"/>
        <v>0</v>
      </c>
      <c r="H133" s="6">
        <f t="shared" si="26"/>
        <v>1</v>
      </c>
      <c r="I133" s="6">
        <f t="shared" si="27"/>
        <v>0</v>
      </c>
      <c r="J133" s="6">
        <f>$V$5+$W$5*penguins[[#This Row],[Culmen Length (mm)]]+penguins[[#This Row],[Culmen Depth (mm)]]*$X$5+$Y$5*penguins[[#This Row],[Flipper Length (mm)]]+penguins[[#This Row],[Body mass (g)]]*$Z$5+$AA$5*penguins[[#This Row],[Gender]]</f>
        <v>-194.53881489898319</v>
      </c>
      <c r="K133" s="6">
        <f>$V$6+$W$6*penguins[[#This Row],[Culmen Length (mm)]]+penguins[[#This Row],[Culmen Depth (mm)]]*$X$6+$Y$6*penguins[[#This Row],[Flipper Length (mm)]]+penguins[[#This Row],[Body mass (g)]]*$Z$6+$AA$6*penguins[[#This Row],[Gender]]</f>
        <v>-194.03416246379561</v>
      </c>
      <c r="L133" s="6">
        <f>$V$7+$W$7*penguins[[#This Row],[Culmen Length (mm)]]+penguins[[#This Row],[Culmen Depth (mm)]]*$X$7+$Y$7*penguins[[#This Row],[Flipper Length (mm)]]+penguins[[#This Row],[Body mass (g)]]*$Z$7+$AA$7*penguins[[#This Row],[Gender]]</f>
        <v>-195.1619177847225</v>
      </c>
      <c r="M133" s="6">
        <f t="shared" si="28"/>
        <v>0.31321574151588499</v>
      </c>
      <c r="N133" s="6">
        <f t="shared" si="29"/>
        <v>0.5188135957818224</v>
      </c>
      <c r="O133" s="6">
        <f t="shared" si="30"/>
        <v>0.16797066270229261</v>
      </c>
      <c r="P133" s="6">
        <f t="shared" si="31"/>
        <v>-0.65621062067308156</v>
      </c>
    </row>
    <row r="134" spans="1:16" x14ac:dyDescent="0.3">
      <c r="A134">
        <v>407</v>
      </c>
      <c r="B134">
        <v>17</v>
      </c>
      <c r="C134">
        <v>190</v>
      </c>
      <c r="D134">
        <v>3725</v>
      </c>
      <c r="E134">
        <v>1</v>
      </c>
      <c r="F134" s="6" t="s">
        <v>88</v>
      </c>
      <c r="G134" s="6">
        <f t="shared" si="25"/>
        <v>0</v>
      </c>
      <c r="H134" s="6">
        <f t="shared" si="26"/>
        <v>1</v>
      </c>
      <c r="I134" s="6">
        <f t="shared" si="27"/>
        <v>0</v>
      </c>
      <c r="J134" s="6">
        <f>$V$5+$W$5*penguins[[#This Row],[Culmen Length (mm)]]+penguins[[#This Row],[Culmen Depth (mm)]]*$X$5+$Y$5*penguins[[#This Row],[Flipper Length (mm)]]+penguins[[#This Row],[Body mass (g)]]*$Z$5+$AA$5*penguins[[#This Row],[Gender]]</f>
        <v>-240.60629706275992</v>
      </c>
      <c r="K134" s="6">
        <f>$V$6+$W$6*penguins[[#This Row],[Culmen Length (mm)]]+penguins[[#This Row],[Culmen Depth (mm)]]*$X$6+$Y$6*penguins[[#This Row],[Flipper Length (mm)]]+penguins[[#This Row],[Body mass (g)]]*$Z$6+$AA$6*penguins[[#This Row],[Gender]]</f>
        <v>-239.32171812815349</v>
      </c>
      <c r="L134" s="6">
        <f>$V$7+$W$7*penguins[[#This Row],[Culmen Length (mm)]]+penguins[[#This Row],[Culmen Depth (mm)]]*$X$7+$Y$7*penguins[[#This Row],[Flipper Length (mm)]]+penguins[[#This Row],[Body mass (g)]]*$Z$7+$AA$7*penguins[[#This Row],[Gender]]</f>
        <v>-238.81935847090148</v>
      </c>
      <c r="M134" s="6">
        <f t="shared" si="28"/>
        <v>9.4479643144124076E-2</v>
      </c>
      <c r="N134" s="6">
        <f t="shared" si="29"/>
        <v>0.34136876984106079</v>
      </c>
      <c r="O134" s="6">
        <f t="shared" si="30"/>
        <v>0.56415158701481516</v>
      </c>
      <c r="P134" s="6">
        <f t="shared" si="31"/>
        <v>-1.0747919495457654</v>
      </c>
    </row>
    <row r="135" spans="1:16" x14ac:dyDescent="0.3">
      <c r="A135">
        <v>373</v>
      </c>
      <c r="B135">
        <v>168</v>
      </c>
      <c r="C135">
        <v>192</v>
      </c>
      <c r="D135">
        <v>3000</v>
      </c>
      <c r="E135">
        <v>0</v>
      </c>
      <c r="F135" s="6" t="s">
        <v>88</v>
      </c>
      <c r="G135" s="6">
        <f t="shared" si="25"/>
        <v>0</v>
      </c>
      <c r="H135" s="6">
        <f t="shared" si="26"/>
        <v>1</v>
      </c>
      <c r="I135" s="6">
        <f t="shared" si="27"/>
        <v>0</v>
      </c>
      <c r="J135" s="6">
        <f>$V$5+$W$5*penguins[[#This Row],[Culmen Length (mm)]]+penguins[[#This Row],[Culmen Depth (mm)]]*$X$5+$Y$5*penguins[[#This Row],[Flipper Length (mm)]]+penguins[[#This Row],[Body mass (g)]]*$Z$5+$AA$5*penguins[[#This Row],[Gender]]</f>
        <v>-190.56293445209911</v>
      </c>
      <c r="K135" s="6">
        <f>$V$6+$W$6*penguins[[#This Row],[Culmen Length (mm)]]+penguins[[#This Row],[Culmen Depth (mm)]]*$X$6+$Y$6*penguins[[#This Row],[Flipper Length (mm)]]+penguins[[#This Row],[Body mass (g)]]*$Z$6+$AA$6*penguins[[#This Row],[Gender]]</f>
        <v>-190.00955895420745</v>
      </c>
      <c r="L135" s="6">
        <f>$V$7+$W$7*penguins[[#This Row],[Culmen Length (mm)]]+penguins[[#This Row],[Culmen Depth (mm)]]*$X$7+$Y$7*penguins[[#This Row],[Flipper Length (mm)]]+penguins[[#This Row],[Body mass (g)]]*$Z$7+$AA$7*penguins[[#This Row],[Gender]]</f>
        <v>-191.3419141203872</v>
      </c>
      <c r="M135" s="6">
        <f t="shared" si="28"/>
        <v>0.31269665967644616</v>
      </c>
      <c r="N135" s="6">
        <f t="shared" si="29"/>
        <v>0.54381498075505375</v>
      </c>
      <c r="O135" s="6">
        <f t="shared" si="30"/>
        <v>0.14348835956850015</v>
      </c>
      <c r="P135" s="6">
        <f t="shared" si="31"/>
        <v>-0.60914619888249688</v>
      </c>
    </row>
    <row r="136" spans="1:16" x14ac:dyDescent="0.3">
      <c r="A136">
        <v>39</v>
      </c>
      <c r="B136">
        <v>187</v>
      </c>
      <c r="C136">
        <v>185</v>
      </c>
      <c r="D136">
        <v>3650</v>
      </c>
      <c r="E136">
        <v>1</v>
      </c>
      <c r="F136" s="6" t="s">
        <v>88</v>
      </c>
      <c r="G136" s="6">
        <f t="shared" si="25"/>
        <v>0</v>
      </c>
      <c r="H136" s="6">
        <f t="shared" si="26"/>
        <v>1</v>
      </c>
      <c r="I136" s="6">
        <f t="shared" si="27"/>
        <v>0</v>
      </c>
      <c r="J136" s="6">
        <f>$V$5+$W$5*penguins[[#This Row],[Culmen Length (mm)]]+penguins[[#This Row],[Culmen Depth (mm)]]*$X$5+$Y$5*penguins[[#This Row],[Flipper Length (mm)]]+penguins[[#This Row],[Body mass (g)]]*$Z$5+$AA$5*penguins[[#This Row],[Gender]]</f>
        <v>-235.86637241281582</v>
      </c>
      <c r="K136" s="6">
        <f>$V$6+$W$6*penguins[[#This Row],[Culmen Length (mm)]]+penguins[[#This Row],[Culmen Depth (mm)]]*$X$6+$Y$6*penguins[[#This Row],[Flipper Length (mm)]]+penguins[[#This Row],[Body mass (g)]]*$Z$6+$AA$6*penguins[[#This Row],[Gender]]</f>
        <v>-236.34812706553262</v>
      </c>
      <c r="L136" s="6">
        <f>$V$7+$W$7*penguins[[#This Row],[Culmen Length (mm)]]+penguins[[#This Row],[Culmen Depth (mm)]]*$X$7+$Y$7*penguins[[#This Row],[Flipper Length (mm)]]+penguins[[#This Row],[Body mass (g)]]*$Z$7+$AA$7*penguins[[#This Row],[Gender]]</f>
        <v>-236.99895454506228</v>
      </c>
      <c r="M136" s="6">
        <f t="shared" si="28"/>
        <v>0.51549080498098443</v>
      </c>
      <c r="N136" s="6">
        <f t="shared" si="29"/>
        <v>0.31841794537769008</v>
      </c>
      <c r="O136" s="6">
        <f t="shared" si="30"/>
        <v>0.16609124964132546</v>
      </c>
      <c r="P136" s="6">
        <f t="shared" si="31"/>
        <v>-1.1443904654893011</v>
      </c>
    </row>
    <row r="137" spans="1:16" x14ac:dyDescent="0.3">
      <c r="A137">
        <v>392</v>
      </c>
      <c r="B137">
        <v>186</v>
      </c>
      <c r="C137">
        <v>190</v>
      </c>
      <c r="D137">
        <v>4250</v>
      </c>
      <c r="E137">
        <v>1</v>
      </c>
      <c r="F137" s="6" t="s">
        <v>88</v>
      </c>
      <c r="G137" s="6">
        <f t="shared" si="25"/>
        <v>0</v>
      </c>
      <c r="H137" s="6">
        <f t="shared" si="26"/>
        <v>1</v>
      </c>
      <c r="I137" s="6">
        <f t="shared" si="27"/>
        <v>0</v>
      </c>
      <c r="J137" s="6">
        <f>$V$5+$W$5*penguins[[#This Row],[Culmen Length (mm)]]+penguins[[#This Row],[Culmen Depth (mm)]]*$X$5+$Y$5*penguins[[#This Row],[Flipper Length (mm)]]+penguins[[#This Row],[Body mass (g)]]*$Z$5+$AA$5*penguins[[#This Row],[Gender]]</f>
        <v>-272.37036628161263</v>
      </c>
      <c r="K137" s="6">
        <f>$V$6+$W$6*penguins[[#This Row],[Culmen Length (mm)]]+penguins[[#This Row],[Culmen Depth (mm)]]*$X$6+$Y$6*penguins[[#This Row],[Flipper Length (mm)]]+penguins[[#This Row],[Body mass (g)]]*$Z$6+$AA$6*penguins[[#This Row],[Gender]]</f>
        <v>-273.16664706118456</v>
      </c>
      <c r="L137" s="6">
        <f>$V$7+$W$7*penguins[[#This Row],[Culmen Length (mm)]]+penguins[[#This Row],[Culmen Depth (mm)]]*$X$7+$Y$7*penguins[[#This Row],[Flipper Length (mm)]]+penguins[[#This Row],[Body mass (g)]]*$Z$7+$AA$7*penguins[[#This Row],[Gender]]</f>
        <v>-272.37600935776123</v>
      </c>
      <c r="M137" s="6">
        <f t="shared" si="28"/>
        <v>0.4089350600908862</v>
      </c>
      <c r="N137" s="6">
        <f t="shared" si="29"/>
        <v>0.1844310326054012</v>
      </c>
      <c r="O137" s="6">
        <f t="shared" si="30"/>
        <v>0.40663390730371263</v>
      </c>
      <c r="P137" s="6">
        <f t="shared" si="31"/>
        <v>-1.6904796924016094</v>
      </c>
    </row>
    <row r="138" spans="1:16" x14ac:dyDescent="0.3">
      <c r="A138">
        <v>366</v>
      </c>
      <c r="B138">
        <v>184</v>
      </c>
      <c r="C138">
        <v>184</v>
      </c>
      <c r="D138">
        <v>3475</v>
      </c>
      <c r="E138">
        <v>0</v>
      </c>
      <c r="F138" s="6" t="s">
        <v>88</v>
      </c>
      <c r="G138" s="6">
        <f t="shared" si="25"/>
        <v>0</v>
      </c>
      <c r="H138" s="6">
        <f t="shared" si="26"/>
        <v>1</v>
      </c>
      <c r="I138" s="6">
        <f t="shared" si="27"/>
        <v>0</v>
      </c>
      <c r="J138" s="6">
        <f>$V$5+$W$5*penguins[[#This Row],[Culmen Length (mm)]]+penguins[[#This Row],[Culmen Depth (mm)]]*$X$5+$Y$5*penguins[[#This Row],[Flipper Length (mm)]]+penguins[[#This Row],[Body mass (g)]]*$Z$5+$AA$5*penguins[[#This Row],[Gender]]</f>
        <v>-221.65352025695455</v>
      </c>
      <c r="K138" s="6">
        <f>$V$6+$W$6*penguins[[#This Row],[Culmen Length (mm)]]+penguins[[#This Row],[Culmen Depth (mm)]]*$X$6+$Y$6*penguins[[#This Row],[Flipper Length (mm)]]+penguins[[#This Row],[Body mass (g)]]*$Z$6+$AA$6*penguins[[#This Row],[Gender]]</f>
        <v>-221.91440421076464</v>
      </c>
      <c r="L138" s="6">
        <f>$V$7+$W$7*penguins[[#This Row],[Culmen Length (mm)]]+penguins[[#This Row],[Culmen Depth (mm)]]*$X$7+$Y$7*penguins[[#This Row],[Flipper Length (mm)]]+penguins[[#This Row],[Body mass (g)]]*$Z$7+$AA$7*penguins[[#This Row],[Gender]]</f>
        <v>-222.17208162288617</v>
      </c>
      <c r="M138" s="6">
        <f t="shared" si="28"/>
        <v>0.42269950909352177</v>
      </c>
      <c r="N138" s="6">
        <f t="shared" si="29"/>
        <v>0.32563515311168501</v>
      </c>
      <c r="O138" s="6">
        <f t="shared" si="30"/>
        <v>0.25166533779479311</v>
      </c>
      <c r="P138" s="6">
        <f t="shared" si="31"/>
        <v>-1.1219776865792295</v>
      </c>
    </row>
    <row r="139" spans="1:16" x14ac:dyDescent="0.3">
      <c r="A139">
        <v>36</v>
      </c>
      <c r="B139">
        <v>178</v>
      </c>
      <c r="C139">
        <v>195</v>
      </c>
      <c r="D139">
        <v>3450</v>
      </c>
      <c r="E139">
        <v>0</v>
      </c>
      <c r="F139" s="6" t="s">
        <v>88</v>
      </c>
      <c r="G139" s="6">
        <f t="shared" si="25"/>
        <v>0</v>
      </c>
      <c r="H139" s="6">
        <f t="shared" si="26"/>
        <v>1</v>
      </c>
      <c r="I139" s="6">
        <f t="shared" si="27"/>
        <v>0</v>
      </c>
      <c r="J139" s="6">
        <f>$V$5+$W$5*penguins[[#This Row],[Culmen Length (mm)]]+penguins[[#This Row],[Culmen Depth (mm)]]*$X$5+$Y$5*penguins[[#This Row],[Flipper Length (mm)]]+penguins[[#This Row],[Body mass (g)]]*$Z$5+$AA$5*penguins[[#This Row],[Gender]]</f>
        <v>-222.86449030514146</v>
      </c>
      <c r="K139" s="6">
        <f>$V$6+$W$6*penguins[[#This Row],[Culmen Length (mm)]]+penguins[[#This Row],[Culmen Depth (mm)]]*$X$6+$Y$6*penguins[[#This Row],[Flipper Length (mm)]]+penguins[[#This Row],[Body mass (g)]]*$Z$6+$AA$6*penguins[[#This Row],[Gender]]</f>
        <v>-222.88375980414307</v>
      </c>
      <c r="L139" s="6">
        <f>$V$7+$W$7*penguins[[#This Row],[Culmen Length (mm)]]+penguins[[#This Row],[Culmen Depth (mm)]]*$X$7+$Y$7*penguins[[#This Row],[Flipper Length (mm)]]+penguins[[#This Row],[Body mass (g)]]*$Z$7+$AA$7*penguins[[#This Row],[Gender]]</f>
        <v>-224.02616518726666</v>
      </c>
      <c r="M139" s="6">
        <f t="shared" si="28"/>
        <v>0.4359432528387317</v>
      </c>
      <c r="N139" s="6">
        <f t="shared" si="29"/>
        <v>0.42762326322138566</v>
      </c>
      <c r="O139" s="6">
        <f t="shared" si="30"/>
        <v>0.13643348393988255</v>
      </c>
      <c r="P139" s="6">
        <f t="shared" si="31"/>
        <v>-0.84951269714509037</v>
      </c>
    </row>
    <row r="140" spans="1:16" x14ac:dyDescent="0.3">
      <c r="A140">
        <v>378</v>
      </c>
      <c r="B140">
        <v>181</v>
      </c>
      <c r="C140">
        <v>193</v>
      </c>
      <c r="D140">
        <v>3750</v>
      </c>
      <c r="E140">
        <v>1</v>
      </c>
      <c r="F140" s="6" t="s">
        <v>88</v>
      </c>
      <c r="G140" s="6">
        <f t="shared" si="25"/>
        <v>0</v>
      </c>
      <c r="H140" s="6">
        <f t="shared" si="26"/>
        <v>1</v>
      </c>
      <c r="I140" s="6">
        <f t="shared" si="27"/>
        <v>0</v>
      </c>
      <c r="J140" s="6">
        <f>$V$5+$W$5*penguins[[#This Row],[Culmen Length (mm)]]+penguins[[#This Row],[Culmen Depth (mm)]]*$X$5+$Y$5*penguins[[#This Row],[Flipper Length (mm)]]+penguins[[#This Row],[Body mass (g)]]*$Z$5+$AA$5*penguins[[#This Row],[Gender]]</f>
        <v>-239.64293720552539</v>
      </c>
      <c r="K140" s="6">
        <f>$V$6+$W$6*penguins[[#This Row],[Culmen Length (mm)]]+penguins[[#This Row],[Culmen Depth (mm)]]*$X$6+$Y$6*penguins[[#This Row],[Flipper Length (mm)]]+penguins[[#This Row],[Body mass (g)]]*$Z$6+$AA$6*penguins[[#This Row],[Gender]]</f>
        <v>-239.83833911308099</v>
      </c>
      <c r="L140" s="6">
        <f>$V$7+$W$7*penguins[[#This Row],[Culmen Length (mm)]]+penguins[[#This Row],[Culmen Depth (mm)]]*$X$7+$Y$7*penguins[[#This Row],[Flipper Length (mm)]]+penguins[[#This Row],[Body mass (g)]]*$Z$7+$AA$7*penguins[[#This Row],[Gender]]</f>
        <v>-240.06744530630598</v>
      </c>
      <c r="M140" s="6">
        <f t="shared" si="28"/>
        <v>0.40378011284006232</v>
      </c>
      <c r="N140" s="6">
        <f t="shared" si="29"/>
        <v>0.33211076642578125</v>
      </c>
      <c r="O140" s="6">
        <f t="shared" si="30"/>
        <v>0.26410912073415643</v>
      </c>
      <c r="P140" s="6">
        <f t="shared" si="31"/>
        <v>-1.1022867318964389</v>
      </c>
    </row>
    <row r="141" spans="1:16" x14ac:dyDescent="0.3">
      <c r="A141">
        <v>36</v>
      </c>
      <c r="B141">
        <v>171</v>
      </c>
      <c r="C141">
        <v>187</v>
      </c>
      <c r="D141">
        <v>3700</v>
      </c>
      <c r="E141">
        <v>0</v>
      </c>
      <c r="F141" s="6" t="s">
        <v>88</v>
      </c>
      <c r="G141" s="6">
        <f t="shared" si="25"/>
        <v>0</v>
      </c>
      <c r="H141" s="6">
        <f t="shared" si="26"/>
        <v>1</v>
      </c>
      <c r="I141" s="6">
        <f t="shared" si="27"/>
        <v>0</v>
      </c>
      <c r="J141" s="6">
        <f>$V$5+$W$5*penguins[[#This Row],[Culmen Length (mm)]]+penguins[[#This Row],[Culmen Depth (mm)]]*$X$5+$Y$5*penguins[[#This Row],[Flipper Length (mm)]]+penguins[[#This Row],[Body mass (g)]]*$Z$5+$AA$5*penguins[[#This Row],[Gender]]</f>
        <v>-239.48034192440622</v>
      </c>
      <c r="K141" s="6">
        <f>$V$6+$W$6*penguins[[#This Row],[Culmen Length (mm)]]+penguins[[#This Row],[Culmen Depth (mm)]]*$X$6+$Y$6*penguins[[#This Row],[Flipper Length (mm)]]+penguins[[#This Row],[Body mass (g)]]*$Z$6+$AA$6*penguins[[#This Row],[Gender]]</f>
        <v>-239.88060094562525</v>
      </c>
      <c r="L141" s="6">
        <f>$V$7+$W$7*penguins[[#This Row],[Culmen Length (mm)]]+penguins[[#This Row],[Culmen Depth (mm)]]*$X$7+$Y$7*penguins[[#This Row],[Flipper Length (mm)]]+penguins[[#This Row],[Body mass (g)]]*$Z$7+$AA$7*penguins[[#This Row],[Gender]]</f>
        <v>-240.26118168839977</v>
      </c>
      <c r="M141" s="6">
        <f t="shared" si="28"/>
        <v>0.46988779038435879</v>
      </c>
      <c r="N141" s="6">
        <f t="shared" si="29"/>
        <v>0.31489363058563707</v>
      </c>
      <c r="O141" s="6">
        <f t="shared" si="30"/>
        <v>0.21521857903000416</v>
      </c>
      <c r="P141" s="6">
        <f t="shared" si="31"/>
        <v>-1.1555203778639804</v>
      </c>
    </row>
    <row r="142" spans="1:16" x14ac:dyDescent="0.3">
      <c r="A142">
        <v>415</v>
      </c>
      <c r="B142">
        <v>185</v>
      </c>
      <c r="C142">
        <v>201</v>
      </c>
      <c r="D142">
        <v>4000</v>
      </c>
      <c r="E142">
        <v>1</v>
      </c>
      <c r="F142" s="6" t="s">
        <v>88</v>
      </c>
      <c r="G142" s="6">
        <f t="shared" si="25"/>
        <v>0</v>
      </c>
      <c r="H142" s="6">
        <f t="shared" si="26"/>
        <v>1</v>
      </c>
      <c r="I142" s="6">
        <f t="shared" si="27"/>
        <v>0</v>
      </c>
      <c r="J142" s="6">
        <f>$V$5+$W$5*penguins[[#This Row],[Culmen Length (mm)]]+penguins[[#This Row],[Culmen Depth (mm)]]*$X$5+$Y$5*penguins[[#This Row],[Flipper Length (mm)]]+penguins[[#This Row],[Body mass (g)]]*$Z$5+$AA$5*penguins[[#This Row],[Gender]]</f>
        <v>-255.68502991602986</v>
      </c>
      <c r="K142" s="6">
        <f>$V$6+$W$6*penguins[[#This Row],[Culmen Length (mm)]]+penguins[[#This Row],[Culmen Depth (mm)]]*$X$6+$Y$6*penguins[[#This Row],[Flipper Length (mm)]]+penguins[[#This Row],[Body mass (g)]]*$Z$6+$AA$6*penguins[[#This Row],[Gender]]</f>
        <v>-255.94105016052967</v>
      </c>
      <c r="L142" s="6">
        <f>$V$7+$W$7*penguins[[#This Row],[Culmen Length (mm)]]+penguins[[#This Row],[Culmen Depth (mm)]]*$X$7+$Y$7*penguins[[#This Row],[Flipper Length (mm)]]+penguins[[#This Row],[Body mass (g)]]*$Z$7+$AA$7*penguins[[#This Row],[Gender]]</f>
        <v>-255.95210953740022</v>
      </c>
      <c r="M142" s="6">
        <f t="shared" si="28"/>
        <v>0.39374133860701854</v>
      </c>
      <c r="N142" s="6">
        <f t="shared" si="29"/>
        <v>0.30480552436629194</v>
      </c>
      <c r="O142" s="6">
        <f t="shared" si="30"/>
        <v>0.30145313702668947</v>
      </c>
      <c r="P142" s="6">
        <f t="shared" si="31"/>
        <v>-1.1880813307725684</v>
      </c>
    </row>
    <row r="143" spans="1:16" x14ac:dyDescent="0.3">
      <c r="A143">
        <v>465</v>
      </c>
      <c r="B143">
        <v>179</v>
      </c>
      <c r="C143">
        <v>192</v>
      </c>
      <c r="D143">
        <v>3500</v>
      </c>
      <c r="E143">
        <v>0</v>
      </c>
      <c r="F143" s="6" t="s">
        <v>88</v>
      </c>
      <c r="G143" s="6">
        <f t="shared" si="25"/>
        <v>0</v>
      </c>
      <c r="H143" s="6">
        <f t="shared" si="26"/>
        <v>1</v>
      </c>
      <c r="I143" s="6">
        <f t="shared" si="27"/>
        <v>0</v>
      </c>
      <c r="J143" s="6">
        <f>$V$5+$W$5*penguins[[#This Row],[Culmen Length (mm)]]+penguins[[#This Row],[Culmen Depth (mm)]]*$X$5+$Y$5*penguins[[#This Row],[Flipper Length (mm)]]+penguins[[#This Row],[Body mass (g)]]*$Z$5+$AA$5*penguins[[#This Row],[Gender]]</f>
        <v>-222.51147851428084</v>
      </c>
      <c r="K143" s="6">
        <f>$V$6+$W$6*penguins[[#This Row],[Culmen Length (mm)]]+penguins[[#This Row],[Culmen Depth (mm)]]*$X$6+$Y$6*penguins[[#This Row],[Flipper Length (mm)]]+penguins[[#This Row],[Body mass (g)]]*$Z$6+$AA$6*penguins[[#This Row],[Gender]]</f>
        <v>-222.50973367974569</v>
      </c>
      <c r="L143" s="6">
        <f>$V$7+$W$7*penguins[[#This Row],[Culmen Length (mm)]]+penguins[[#This Row],[Culmen Depth (mm)]]*$X$7+$Y$7*penguins[[#This Row],[Flipper Length (mm)]]+penguins[[#This Row],[Body mass (g)]]*$Z$7+$AA$7*penguins[[#This Row],[Gender]]</f>
        <v>-222.83602053728058</v>
      </c>
      <c r="M143" s="6">
        <f t="shared" si="28"/>
        <v>0.36702572098306452</v>
      </c>
      <c r="N143" s="6">
        <f t="shared" si="29"/>
        <v>0.36766667915668722</v>
      </c>
      <c r="O143" s="6">
        <f t="shared" si="30"/>
        <v>0.26530759986024821</v>
      </c>
      <c r="P143" s="6">
        <f t="shared" si="31"/>
        <v>-1.0005785144257007</v>
      </c>
    </row>
    <row r="144" spans="1:16" x14ac:dyDescent="0.3">
      <c r="A144">
        <v>50</v>
      </c>
      <c r="B144">
        <v>195</v>
      </c>
      <c r="C144">
        <v>196</v>
      </c>
      <c r="D144">
        <v>3900</v>
      </c>
      <c r="E144">
        <v>1</v>
      </c>
      <c r="F144" s="6" t="s">
        <v>88</v>
      </c>
      <c r="G144" s="6">
        <f t="shared" si="25"/>
        <v>0</v>
      </c>
      <c r="H144" s="6">
        <f t="shared" si="26"/>
        <v>1</v>
      </c>
      <c r="I144" s="6">
        <f t="shared" si="27"/>
        <v>0</v>
      </c>
      <c r="J144" s="6">
        <f>$V$5+$W$5*penguins[[#This Row],[Culmen Length (mm)]]+penguins[[#This Row],[Culmen Depth (mm)]]*$X$5+$Y$5*penguins[[#This Row],[Flipper Length (mm)]]+penguins[[#This Row],[Body mass (g)]]*$Z$5+$AA$5*penguins[[#This Row],[Gender]]</f>
        <v>-252.04682212669218</v>
      </c>
      <c r="K144" s="6">
        <f>$V$6+$W$6*penguins[[#This Row],[Culmen Length (mm)]]+penguins[[#This Row],[Culmen Depth (mm)]]*$X$6+$Y$6*penguins[[#This Row],[Flipper Length (mm)]]+penguins[[#This Row],[Body mass (g)]]*$Z$6+$AA$6*penguins[[#This Row],[Gender]]</f>
        <v>-252.55902890656199</v>
      </c>
      <c r="L144" s="6">
        <f>$V$7+$W$7*penguins[[#This Row],[Culmen Length (mm)]]+penguins[[#This Row],[Culmen Depth (mm)]]*$X$7+$Y$7*penguins[[#This Row],[Flipper Length (mm)]]+penguins[[#This Row],[Body mass (g)]]*$Z$7+$AA$7*penguins[[#This Row],[Gender]]</f>
        <v>-253.14916035708558</v>
      </c>
      <c r="M144" s="6">
        <f t="shared" si="28"/>
        <v>0.5177951857193871</v>
      </c>
      <c r="N144" s="6">
        <f t="shared" si="29"/>
        <v>0.31024831402909941</v>
      </c>
      <c r="O144" s="6">
        <f t="shared" si="30"/>
        <v>0.17195650025151332</v>
      </c>
      <c r="P144" s="6">
        <f t="shared" si="31"/>
        <v>-1.170382289145548</v>
      </c>
    </row>
    <row r="145" spans="1:16" x14ac:dyDescent="0.3">
      <c r="A145">
        <v>513</v>
      </c>
      <c r="B145">
        <v>192</v>
      </c>
      <c r="C145">
        <v>193</v>
      </c>
      <c r="D145">
        <v>3650</v>
      </c>
      <c r="E145">
        <v>1</v>
      </c>
      <c r="F145" s="6" t="s">
        <v>88</v>
      </c>
      <c r="G145" s="6">
        <f t="shared" si="25"/>
        <v>0</v>
      </c>
      <c r="H145" s="6">
        <f t="shared" si="26"/>
        <v>1</v>
      </c>
      <c r="I145" s="6">
        <f t="shared" si="27"/>
        <v>0</v>
      </c>
      <c r="J145" s="6">
        <f>$V$5+$W$5*penguins[[#This Row],[Culmen Length (mm)]]+penguins[[#This Row],[Culmen Depth (mm)]]*$X$5+$Y$5*penguins[[#This Row],[Flipper Length (mm)]]+penguins[[#This Row],[Body mass (g)]]*$Z$5+$AA$5*penguins[[#This Row],[Gender]]</f>
        <v>-231.72264002978301</v>
      </c>
      <c r="K145" s="6">
        <f>$V$6+$W$6*penguins[[#This Row],[Culmen Length (mm)]]+penguins[[#This Row],[Culmen Depth (mm)]]*$X$6+$Y$6*penguins[[#This Row],[Flipper Length (mm)]]+penguins[[#This Row],[Body mass (g)]]*$Z$6+$AA$6*penguins[[#This Row],[Gender]]</f>
        <v>-231.87469748347883</v>
      </c>
      <c r="L145" s="6">
        <f>$V$7+$W$7*penguins[[#This Row],[Culmen Length (mm)]]+penguins[[#This Row],[Culmen Depth (mm)]]*$X$7+$Y$7*penguins[[#This Row],[Flipper Length (mm)]]+penguins[[#This Row],[Body mass (g)]]*$Z$7+$AA$7*penguins[[#This Row],[Gender]]</f>
        <v>-232.13252513370887</v>
      </c>
      <c r="M145" s="6">
        <f t="shared" si="28"/>
        <v>0.39640611313504065</v>
      </c>
      <c r="N145" s="6">
        <f t="shared" si="29"/>
        <v>0.3404886427042576</v>
      </c>
      <c r="O145" s="6">
        <f t="shared" si="30"/>
        <v>0.26310524416070197</v>
      </c>
      <c r="P145" s="6">
        <f t="shared" si="31"/>
        <v>-1.0773735087087419</v>
      </c>
    </row>
    <row r="146" spans="1:16" x14ac:dyDescent="0.3">
      <c r="A146">
        <v>454</v>
      </c>
      <c r="B146">
        <v>187</v>
      </c>
      <c r="C146">
        <v>188</v>
      </c>
      <c r="D146">
        <v>3525</v>
      </c>
      <c r="E146">
        <v>0</v>
      </c>
      <c r="F146" s="6" t="s">
        <v>88</v>
      </c>
      <c r="G146" s="6">
        <f t="shared" si="25"/>
        <v>0</v>
      </c>
      <c r="H146" s="6">
        <f t="shared" si="26"/>
        <v>1</v>
      </c>
      <c r="I146" s="6">
        <f t="shared" si="27"/>
        <v>0</v>
      </c>
      <c r="J146" s="6">
        <f>$V$5+$W$5*penguins[[#This Row],[Culmen Length (mm)]]+penguins[[#This Row],[Culmen Depth (mm)]]*$X$5+$Y$5*penguins[[#This Row],[Flipper Length (mm)]]+penguins[[#This Row],[Body mass (g)]]*$Z$5+$AA$5*penguins[[#This Row],[Gender]]</f>
        <v>-224.12944380993909</v>
      </c>
      <c r="K146" s="6">
        <f>$V$6+$W$6*penguins[[#This Row],[Culmen Length (mm)]]+penguins[[#This Row],[Culmen Depth (mm)]]*$X$6+$Y$6*penguins[[#This Row],[Flipper Length (mm)]]+penguins[[#This Row],[Body mass (g)]]*$Z$6+$AA$6*penguins[[#This Row],[Gender]]</f>
        <v>-224.33233531927937</v>
      </c>
      <c r="L146" s="6">
        <f>$V$7+$W$7*penguins[[#This Row],[Culmen Length (mm)]]+penguins[[#This Row],[Culmen Depth (mm)]]*$X$7+$Y$7*penguins[[#This Row],[Flipper Length (mm)]]+penguins[[#This Row],[Body mass (g)]]*$Z$7+$AA$7*penguins[[#This Row],[Gender]]</f>
        <v>-224.52085290233373</v>
      </c>
      <c r="M146" s="6">
        <f t="shared" si="28"/>
        <v>0.40120838904384037</v>
      </c>
      <c r="N146" s="6">
        <f t="shared" si="29"/>
        <v>0.32753321062050994</v>
      </c>
      <c r="O146" s="6">
        <f t="shared" si="30"/>
        <v>0.27125840033564974</v>
      </c>
      <c r="P146" s="6">
        <f t="shared" si="31"/>
        <v>-1.11616582257328</v>
      </c>
    </row>
    <row r="147" spans="1:16" x14ac:dyDescent="0.3">
      <c r="A147">
        <v>527</v>
      </c>
      <c r="B147">
        <v>198</v>
      </c>
      <c r="C147">
        <v>197</v>
      </c>
      <c r="D147">
        <v>3725</v>
      </c>
      <c r="E147">
        <v>1</v>
      </c>
      <c r="F147" s="6" t="s">
        <v>88</v>
      </c>
      <c r="G147" s="6">
        <f t="shared" si="25"/>
        <v>0</v>
      </c>
      <c r="H147" s="6">
        <f t="shared" si="26"/>
        <v>1</v>
      </c>
      <c r="I147" s="6">
        <f t="shared" si="27"/>
        <v>0</v>
      </c>
      <c r="J147" s="6">
        <f>$V$5+$W$5*penguins[[#This Row],[Culmen Length (mm)]]+penguins[[#This Row],[Culmen Depth (mm)]]*$X$5+$Y$5*penguins[[#This Row],[Flipper Length (mm)]]+penguins[[#This Row],[Body mass (g)]]*$Z$5+$AA$5*penguins[[#This Row],[Gender]]</f>
        <v>-236.42055138572371</v>
      </c>
      <c r="K147" s="6">
        <f>$V$6+$W$6*penguins[[#This Row],[Culmen Length (mm)]]+penguins[[#This Row],[Culmen Depth (mm)]]*$X$6+$Y$6*penguins[[#This Row],[Flipper Length (mm)]]+penguins[[#This Row],[Body mass (g)]]*$Z$6+$AA$6*penguins[[#This Row],[Gender]]</f>
        <v>-236.59338554047324</v>
      </c>
      <c r="L147" s="6">
        <f>$V$7+$W$7*penguins[[#This Row],[Culmen Length (mm)]]+penguins[[#This Row],[Culmen Depth (mm)]]*$X$7+$Y$7*penguins[[#This Row],[Flipper Length (mm)]]+penguins[[#This Row],[Body mass (g)]]*$Z$7+$AA$7*penguins[[#This Row],[Gender]]</f>
        <v>-236.8555741062865</v>
      </c>
      <c r="M147" s="6">
        <f t="shared" si="28"/>
        <v>0.40184412923534157</v>
      </c>
      <c r="N147" s="6">
        <f t="shared" si="29"/>
        <v>0.33806227377791637</v>
      </c>
      <c r="O147" s="6">
        <f t="shared" si="30"/>
        <v>0.26009359698674206</v>
      </c>
      <c r="P147" s="6">
        <f t="shared" si="31"/>
        <v>-1.0845251585230831</v>
      </c>
    </row>
    <row r="148" spans="1:16" x14ac:dyDescent="0.3">
      <c r="A148">
        <v>452</v>
      </c>
      <c r="B148">
        <v>178</v>
      </c>
      <c r="C148">
        <v>198</v>
      </c>
      <c r="D148">
        <v>3950</v>
      </c>
      <c r="E148">
        <v>0</v>
      </c>
      <c r="F148" s="6" t="s">
        <v>88</v>
      </c>
      <c r="G148" s="6">
        <f t="shared" si="25"/>
        <v>0</v>
      </c>
      <c r="H148" s="6">
        <f t="shared" si="26"/>
        <v>1</v>
      </c>
      <c r="I148" s="6">
        <f t="shared" si="27"/>
        <v>0</v>
      </c>
      <c r="J148" s="6">
        <f>$V$5+$W$5*penguins[[#This Row],[Culmen Length (mm)]]+penguins[[#This Row],[Culmen Depth (mm)]]*$X$5+$Y$5*penguins[[#This Row],[Flipper Length (mm)]]+penguins[[#This Row],[Body mass (g)]]*$Z$5+$AA$5*penguins[[#This Row],[Gender]]</f>
        <v>-252.24116407190942</v>
      </c>
      <c r="K148" s="6">
        <f>$V$6+$W$6*penguins[[#This Row],[Culmen Length (mm)]]+penguins[[#This Row],[Culmen Depth (mm)]]*$X$6+$Y$6*penguins[[#This Row],[Flipper Length (mm)]]+penguins[[#This Row],[Body mass (g)]]*$Z$6+$AA$6*penguins[[#This Row],[Gender]]</f>
        <v>-252.51600205047708</v>
      </c>
      <c r="L148" s="6">
        <f>$V$7+$W$7*penguins[[#This Row],[Culmen Length (mm)]]+penguins[[#This Row],[Culmen Depth (mm)]]*$X$7+$Y$7*penguins[[#This Row],[Flipper Length (mm)]]+penguins[[#This Row],[Body mass (g)]]*$Z$7+$AA$7*penguins[[#This Row],[Gender]]</f>
        <v>-252.24257577347603</v>
      </c>
      <c r="M148" s="6">
        <f t="shared" si="28"/>
        <v>0.36254418351957107</v>
      </c>
      <c r="N148" s="6">
        <f t="shared" si="29"/>
        <v>0.27542307606524397</v>
      </c>
      <c r="O148" s="6">
        <f t="shared" si="30"/>
        <v>0.36203274041518491</v>
      </c>
      <c r="P148" s="6">
        <f t="shared" si="31"/>
        <v>-1.2894469051112802</v>
      </c>
    </row>
    <row r="149" spans="1:16" x14ac:dyDescent="0.3">
      <c r="A149">
        <v>461</v>
      </c>
      <c r="B149">
        <v>182</v>
      </c>
      <c r="C149">
        <v>178</v>
      </c>
      <c r="D149">
        <v>3250</v>
      </c>
      <c r="E149">
        <v>0</v>
      </c>
      <c r="F149" s="6" t="s">
        <v>88</v>
      </c>
      <c r="G149" s="6">
        <f t="shared" si="25"/>
        <v>0</v>
      </c>
      <c r="H149" s="6">
        <f t="shared" si="26"/>
        <v>1</v>
      </c>
      <c r="I149" s="6">
        <f t="shared" si="27"/>
        <v>0</v>
      </c>
      <c r="J149" s="6">
        <f>$V$5+$W$5*penguins[[#This Row],[Culmen Length (mm)]]+penguins[[#This Row],[Culmen Depth (mm)]]*$X$5+$Y$5*penguins[[#This Row],[Flipper Length (mm)]]+penguins[[#This Row],[Body mass (g)]]*$Z$5+$AA$5*penguins[[#This Row],[Gender]]</f>
        <v>-206.09392693317281</v>
      </c>
      <c r="K149" s="6">
        <f>$V$6+$W$6*penguins[[#This Row],[Culmen Length (mm)]]+penguins[[#This Row],[Culmen Depth (mm)]]*$X$6+$Y$6*penguins[[#This Row],[Flipper Length (mm)]]+penguins[[#This Row],[Body mass (g)]]*$Z$6+$AA$6*penguins[[#This Row],[Gender]]</f>
        <v>-206.23798451847441</v>
      </c>
      <c r="L149" s="6">
        <f>$V$7+$W$7*penguins[[#This Row],[Culmen Length (mm)]]+penguins[[#This Row],[Culmen Depth (mm)]]*$X$7+$Y$7*penguins[[#This Row],[Flipper Length (mm)]]+penguins[[#This Row],[Body mass (g)]]*$Z$7+$AA$7*penguins[[#This Row],[Gender]]</f>
        <v>-206.55297105532145</v>
      </c>
      <c r="M149" s="6">
        <f t="shared" si="28"/>
        <v>0.40036429128544243</v>
      </c>
      <c r="N149" s="6">
        <f t="shared" si="29"/>
        <v>0.34665057203196326</v>
      </c>
      <c r="O149" s="6">
        <f t="shared" si="30"/>
        <v>0.2529851366825942</v>
      </c>
      <c r="P149" s="6">
        <f t="shared" si="31"/>
        <v>-1.0594380034234623</v>
      </c>
    </row>
    <row r="150" spans="1:16" x14ac:dyDescent="0.3">
      <c r="A150">
        <v>513</v>
      </c>
      <c r="B150">
        <v>182</v>
      </c>
      <c r="C150">
        <v>197</v>
      </c>
      <c r="D150">
        <v>3750</v>
      </c>
      <c r="E150">
        <v>1</v>
      </c>
      <c r="F150" s="6" t="s">
        <v>88</v>
      </c>
      <c r="G150" s="6">
        <f t="shared" si="25"/>
        <v>0</v>
      </c>
      <c r="H150" s="6">
        <f t="shared" si="26"/>
        <v>1</v>
      </c>
      <c r="I150" s="6">
        <f t="shared" si="27"/>
        <v>0</v>
      </c>
      <c r="J150" s="6">
        <f>$V$5+$W$5*penguins[[#This Row],[Culmen Length (mm)]]+penguins[[#This Row],[Culmen Depth (mm)]]*$X$5+$Y$5*penguins[[#This Row],[Flipper Length (mm)]]+penguins[[#This Row],[Body mass (g)]]*$Z$5+$AA$5*penguins[[#This Row],[Gender]]</f>
        <v>-238.46267422456066</v>
      </c>
      <c r="K150" s="6">
        <f>$V$6+$W$6*penguins[[#This Row],[Culmen Length (mm)]]+penguins[[#This Row],[Culmen Depth (mm)]]*$X$6+$Y$6*penguins[[#This Row],[Flipper Length (mm)]]+penguins[[#This Row],[Body mass (g)]]*$Z$6+$AA$6*penguins[[#This Row],[Gender]]</f>
        <v>-238.51622599031677</v>
      </c>
      <c r="L150" s="6">
        <f>$V$7+$W$7*penguins[[#This Row],[Culmen Length (mm)]]+penguins[[#This Row],[Culmen Depth (mm)]]*$X$7+$Y$7*penguins[[#This Row],[Flipper Length (mm)]]+penguins[[#This Row],[Body mass (g)]]*$Z$7+$AA$7*penguins[[#This Row],[Gender]]</f>
        <v>-238.69151988540426</v>
      </c>
      <c r="M150" s="6">
        <f t="shared" si="28"/>
        <v>0.36452339267040723</v>
      </c>
      <c r="N150" s="6">
        <f t="shared" si="29"/>
        <v>0.34551600318704112</v>
      </c>
      <c r="O150" s="6">
        <f t="shared" si="30"/>
        <v>0.28996060414255159</v>
      </c>
      <c r="P150" s="6">
        <f t="shared" si="31"/>
        <v>-1.0627163179265764</v>
      </c>
    </row>
    <row r="151" spans="1:16" x14ac:dyDescent="0.3">
      <c r="A151">
        <v>46</v>
      </c>
      <c r="B151">
        <v>189</v>
      </c>
      <c r="C151">
        <v>195</v>
      </c>
      <c r="D151">
        <v>4150</v>
      </c>
      <c r="E151">
        <v>0</v>
      </c>
      <c r="F151" s="6" t="s">
        <v>88</v>
      </c>
      <c r="G151" s="6">
        <f t="shared" si="25"/>
        <v>0</v>
      </c>
      <c r="H151" s="6">
        <f t="shared" si="26"/>
        <v>1</v>
      </c>
      <c r="I151" s="6">
        <f t="shared" si="27"/>
        <v>0</v>
      </c>
      <c r="J151" s="6">
        <f>$V$5+$W$5*penguins[[#This Row],[Culmen Length (mm)]]+penguins[[#This Row],[Culmen Depth (mm)]]*$X$5+$Y$5*penguins[[#This Row],[Flipper Length (mm)]]+penguins[[#This Row],[Body mass (g)]]*$Z$5+$AA$5*penguins[[#This Row],[Gender]]</f>
        <v>-268.67688914956869</v>
      </c>
      <c r="K151" s="6">
        <f>$V$6+$W$6*penguins[[#This Row],[Culmen Length (mm)]]+penguins[[#This Row],[Culmen Depth (mm)]]*$X$6+$Y$6*penguins[[#This Row],[Flipper Length (mm)]]+penguins[[#This Row],[Body mass (g)]]*$Z$6+$AA$6*penguins[[#This Row],[Gender]]</f>
        <v>-269.47060674804897</v>
      </c>
      <c r="L151" s="6">
        <f>$V$7+$W$7*penguins[[#This Row],[Culmen Length (mm)]]+penguins[[#This Row],[Culmen Depth (mm)]]*$X$7+$Y$7*penguins[[#This Row],[Flipper Length (mm)]]+penguins[[#This Row],[Body mass (g)]]*$Z$7+$AA$7*penguins[[#This Row],[Gender]]</f>
        <v>-269.36050052636261</v>
      </c>
      <c r="M151" s="6">
        <f t="shared" si="28"/>
        <v>0.5109988877198558</v>
      </c>
      <c r="N151" s="6">
        <f t="shared" si="29"/>
        <v>0.23105362236821606</v>
      </c>
      <c r="O151" s="6">
        <f t="shared" si="30"/>
        <v>0.25794748991192817</v>
      </c>
      <c r="P151" s="6">
        <f t="shared" si="31"/>
        <v>-1.4651054639345442</v>
      </c>
    </row>
    <row r="152" spans="1:16" x14ac:dyDescent="0.3">
      <c r="A152">
        <v>513</v>
      </c>
      <c r="B152">
        <v>199</v>
      </c>
      <c r="C152">
        <v>198</v>
      </c>
      <c r="D152">
        <v>3700</v>
      </c>
      <c r="E152">
        <v>1</v>
      </c>
      <c r="F152" s="6" t="s">
        <v>88</v>
      </c>
      <c r="G152" s="6">
        <f t="shared" si="25"/>
        <v>0</v>
      </c>
      <c r="H152" s="6">
        <f t="shared" si="26"/>
        <v>1</v>
      </c>
      <c r="I152" s="6">
        <f t="shared" si="27"/>
        <v>0</v>
      </c>
      <c r="J152" s="6">
        <f>$V$5+$W$5*penguins[[#This Row],[Culmen Length (mm)]]+penguins[[#This Row],[Culmen Depth (mm)]]*$X$5+$Y$5*penguins[[#This Row],[Flipper Length (mm)]]+penguins[[#This Row],[Body mass (g)]]*$Z$5+$AA$5*penguins[[#This Row],[Gender]]</f>
        <v>-234.87171114733036</v>
      </c>
      <c r="K152" s="6">
        <f>$V$6+$W$6*penguins[[#This Row],[Culmen Length (mm)]]+penguins[[#This Row],[Culmen Depth (mm)]]*$X$6+$Y$6*penguins[[#This Row],[Flipper Length (mm)]]+penguins[[#This Row],[Body mass (g)]]*$Z$6+$AA$6*penguins[[#This Row],[Gender]]</f>
        <v>-235.00918462838399</v>
      </c>
      <c r="L152" s="6">
        <f>$V$7+$W$7*penguins[[#This Row],[Culmen Length (mm)]]+penguins[[#This Row],[Culmen Depth (mm)]]*$X$7+$Y$7*penguins[[#This Row],[Flipper Length (mm)]]+penguins[[#This Row],[Body mass (g)]]*$Z$7+$AA$7*penguins[[#This Row],[Gender]]</f>
        <v>-235.37602766731834</v>
      </c>
      <c r="M152" s="6">
        <f t="shared" si="28"/>
        <v>0.40396276763644212</v>
      </c>
      <c r="N152" s="6">
        <f t="shared" si="29"/>
        <v>0.35207676469612109</v>
      </c>
      <c r="O152" s="6">
        <f t="shared" si="30"/>
        <v>0.24396046766743693</v>
      </c>
      <c r="P152" s="6">
        <f t="shared" si="31"/>
        <v>-1.0439060456372873</v>
      </c>
    </row>
    <row r="153" spans="1:16" x14ac:dyDescent="0.3">
      <c r="A153">
        <v>466</v>
      </c>
      <c r="B153">
        <v>178</v>
      </c>
      <c r="C153">
        <v>193</v>
      </c>
      <c r="D153">
        <v>3800</v>
      </c>
      <c r="E153">
        <v>0</v>
      </c>
      <c r="F153" s="6" t="s">
        <v>88</v>
      </c>
      <c r="G153" s="6">
        <f t="shared" si="25"/>
        <v>0</v>
      </c>
      <c r="H153" s="6">
        <f t="shared" si="26"/>
        <v>1</v>
      </c>
      <c r="I153" s="6">
        <f t="shared" si="27"/>
        <v>0</v>
      </c>
      <c r="J153" s="6">
        <f>$V$5+$W$5*penguins[[#This Row],[Culmen Length (mm)]]+penguins[[#This Row],[Culmen Depth (mm)]]*$X$5+$Y$5*penguins[[#This Row],[Flipper Length (mm)]]+penguins[[#This Row],[Body mass (g)]]*$Z$5+$AA$5*penguins[[#This Row],[Gender]]</f>
        <v>-242.26796990939772</v>
      </c>
      <c r="K153" s="6">
        <f>$V$6+$W$6*penguins[[#This Row],[Culmen Length (mm)]]+penguins[[#This Row],[Culmen Depth (mm)]]*$X$6+$Y$6*penguins[[#This Row],[Flipper Length (mm)]]+penguins[[#This Row],[Body mass (g)]]*$Z$6+$AA$6*penguins[[#This Row],[Gender]]</f>
        <v>-242.5207211797063</v>
      </c>
      <c r="L153" s="6">
        <f>$V$7+$W$7*penguins[[#This Row],[Culmen Length (mm)]]+penguins[[#This Row],[Culmen Depth (mm)]]*$X$7+$Y$7*penguins[[#This Row],[Flipper Length (mm)]]+penguins[[#This Row],[Body mass (g)]]*$Z$7+$AA$7*penguins[[#This Row],[Gender]]</f>
        <v>-242.32772570805835</v>
      </c>
      <c r="M153" s="6">
        <f t="shared" si="28"/>
        <v>0.36782886658612335</v>
      </c>
      <c r="N153" s="6">
        <f t="shared" si="29"/>
        <v>0.28567834876306558</v>
      </c>
      <c r="O153" s="6">
        <f t="shared" si="30"/>
        <v>0.34649278465081107</v>
      </c>
      <c r="P153" s="6">
        <f t="shared" si="31"/>
        <v>-1.2528887557355217</v>
      </c>
    </row>
    <row r="154" spans="1:16" x14ac:dyDescent="0.3">
      <c r="A154">
        <v>517</v>
      </c>
      <c r="B154">
        <v>203</v>
      </c>
      <c r="C154">
        <v>194</v>
      </c>
      <c r="D154">
        <v>3775</v>
      </c>
      <c r="E154">
        <v>1</v>
      </c>
      <c r="F154" s="6" t="s">
        <v>88</v>
      </c>
      <c r="G154" s="6">
        <f t="shared" si="25"/>
        <v>0</v>
      </c>
      <c r="H154" s="6">
        <f t="shared" si="26"/>
        <v>1</v>
      </c>
      <c r="I154" s="6">
        <f t="shared" si="27"/>
        <v>0</v>
      </c>
      <c r="J154" s="6">
        <f>$V$5+$W$5*penguins[[#This Row],[Culmen Length (mm)]]+penguins[[#This Row],[Culmen Depth (mm)]]*$X$5+$Y$5*penguins[[#This Row],[Flipper Length (mm)]]+penguins[[#This Row],[Body mass (g)]]*$Z$5+$AA$5*penguins[[#This Row],[Gender]]</f>
        <v>-239.72370507460295</v>
      </c>
      <c r="K154" s="6">
        <f>$V$6+$W$6*penguins[[#This Row],[Culmen Length (mm)]]+penguins[[#This Row],[Culmen Depth (mm)]]*$X$6+$Y$6*penguins[[#This Row],[Flipper Length (mm)]]+penguins[[#This Row],[Body mass (g)]]*$Z$6+$AA$6*penguins[[#This Row],[Gender]]</f>
        <v>-240.07154682258056</v>
      </c>
      <c r="L154" s="6">
        <f>$V$7+$W$7*penguins[[#This Row],[Culmen Length (mm)]]+penguins[[#This Row],[Culmen Depth (mm)]]*$X$7+$Y$7*penguins[[#This Row],[Flipper Length (mm)]]+penguins[[#This Row],[Body mass (g)]]*$Z$7+$AA$7*penguins[[#This Row],[Gender]]</f>
        <v>-240.17195385583497</v>
      </c>
      <c r="M154" s="6">
        <f t="shared" si="28"/>
        <v>0.42644716433771379</v>
      </c>
      <c r="N154" s="6">
        <f t="shared" si="29"/>
        <v>0.30116151915224126</v>
      </c>
      <c r="O154" s="6">
        <f t="shared" si="30"/>
        <v>0.272391316510045</v>
      </c>
      <c r="P154" s="6">
        <f t="shared" si="31"/>
        <v>-1.2001085496768999</v>
      </c>
    </row>
    <row r="155" spans="1:16" x14ac:dyDescent="0.3">
      <c r="A155">
        <v>47</v>
      </c>
      <c r="B155">
        <v>173</v>
      </c>
      <c r="C155">
        <v>185</v>
      </c>
      <c r="D155">
        <v>3700</v>
      </c>
      <c r="E155">
        <v>0</v>
      </c>
      <c r="F155" s="6" t="s">
        <v>88</v>
      </c>
      <c r="G155" s="6">
        <f t="shared" si="25"/>
        <v>0</v>
      </c>
      <c r="H155" s="6">
        <f t="shared" si="26"/>
        <v>1</v>
      </c>
      <c r="I155" s="6">
        <f t="shared" si="27"/>
        <v>0</v>
      </c>
      <c r="J155" s="6">
        <f>$V$5+$W$5*penguins[[#This Row],[Culmen Length (mm)]]+penguins[[#This Row],[Culmen Depth (mm)]]*$X$5+$Y$5*penguins[[#This Row],[Flipper Length (mm)]]+penguins[[#This Row],[Body mass (g)]]*$Z$5+$AA$5*penguins[[#This Row],[Gender]]</f>
        <v>-239.36096641104479</v>
      </c>
      <c r="K155" s="6">
        <f>$V$6+$W$6*penguins[[#This Row],[Culmen Length (mm)]]+penguins[[#This Row],[Culmen Depth (mm)]]*$X$6+$Y$6*penguins[[#This Row],[Flipper Length (mm)]]+penguins[[#This Row],[Body mass (g)]]*$Z$6+$AA$6*penguins[[#This Row],[Gender]]</f>
        <v>-239.82693876982029</v>
      </c>
      <c r="L155" s="6">
        <f>$V$7+$W$7*penguins[[#This Row],[Culmen Length (mm)]]+penguins[[#This Row],[Culmen Depth (mm)]]*$X$7+$Y$7*penguins[[#This Row],[Flipper Length (mm)]]+penguins[[#This Row],[Body mass (g)]]*$Z$7+$AA$7*penguins[[#This Row],[Gender]]</f>
        <v>-240.12978823230236</v>
      </c>
      <c r="M155" s="6">
        <f t="shared" si="28"/>
        <v>0.47822097253872081</v>
      </c>
      <c r="N155" s="6">
        <f t="shared" si="29"/>
        <v>0.30009543854299708</v>
      </c>
      <c r="O155" s="6">
        <f t="shared" si="30"/>
        <v>0.22168358891828219</v>
      </c>
      <c r="P155" s="6">
        <f t="shared" si="31"/>
        <v>-1.2036547264414132</v>
      </c>
    </row>
    <row r="156" spans="1:16" x14ac:dyDescent="0.3">
      <c r="A156">
        <v>52</v>
      </c>
      <c r="B156">
        <v>181</v>
      </c>
      <c r="C156">
        <v>201</v>
      </c>
      <c r="D156">
        <v>4050</v>
      </c>
      <c r="E156">
        <v>1</v>
      </c>
      <c r="F156" s="6" t="s">
        <v>88</v>
      </c>
      <c r="G156" s="6">
        <f t="shared" si="25"/>
        <v>0</v>
      </c>
      <c r="H156" s="6">
        <f t="shared" si="26"/>
        <v>1</v>
      </c>
      <c r="I156" s="6">
        <f t="shared" si="27"/>
        <v>0</v>
      </c>
      <c r="J156" s="6">
        <f>$V$5+$W$5*penguins[[#This Row],[Culmen Length (mm)]]+penguins[[#This Row],[Culmen Depth (mm)]]*$X$5+$Y$5*penguins[[#This Row],[Flipper Length (mm)]]+penguins[[#This Row],[Body mass (g)]]*$Z$5+$AA$5*penguins[[#This Row],[Gender]]</f>
        <v>-262.1268877847437</v>
      </c>
      <c r="K156" s="6">
        <f>$V$6+$W$6*penguins[[#This Row],[Culmen Length (mm)]]+penguins[[#This Row],[Culmen Depth (mm)]]*$X$6+$Y$6*penguins[[#This Row],[Flipper Length (mm)]]+penguins[[#This Row],[Body mass (g)]]*$Z$6+$AA$6*penguins[[#This Row],[Gender]]</f>
        <v>-262.52545954960544</v>
      </c>
      <c r="L156" s="6">
        <f>$V$7+$W$7*penguins[[#This Row],[Culmen Length (mm)]]+penguins[[#This Row],[Culmen Depth (mm)]]*$X$7+$Y$7*penguins[[#This Row],[Flipper Length (mm)]]+penguins[[#This Row],[Body mass (g)]]*$Z$7+$AA$7*penguins[[#This Row],[Gender]]</f>
        <v>-262.95801886308197</v>
      </c>
      <c r="M156" s="6">
        <f t="shared" si="28"/>
        <v>0.47464573848735137</v>
      </c>
      <c r="N156" s="6">
        <f t="shared" si="29"/>
        <v>0.318619291727614</v>
      </c>
      <c r="O156" s="6">
        <f t="shared" si="30"/>
        <v>0.20673496978503469</v>
      </c>
      <c r="P156" s="6">
        <f t="shared" si="31"/>
        <v>-1.1437583317774838</v>
      </c>
    </row>
    <row r="157" spans="1:16" x14ac:dyDescent="0.3">
      <c r="A157">
        <v>459</v>
      </c>
      <c r="B157">
        <v>171</v>
      </c>
      <c r="C157">
        <v>190</v>
      </c>
      <c r="D157">
        <v>3575</v>
      </c>
      <c r="E157">
        <v>0</v>
      </c>
      <c r="F157" s="6" t="s">
        <v>88</v>
      </c>
      <c r="G157" s="6">
        <f t="shared" si="25"/>
        <v>0</v>
      </c>
      <c r="H157" s="6">
        <f t="shared" si="26"/>
        <v>1</v>
      </c>
      <c r="I157" s="6">
        <f t="shared" si="27"/>
        <v>0</v>
      </c>
      <c r="J157" s="6">
        <f>$V$5+$W$5*penguins[[#This Row],[Culmen Length (mm)]]+penguins[[#This Row],[Culmen Depth (mm)]]*$X$5+$Y$5*penguins[[#This Row],[Flipper Length (mm)]]+penguins[[#This Row],[Body mass (g)]]*$Z$5+$AA$5*penguins[[#This Row],[Gender]]</f>
        <v>-227.64768493937382</v>
      </c>
      <c r="K157" s="6">
        <f>$V$6+$W$6*penguins[[#This Row],[Culmen Length (mm)]]+penguins[[#This Row],[Culmen Depth (mm)]]*$X$6+$Y$6*penguins[[#This Row],[Flipper Length (mm)]]+penguins[[#This Row],[Body mass (g)]]*$Z$6+$AA$6*penguins[[#This Row],[Gender]]</f>
        <v>-227.69742563648475</v>
      </c>
      <c r="L157" s="6">
        <f>$V$7+$W$7*penguins[[#This Row],[Culmen Length (mm)]]+penguins[[#This Row],[Culmen Depth (mm)]]*$X$7+$Y$7*penguins[[#This Row],[Flipper Length (mm)]]+penguins[[#This Row],[Body mass (g)]]*$Z$7+$AA$7*penguins[[#This Row],[Gender]]</f>
        <v>-227.79508526290579</v>
      </c>
      <c r="M157" s="6">
        <f t="shared" si="28"/>
        <v>0.35531241918861683</v>
      </c>
      <c r="N157" s="6">
        <f t="shared" si="29"/>
        <v>0.33807127951759952</v>
      </c>
      <c r="O157" s="6">
        <f t="shared" si="30"/>
        <v>0.30661630129378353</v>
      </c>
      <c r="P157" s="6">
        <f t="shared" si="31"/>
        <v>-1.0844985195857317</v>
      </c>
    </row>
    <row r="158" spans="1:16" x14ac:dyDescent="0.3">
      <c r="A158">
        <v>505</v>
      </c>
      <c r="B158">
        <v>196</v>
      </c>
      <c r="C158">
        <v>201</v>
      </c>
      <c r="D158">
        <v>4050</v>
      </c>
      <c r="E158">
        <v>1</v>
      </c>
      <c r="F158" s="6" t="s">
        <v>88</v>
      </c>
      <c r="G158" s="6">
        <f t="shared" si="25"/>
        <v>0</v>
      </c>
      <c r="H158" s="6">
        <f t="shared" si="26"/>
        <v>1</v>
      </c>
      <c r="I158" s="6">
        <f t="shared" si="27"/>
        <v>0</v>
      </c>
      <c r="J158" s="6">
        <f>$V$5+$W$5*penguins[[#This Row],[Culmen Length (mm)]]+penguins[[#This Row],[Culmen Depth (mm)]]*$X$5+$Y$5*penguins[[#This Row],[Flipper Length (mm)]]+penguins[[#This Row],[Body mass (g)]]*$Z$5+$AA$5*penguins[[#This Row],[Gender]]</f>
        <v>-258.02259953487606</v>
      </c>
      <c r="K158" s="6">
        <f>$V$6+$W$6*penguins[[#This Row],[Culmen Length (mm)]]+penguins[[#This Row],[Culmen Depth (mm)]]*$X$6+$Y$6*penguins[[#This Row],[Flipper Length (mm)]]+penguins[[#This Row],[Body mass (g)]]*$Z$6+$AA$6*penguins[[#This Row],[Gender]]</f>
        <v>-258.39641611859787</v>
      </c>
      <c r="L158" s="6">
        <f>$V$7+$W$7*penguins[[#This Row],[Culmen Length (mm)]]+penguins[[#This Row],[Culmen Depth (mm)]]*$X$7+$Y$7*penguins[[#This Row],[Flipper Length (mm)]]+penguins[[#This Row],[Body mass (g)]]*$Z$7+$AA$7*penguins[[#This Row],[Gender]]</f>
        <v>-258.22734926865979</v>
      </c>
      <c r="M158" s="6">
        <f t="shared" si="28"/>
        <v>0.39952786510596838</v>
      </c>
      <c r="N158" s="6">
        <f t="shared" si="29"/>
        <v>0.27491636633793681</v>
      </c>
      <c r="O158" s="6">
        <f t="shared" si="30"/>
        <v>0.3255557685560948</v>
      </c>
      <c r="P158" s="6">
        <f t="shared" si="31"/>
        <v>-1.291288349977666</v>
      </c>
    </row>
    <row r="159" spans="1:16" x14ac:dyDescent="0.3">
      <c r="A159">
        <v>503</v>
      </c>
      <c r="B159">
        <v>20</v>
      </c>
      <c r="C159">
        <v>197</v>
      </c>
      <c r="D159">
        <v>3300</v>
      </c>
      <c r="E159">
        <v>1</v>
      </c>
      <c r="F159" s="6" t="s">
        <v>88</v>
      </c>
      <c r="G159" s="6">
        <f t="shared" si="25"/>
        <v>0</v>
      </c>
      <c r="H159" s="6">
        <f t="shared" si="26"/>
        <v>1</v>
      </c>
      <c r="I159" s="6">
        <f t="shared" si="27"/>
        <v>0</v>
      </c>
      <c r="J159" s="6">
        <f>$V$5+$W$5*penguins[[#This Row],[Culmen Length (mm)]]+penguins[[#This Row],[Culmen Depth (mm)]]*$X$5+$Y$5*penguins[[#This Row],[Flipper Length (mm)]]+penguins[[#This Row],[Body mass (g)]]*$Z$5+$AA$5*penguins[[#This Row],[Gender]]</f>
        <v>-211.72742789120053</v>
      </c>
      <c r="K159" s="6">
        <f>$V$6+$W$6*penguins[[#This Row],[Culmen Length (mm)]]+penguins[[#This Row],[Culmen Depth (mm)]]*$X$6+$Y$6*penguins[[#This Row],[Flipper Length (mm)]]+penguins[[#This Row],[Body mass (g)]]*$Z$6+$AA$6*penguins[[#This Row],[Gender]]</f>
        <v>-209.84656043961613</v>
      </c>
      <c r="L159" s="6">
        <f>$V$7+$W$7*penguins[[#This Row],[Culmen Length (mm)]]+penguins[[#This Row],[Culmen Depth (mm)]]*$X$7+$Y$7*penguins[[#This Row],[Flipper Length (mm)]]+penguins[[#This Row],[Body mass (g)]]*$Z$7+$AA$7*penguins[[#This Row],[Gender]]</f>
        <v>-210.23627413425174</v>
      </c>
      <c r="M159" s="6">
        <f t="shared" si="28"/>
        <v>8.3323542956574556E-2</v>
      </c>
      <c r="N159" s="6">
        <f t="shared" si="29"/>
        <v>0.54653513109949481</v>
      </c>
      <c r="O159" s="6">
        <f t="shared" si="30"/>
        <v>0.37014132594393068</v>
      </c>
      <c r="P159" s="6">
        <f t="shared" si="31"/>
        <v>-0.60415668962654501</v>
      </c>
    </row>
    <row r="160" spans="1:16" x14ac:dyDescent="0.3">
      <c r="A160">
        <v>58</v>
      </c>
      <c r="B160">
        <v>178</v>
      </c>
      <c r="C160">
        <v>181</v>
      </c>
      <c r="D160">
        <v>3700</v>
      </c>
      <c r="E160">
        <v>0</v>
      </c>
      <c r="F160" s="6" t="s">
        <v>88</v>
      </c>
      <c r="G160" s="6">
        <f t="shared" si="25"/>
        <v>0</v>
      </c>
      <c r="H160" s="6">
        <f t="shared" si="26"/>
        <v>1</v>
      </c>
      <c r="I160" s="6">
        <f t="shared" si="27"/>
        <v>0</v>
      </c>
      <c r="J160" s="6">
        <f>$V$5+$W$5*penguins[[#This Row],[Culmen Length (mm)]]+penguins[[#This Row],[Culmen Depth (mm)]]*$X$5+$Y$5*penguins[[#This Row],[Flipper Length (mm)]]+penguins[[#This Row],[Body mass (g)]]*$Z$5+$AA$5*penguins[[#This Row],[Gender]]</f>
        <v>-239.19823258186642</v>
      </c>
      <c r="K160" s="6">
        <f>$V$6+$W$6*penguins[[#This Row],[Culmen Length (mm)]]+penguins[[#This Row],[Culmen Depth (mm)]]*$X$6+$Y$6*penguins[[#This Row],[Flipper Length (mm)]]+penguins[[#This Row],[Body mass (g)]]*$Z$6+$AA$6*penguins[[#This Row],[Gender]]</f>
        <v>-239.80889388253951</v>
      </c>
      <c r="L160" s="6">
        <f>$V$7+$W$7*penguins[[#This Row],[Culmen Length (mm)]]+penguins[[#This Row],[Culmen Depth (mm)]]*$X$7+$Y$7*penguins[[#This Row],[Flipper Length (mm)]]+penguins[[#This Row],[Body mass (g)]]*$Z$7+$AA$7*penguins[[#This Row],[Gender]]</f>
        <v>-239.97613762939838</v>
      </c>
      <c r="M160" s="6">
        <f t="shared" si="28"/>
        <v>0.49941093822949051</v>
      </c>
      <c r="N160" s="6">
        <f t="shared" si="29"/>
        <v>0.27117597914655051</v>
      </c>
      <c r="O160" s="6">
        <f t="shared" si="30"/>
        <v>0.22941308262395896</v>
      </c>
      <c r="P160" s="6">
        <f t="shared" si="31"/>
        <v>-1.3049872993071407</v>
      </c>
    </row>
    <row r="161" spans="1:16" x14ac:dyDescent="0.3">
      <c r="A161">
        <v>464</v>
      </c>
      <c r="B161">
        <v>186</v>
      </c>
      <c r="C161">
        <v>190</v>
      </c>
      <c r="D161">
        <v>3450</v>
      </c>
      <c r="E161">
        <v>0</v>
      </c>
      <c r="F161" s="6" t="s">
        <v>88</v>
      </c>
      <c r="G161" s="6">
        <f t="shared" si="25"/>
        <v>0</v>
      </c>
      <c r="H161" s="6">
        <f t="shared" si="26"/>
        <v>1</v>
      </c>
      <c r="I161" s="6">
        <f t="shared" si="27"/>
        <v>0</v>
      </c>
      <c r="J161" s="6">
        <f>$V$5+$W$5*penguins[[#This Row],[Culmen Length (mm)]]+penguins[[#This Row],[Culmen Depth (mm)]]*$X$5+$Y$5*penguins[[#This Row],[Flipper Length (mm)]]+penguins[[#This Row],[Body mass (g)]]*$Z$5+$AA$5*penguins[[#This Row],[Gender]]</f>
        <v>-219.11528307658668</v>
      </c>
      <c r="K161" s="6">
        <f>$V$6+$W$6*penguins[[#This Row],[Culmen Length (mm)]]+penguins[[#This Row],[Culmen Depth (mm)]]*$X$6+$Y$6*penguins[[#This Row],[Flipper Length (mm)]]+penguins[[#This Row],[Body mass (g)]]*$Z$6+$AA$6*penguins[[#This Row],[Gender]]</f>
        <v>-219.18171453085097</v>
      </c>
      <c r="L161" s="6">
        <f>$V$7+$W$7*penguins[[#This Row],[Culmen Length (mm)]]+penguins[[#This Row],[Culmen Depth (mm)]]*$X$7+$Y$7*penguins[[#This Row],[Flipper Length (mm)]]+penguins[[#This Row],[Body mass (g)]]*$Z$7+$AA$7*penguins[[#This Row],[Gender]]</f>
        <v>-219.55841714100251</v>
      </c>
      <c r="M161" s="6">
        <f t="shared" si="28"/>
        <v>0.38793548828332125</v>
      </c>
      <c r="N161" s="6">
        <f t="shared" si="29"/>
        <v>0.36300173149930592</v>
      </c>
      <c r="O161" s="6">
        <f t="shared" si="30"/>
        <v>0.24906278021737277</v>
      </c>
      <c r="P161" s="6">
        <f t="shared" si="31"/>
        <v>-1.0133476747581227</v>
      </c>
    </row>
    <row r="162" spans="1:16" x14ac:dyDescent="0.3">
      <c r="A162">
        <v>492</v>
      </c>
      <c r="B162">
        <v>182</v>
      </c>
      <c r="C162">
        <v>195</v>
      </c>
      <c r="D162">
        <v>4400</v>
      </c>
      <c r="E162">
        <v>1</v>
      </c>
      <c r="F162" s="6" t="s">
        <v>88</v>
      </c>
      <c r="G162" s="6">
        <f t="shared" si="25"/>
        <v>0</v>
      </c>
      <c r="H162" s="6">
        <f t="shared" si="26"/>
        <v>1</v>
      </c>
      <c r="I162" s="6">
        <f t="shared" si="27"/>
        <v>0</v>
      </c>
      <c r="J162" s="6">
        <f>$V$5+$W$5*penguins[[#This Row],[Culmen Length (mm)]]+penguins[[#This Row],[Culmen Depth (mm)]]*$X$5+$Y$5*penguins[[#This Row],[Flipper Length (mm)]]+penguins[[#This Row],[Body mass (g)]]*$Z$5+$AA$5*penguins[[#This Row],[Gender]]</f>
        <v>-281.44544920263144</v>
      </c>
      <c r="K162" s="6">
        <f>$V$6+$W$6*penguins[[#This Row],[Culmen Length (mm)]]+penguins[[#This Row],[Culmen Depth (mm)]]*$X$6+$Y$6*penguins[[#This Row],[Flipper Length (mm)]]+penguins[[#This Row],[Body mass (g)]]*$Z$6+$AA$6*penguins[[#This Row],[Gender]]</f>
        <v>-282.18543066085851</v>
      </c>
      <c r="L162" s="6">
        <f>$V$7+$W$7*penguins[[#This Row],[Culmen Length (mm)]]+penguins[[#This Row],[Culmen Depth (mm)]]*$X$7+$Y$7*penguins[[#This Row],[Flipper Length (mm)]]+penguins[[#This Row],[Body mass (g)]]*$Z$7+$AA$7*penguins[[#This Row],[Gender]]</f>
        <v>-281.13305205597499</v>
      </c>
      <c r="M162" s="6">
        <f t="shared" si="28"/>
        <v>0.35163968023647812</v>
      </c>
      <c r="N162" s="6">
        <f t="shared" si="29"/>
        <v>0.16777529551278172</v>
      </c>
      <c r="O162" s="6">
        <f t="shared" si="30"/>
        <v>0.48058502425074012</v>
      </c>
      <c r="P162" s="6">
        <f t="shared" si="31"/>
        <v>-1.7851297215757629</v>
      </c>
    </row>
    <row r="163" spans="1:16" x14ac:dyDescent="0.3">
      <c r="A163">
        <v>424</v>
      </c>
      <c r="B163">
        <v>173</v>
      </c>
      <c r="C163">
        <v>181</v>
      </c>
      <c r="D163">
        <v>3600</v>
      </c>
      <c r="E163">
        <v>0</v>
      </c>
      <c r="F163" s="6" t="s">
        <v>88</v>
      </c>
      <c r="G163" s="6">
        <f t="shared" si="25"/>
        <v>0</v>
      </c>
      <c r="H163" s="6">
        <f t="shared" si="26"/>
        <v>1</v>
      </c>
      <c r="I163" s="6">
        <f t="shared" si="27"/>
        <v>0</v>
      </c>
      <c r="J163" s="6">
        <f>$V$5+$W$5*penguins[[#This Row],[Culmen Length (mm)]]+penguins[[#This Row],[Culmen Depth (mm)]]*$X$5+$Y$5*penguins[[#This Row],[Flipper Length (mm)]]+penguins[[#This Row],[Body mass (g)]]*$Z$5+$AA$5*penguins[[#This Row],[Gender]]</f>
        <v>-229.59491260509267</v>
      </c>
      <c r="K163" s="6">
        <f>$V$6+$W$6*penguins[[#This Row],[Culmen Length (mm)]]+penguins[[#This Row],[Culmen Depth (mm)]]*$X$6+$Y$6*penguins[[#This Row],[Flipper Length (mm)]]+penguins[[#This Row],[Body mass (g)]]*$Z$6+$AA$6*penguins[[#This Row],[Gender]]</f>
        <v>-229.93012556998642</v>
      </c>
      <c r="L163" s="6">
        <f>$V$7+$W$7*penguins[[#This Row],[Culmen Length (mm)]]+penguins[[#This Row],[Culmen Depth (mm)]]*$X$7+$Y$7*penguins[[#This Row],[Flipper Length (mm)]]+penguins[[#This Row],[Body mass (g)]]*$Z$7+$AA$7*penguins[[#This Row],[Gender]]</f>
        <v>-229.72833054882955</v>
      </c>
      <c r="M163" s="6">
        <f t="shared" si="28"/>
        <v>0.38605789974562699</v>
      </c>
      <c r="N163" s="6">
        <f t="shared" si="29"/>
        <v>0.27610311269362747</v>
      </c>
      <c r="O163" s="6">
        <f t="shared" si="30"/>
        <v>0.33783898756074554</v>
      </c>
      <c r="P163" s="6">
        <f t="shared" si="31"/>
        <v>-1.2869808863188219</v>
      </c>
    </row>
    <row r="164" spans="1:16" x14ac:dyDescent="0.3">
      <c r="A164">
        <v>485</v>
      </c>
      <c r="B164">
        <v>175</v>
      </c>
      <c r="C164">
        <v>191</v>
      </c>
      <c r="D164">
        <v>3400</v>
      </c>
      <c r="E164">
        <v>1</v>
      </c>
      <c r="F164" s="6" t="s">
        <v>88</v>
      </c>
      <c r="G164" s="6">
        <f t="shared" si="25"/>
        <v>0</v>
      </c>
      <c r="H164" s="6">
        <f t="shared" si="26"/>
        <v>1</v>
      </c>
      <c r="I164" s="6">
        <f t="shared" si="27"/>
        <v>0</v>
      </c>
      <c r="J164" s="6">
        <f>$V$5+$W$5*penguins[[#This Row],[Culmen Length (mm)]]+penguins[[#This Row],[Culmen Depth (mm)]]*$X$5+$Y$5*penguins[[#This Row],[Flipper Length (mm)]]+penguins[[#This Row],[Body mass (g)]]*$Z$5+$AA$5*penguins[[#This Row],[Gender]]</f>
        <v>-215.80357470220846</v>
      </c>
      <c r="K164" s="6">
        <f>$V$6+$W$6*penguins[[#This Row],[Culmen Length (mm)]]+penguins[[#This Row],[Culmen Depth (mm)]]*$X$6+$Y$6*penguins[[#This Row],[Flipper Length (mm)]]+penguins[[#This Row],[Body mass (g)]]*$Z$6+$AA$6*penguins[[#This Row],[Gender]]</f>
        <v>-215.617706420031</v>
      </c>
      <c r="L164" s="6">
        <f>$V$7+$W$7*penguins[[#This Row],[Culmen Length (mm)]]+penguins[[#This Row],[Culmen Depth (mm)]]*$X$7+$Y$7*penguins[[#This Row],[Flipper Length (mm)]]+penguins[[#This Row],[Body mass (g)]]*$Z$7+$AA$7*penguins[[#This Row],[Gender]]</f>
        <v>-216.23871817089091</v>
      </c>
      <c r="M164" s="6">
        <f t="shared" si="28"/>
        <v>0.35070055821912854</v>
      </c>
      <c r="N164" s="6">
        <f t="shared" si="29"/>
        <v>0.42233592621356342</v>
      </c>
      <c r="O164" s="6">
        <f t="shared" si="30"/>
        <v>0.22696351556730812</v>
      </c>
      <c r="P164" s="6">
        <f t="shared" si="31"/>
        <v>-0.86195424793146591</v>
      </c>
    </row>
    <row r="165" spans="1:16" x14ac:dyDescent="0.3">
      <c r="A165">
        <v>432</v>
      </c>
      <c r="B165">
        <v>166</v>
      </c>
      <c r="C165">
        <v>187</v>
      </c>
      <c r="D165">
        <v>2900</v>
      </c>
      <c r="E165">
        <v>0</v>
      </c>
      <c r="F165" s="6" t="s">
        <v>88</v>
      </c>
      <c r="G165" s="6">
        <f t="shared" si="25"/>
        <v>0</v>
      </c>
      <c r="H165" s="6">
        <f t="shared" si="26"/>
        <v>1</v>
      </c>
      <c r="I165" s="6">
        <f t="shared" si="27"/>
        <v>0</v>
      </c>
      <c r="J165" s="6">
        <f>$V$5+$W$5*penguins[[#This Row],[Culmen Length (mm)]]+penguins[[#This Row],[Culmen Depth (mm)]]*$X$5+$Y$5*penguins[[#This Row],[Flipper Length (mm)]]+penguins[[#This Row],[Body mass (g)]]*$Z$5+$AA$5*penguins[[#This Row],[Gender]]</f>
        <v>-183.53451463817129</v>
      </c>
      <c r="K165" s="6">
        <f>$V$6+$W$6*penguins[[#This Row],[Culmen Length (mm)]]+penguins[[#This Row],[Culmen Depth (mm)]]*$X$6+$Y$6*penguins[[#This Row],[Flipper Length (mm)]]+penguins[[#This Row],[Body mass (g)]]*$Z$6+$AA$6*penguins[[#This Row],[Gender]]</f>
        <v>-182.97248714509263</v>
      </c>
      <c r="L165" s="6">
        <f>$V$7+$W$7*penguins[[#This Row],[Culmen Length (mm)]]+penguins[[#This Row],[Culmen Depth (mm)]]*$X$7+$Y$7*penguins[[#This Row],[Flipper Length (mm)]]+penguins[[#This Row],[Body mass (g)]]*$Z$7+$AA$7*penguins[[#This Row],[Gender]]</f>
        <v>-184.22063577184178</v>
      </c>
      <c r="M165" s="6">
        <f t="shared" si="28"/>
        <v>0.30696023387559523</v>
      </c>
      <c r="N165" s="6">
        <f t="shared" si="29"/>
        <v>0.53847749350185736</v>
      </c>
      <c r="O165" s="6">
        <f t="shared" si="30"/>
        <v>0.15456227262254751</v>
      </c>
      <c r="P165" s="6">
        <f t="shared" si="31"/>
        <v>-0.61900957805604295</v>
      </c>
    </row>
    <row r="166" spans="1:16" x14ac:dyDescent="0.3">
      <c r="A166">
        <v>506</v>
      </c>
      <c r="B166">
        <v>194</v>
      </c>
      <c r="C166">
        <v>193</v>
      </c>
      <c r="D166">
        <v>3800</v>
      </c>
      <c r="E166">
        <v>1</v>
      </c>
      <c r="F166" s="6" t="s">
        <v>88</v>
      </c>
      <c r="G166" s="6">
        <f t="shared" si="25"/>
        <v>0</v>
      </c>
      <c r="H166" s="6">
        <f t="shared" si="26"/>
        <v>1</v>
      </c>
      <c r="I166" s="6">
        <f t="shared" si="27"/>
        <v>0</v>
      </c>
      <c r="J166" s="6">
        <f>$V$5+$W$5*penguins[[#This Row],[Culmen Length (mm)]]+penguins[[#This Row],[Culmen Depth (mm)]]*$X$5+$Y$5*penguins[[#This Row],[Flipper Length (mm)]]+penguins[[#This Row],[Body mass (g)]]*$Z$5+$AA$5*penguins[[#This Row],[Gender]]</f>
        <v>-241.62336197547663</v>
      </c>
      <c r="K166" s="6">
        <f>$V$6+$W$6*penguins[[#This Row],[Culmen Length (mm)]]+penguins[[#This Row],[Culmen Depth (mm)]]*$X$6+$Y$6*penguins[[#This Row],[Flipper Length (mm)]]+penguins[[#This Row],[Body mass (g)]]*$Z$6+$AA$6*penguins[[#This Row],[Gender]]</f>
        <v>-241.9413673594245</v>
      </c>
      <c r="L166" s="6">
        <f>$V$7+$W$7*penguins[[#This Row],[Culmen Length (mm)]]+penguins[[#This Row],[Culmen Depth (mm)]]*$X$7+$Y$7*penguins[[#This Row],[Flipper Length (mm)]]+penguins[[#This Row],[Body mass (g)]]*$Z$7+$AA$7*penguins[[#This Row],[Gender]]</f>
        <v>-241.94273297325554</v>
      </c>
      <c r="M166" s="6">
        <f t="shared" si="28"/>
        <v>0.4074639571757947</v>
      </c>
      <c r="N166" s="6">
        <f t="shared" si="29"/>
        <v>0.29647031523453221</v>
      </c>
      <c r="O166" s="6">
        <f t="shared" si="30"/>
        <v>0.29606572758967309</v>
      </c>
      <c r="P166" s="6">
        <f t="shared" si="31"/>
        <v>-1.2158081828092659</v>
      </c>
    </row>
    <row r="167" spans="1:16" x14ac:dyDescent="0.3">
      <c r="A167">
        <v>467</v>
      </c>
      <c r="B167">
        <v>179</v>
      </c>
      <c r="C167">
        <v>195</v>
      </c>
      <c r="D167">
        <v>3300</v>
      </c>
      <c r="E167">
        <v>0</v>
      </c>
      <c r="F167" s="6" t="s">
        <v>88</v>
      </c>
      <c r="G167" s="6">
        <f t="shared" si="25"/>
        <v>0</v>
      </c>
      <c r="H167" s="6">
        <f t="shared" si="26"/>
        <v>1</v>
      </c>
      <c r="I167" s="6">
        <f t="shared" si="27"/>
        <v>0</v>
      </c>
      <c r="J167" s="6">
        <f>$V$5+$W$5*penguins[[#This Row],[Culmen Length (mm)]]+penguins[[#This Row],[Culmen Depth (mm)]]*$X$5+$Y$5*penguins[[#This Row],[Flipper Length (mm)]]+penguins[[#This Row],[Body mass (g)]]*$Z$5+$AA$5*penguins[[#This Row],[Gender]]</f>
        <v>-209.31357137706959</v>
      </c>
      <c r="K167" s="6">
        <f>$V$6+$W$6*penguins[[#This Row],[Culmen Length (mm)]]+penguins[[#This Row],[Culmen Depth (mm)]]*$X$6+$Y$6*penguins[[#This Row],[Flipper Length (mm)]]+penguins[[#This Row],[Body mass (g)]]*$Z$6+$AA$6*penguins[[#This Row],[Gender]]</f>
        <v>-209.04126557693434</v>
      </c>
      <c r="L167" s="6">
        <f>$V$7+$W$7*penguins[[#This Row],[Culmen Length (mm)]]+penguins[[#This Row],[Culmen Depth (mm)]]*$X$7+$Y$7*penguins[[#This Row],[Flipper Length (mm)]]+penguins[[#This Row],[Body mass (g)]]*$Z$7+$AA$7*penguins[[#This Row],[Gender]]</f>
        <v>-209.83455494090012</v>
      </c>
      <c r="M167" s="6">
        <f t="shared" si="28"/>
        <v>0.34400617792185956</v>
      </c>
      <c r="N167" s="6">
        <f t="shared" si="29"/>
        <v>0.45167613901854731</v>
      </c>
      <c r="O167" s="6">
        <f t="shared" si="30"/>
        <v>0.20431768305959302</v>
      </c>
      <c r="P167" s="6">
        <f t="shared" si="31"/>
        <v>-0.79478986255957096</v>
      </c>
    </row>
    <row r="168" spans="1:16" x14ac:dyDescent="0.3">
      <c r="A168">
        <v>52</v>
      </c>
      <c r="B168">
        <v>19</v>
      </c>
      <c r="C168">
        <v>197</v>
      </c>
      <c r="D168">
        <v>4150</v>
      </c>
      <c r="E168">
        <v>1</v>
      </c>
      <c r="F168" s="6" t="s">
        <v>88</v>
      </c>
      <c r="G168" s="6">
        <f t="shared" si="25"/>
        <v>0</v>
      </c>
      <c r="H168" s="6">
        <f t="shared" si="26"/>
        <v>1</v>
      </c>
      <c r="I168" s="6">
        <f t="shared" si="27"/>
        <v>0</v>
      </c>
      <c r="J168" s="6">
        <f>$V$5+$W$5*penguins[[#This Row],[Culmen Length (mm)]]+penguins[[#This Row],[Culmen Depth (mm)]]*$X$5+$Y$5*penguins[[#This Row],[Flipper Length (mm)]]+penguins[[#This Row],[Body mass (g)]]*$Z$5+$AA$5*penguins[[#This Row],[Gender]]</f>
        <v>-271.53599092140291</v>
      </c>
      <c r="K168" s="6">
        <f>$V$6+$W$6*penguins[[#This Row],[Culmen Length (mm)]]+penguins[[#This Row],[Culmen Depth (mm)]]*$X$6+$Y$6*penguins[[#This Row],[Flipper Length (mm)]]+penguins[[#This Row],[Body mass (g)]]*$Z$6+$AA$6*penguins[[#This Row],[Gender]]</f>
        <v>-270.62991738140727</v>
      </c>
      <c r="L168" s="6">
        <f>$V$7+$W$7*penguins[[#This Row],[Culmen Length (mm)]]+penguins[[#This Row],[Culmen Depth (mm)]]*$X$7+$Y$7*penguins[[#This Row],[Flipper Length (mm)]]+penguins[[#This Row],[Body mass (g)]]*$Z$7+$AA$7*penguins[[#This Row],[Gender]]</f>
        <v>-270.11758576945886</v>
      </c>
      <c r="M168" s="6">
        <f t="shared" si="28"/>
        <v>0.13149045625991276</v>
      </c>
      <c r="N168" s="6">
        <f t="shared" si="29"/>
        <v>0.32538458233551953</v>
      </c>
      <c r="O168" s="6">
        <f t="shared" si="30"/>
        <v>0.54312496140456756</v>
      </c>
      <c r="P168" s="6">
        <f t="shared" si="31"/>
        <v>-1.1227474659726806</v>
      </c>
    </row>
    <row r="169" spans="1:16" x14ac:dyDescent="0.3">
      <c r="A169">
        <v>505</v>
      </c>
      <c r="B169">
        <v>184</v>
      </c>
      <c r="C169">
        <v>200</v>
      </c>
      <c r="D169">
        <v>3400</v>
      </c>
      <c r="E169">
        <v>0</v>
      </c>
      <c r="F169" s="6" t="s">
        <v>88</v>
      </c>
      <c r="G169" s="6">
        <f t="shared" si="25"/>
        <v>0</v>
      </c>
      <c r="H169" s="6">
        <f t="shared" si="26"/>
        <v>1</v>
      </c>
      <c r="I169" s="6">
        <f t="shared" si="27"/>
        <v>0</v>
      </c>
      <c r="J169" s="6">
        <f>$V$5+$W$5*penguins[[#This Row],[Culmen Length (mm)]]+penguins[[#This Row],[Culmen Depth (mm)]]*$X$5+$Y$5*penguins[[#This Row],[Flipper Length (mm)]]+penguins[[#This Row],[Body mass (g)]]*$Z$5+$AA$5*penguins[[#This Row],[Gender]]</f>
        <v>-215.4668210883323</v>
      </c>
      <c r="K169" s="6">
        <f>$V$6+$W$6*penguins[[#This Row],[Culmen Length (mm)]]+penguins[[#This Row],[Culmen Depth (mm)]]*$X$6+$Y$6*penguins[[#This Row],[Flipper Length (mm)]]+penguins[[#This Row],[Body mass (g)]]*$Z$6+$AA$6*penguins[[#This Row],[Gender]]</f>
        <v>-215.19589972487347</v>
      </c>
      <c r="L169" s="6">
        <f>$V$7+$W$7*penguins[[#This Row],[Culmen Length (mm)]]+penguins[[#This Row],[Culmen Depth (mm)]]*$X$7+$Y$7*penguins[[#This Row],[Flipper Length (mm)]]+penguins[[#This Row],[Body mass (g)]]*$Z$7+$AA$7*penguins[[#This Row],[Gender]]</f>
        <v>-215.94375540438594</v>
      </c>
      <c r="M169" s="6">
        <f t="shared" si="28"/>
        <v>0.34108095805518679</v>
      </c>
      <c r="N169" s="6">
        <f t="shared" si="29"/>
        <v>0.44721578839513793</v>
      </c>
      <c r="O169" s="6">
        <f t="shared" si="30"/>
        <v>0.21170325354967529</v>
      </c>
      <c r="P169" s="6">
        <f t="shared" si="31"/>
        <v>-0.80471405276638219</v>
      </c>
    </row>
    <row r="170" spans="1:16" x14ac:dyDescent="0.3">
      <c r="A170">
        <v>495</v>
      </c>
      <c r="B170">
        <v>19</v>
      </c>
      <c r="C170">
        <v>200</v>
      </c>
      <c r="D170">
        <v>3800</v>
      </c>
      <c r="E170">
        <v>1</v>
      </c>
      <c r="F170" s="6" t="s">
        <v>88</v>
      </c>
      <c r="G170" s="6">
        <f t="shared" si="25"/>
        <v>0</v>
      </c>
      <c r="H170" s="6">
        <f t="shared" si="26"/>
        <v>1</v>
      </c>
      <c r="I170" s="6">
        <f t="shared" si="27"/>
        <v>0</v>
      </c>
      <c r="J170" s="6">
        <f>$V$5+$W$5*penguins[[#This Row],[Culmen Length (mm)]]+penguins[[#This Row],[Culmen Depth (mm)]]*$X$5+$Y$5*penguins[[#This Row],[Flipper Length (mm)]]+penguins[[#This Row],[Body mass (g)]]*$Z$5+$AA$5*penguins[[#This Row],[Gender]]</f>
        <v>-244.71963397930836</v>
      </c>
      <c r="K170" s="6">
        <f>$V$6+$W$6*penguins[[#This Row],[Culmen Length (mm)]]+penguins[[#This Row],[Culmen Depth (mm)]]*$X$6+$Y$6*penguins[[#This Row],[Flipper Length (mm)]]+penguins[[#This Row],[Body mass (g)]]*$Z$6+$AA$6*penguins[[#This Row],[Gender]]</f>
        <v>-243.23852386439771</v>
      </c>
      <c r="L170" s="6">
        <f>$V$7+$W$7*penguins[[#This Row],[Culmen Length (mm)]]+penguins[[#This Row],[Culmen Depth (mm)]]*$X$7+$Y$7*penguins[[#This Row],[Flipper Length (mm)]]+penguins[[#This Row],[Body mass (g)]]*$Z$7+$AA$7*penguins[[#This Row],[Gender]]</f>
        <v>-242.82567736213579</v>
      </c>
      <c r="M170" s="6">
        <f t="shared" si="28"/>
        <v>8.3032782800734603E-2</v>
      </c>
      <c r="N170" s="6">
        <f t="shared" si="29"/>
        <v>0.3651636532730676</v>
      </c>
      <c r="O170" s="6">
        <f t="shared" si="30"/>
        <v>0.55180356392619778</v>
      </c>
      <c r="P170" s="6">
        <f t="shared" si="31"/>
        <v>-1.0074096607535641</v>
      </c>
    </row>
    <row r="171" spans="1:16" x14ac:dyDescent="0.3">
      <c r="A171">
        <v>464</v>
      </c>
      <c r="B171">
        <v>178</v>
      </c>
      <c r="C171">
        <v>191</v>
      </c>
      <c r="D171">
        <v>3700</v>
      </c>
      <c r="E171">
        <v>0</v>
      </c>
      <c r="F171" s="6" t="s">
        <v>88</v>
      </c>
      <c r="G171" s="6">
        <f t="shared" si="25"/>
        <v>0</v>
      </c>
      <c r="H171" s="6">
        <f t="shared" si="26"/>
        <v>1</v>
      </c>
      <c r="I171" s="6">
        <f t="shared" si="27"/>
        <v>0</v>
      </c>
      <c r="J171" s="6">
        <f>$V$5+$W$5*penguins[[#This Row],[Culmen Length (mm)]]+penguins[[#This Row],[Culmen Depth (mm)]]*$X$5+$Y$5*penguins[[#This Row],[Flipper Length (mm)]]+penguins[[#This Row],[Body mass (g)]]*$Z$5+$AA$5*penguins[[#This Row],[Gender]]</f>
        <v>-235.70959298553751</v>
      </c>
      <c r="K171" s="6">
        <f>$V$6+$W$6*penguins[[#This Row],[Culmen Length (mm)]]+penguins[[#This Row],[Culmen Depth (mm)]]*$X$6+$Y$6*penguins[[#This Row],[Flipper Length (mm)]]+penguins[[#This Row],[Body mass (g)]]*$Z$6+$AA$6*penguins[[#This Row],[Gender]]</f>
        <v>-235.91763304387769</v>
      </c>
      <c r="L171" s="6">
        <f>$V$7+$W$7*penguins[[#This Row],[Culmen Length (mm)]]+penguins[[#This Row],[Culmen Depth (mm)]]*$X$7+$Y$7*penguins[[#This Row],[Flipper Length (mm)]]+penguins[[#This Row],[Body mass (g)]]*$Z$7+$AA$7*penguins[[#This Row],[Gender]]</f>
        <v>-235.84102977060746</v>
      </c>
      <c r="M171" s="6">
        <f t="shared" si="28"/>
        <v>0.37188418636308052</v>
      </c>
      <c r="N171" s="6">
        <f t="shared" si="29"/>
        <v>0.30203485374873573</v>
      </c>
      <c r="O171" s="6">
        <f t="shared" si="30"/>
        <v>0.32608095988818386</v>
      </c>
      <c r="P171" s="6">
        <f t="shared" si="31"/>
        <v>-1.1972128585024362</v>
      </c>
    </row>
    <row r="172" spans="1:16" x14ac:dyDescent="0.3">
      <c r="A172">
        <v>528</v>
      </c>
      <c r="B172">
        <v>20</v>
      </c>
      <c r="C172">
        <v>205</v>
      </c>
      <c r="D172">
        <v>4550</v>
      </c>
      <c r="E172">
        <v>1</v>
      </c>
      <c r="F172" s="6" t="s">
        <v>88</v>
      </c>
      <c r="G172" s="6">
        <f t="shared" si="25"/>
        <v>0</v>
      </c>
      <c r="H172" s="6">
        <f t="shared" si="26"/>
        <v>1</v>
      </c>
      <c r="I172" s="6">
        <f t="shared" si="27"/>
        <v>0</v>
      </c>
      <c r="J172" s="6">
        <f>$V$5+$W$5*penguins[[#This Row],[Culmen Length (mm)]]+penguins[[#This Row],[Culmen Depth (mm)]]*$X$5+$Y$5*penguins[[#This Row],[Flipper Length (mm)]]+penguins[[#This Row],[Body mass (g)]]*$Z$5+$AA$5*penguins[[#This Row],[Gender]]</f>
        <v>-293.78056818324887</v>
      </c>
      <c r="K172" s="6">
        <f>$V$6+$W$6*penguins[[#This Row],[Culmen Length (mm)]]+penguins[[#This Row],[Culmen Depth (mm)]]*$X$6+$Y$6*penguins[[#This Row],[Flipper Length (mm)]]+penguins[[#This Row],[Body mass (g)]]*$Z$6+$AA$6*penguins[[#This Row],[Gender]]</f>
        <v>-292.89322454332665</v>
      </c>
      <c r="L172" s="6">
        <f>$V$7+$W$7*penguins[[#This Row],[Culmen Length (mm)]]+penguins[[#This Row],[Culmen Depth (mm)]]*$X$7+$Y$7*penguins[[#This Row],[Flipper Length (mm)]]+penguins[[#This Row],[Body mass (g)]]*$Z$7+$AA$7*penguins[[#This Row],[Gender]]</f>
        <v>-291.23801211013364</v>
      </c>
      <c r="M172" s="6">
        <f t="shared" si="28"/>
        <v>6.1954827536564651E-2</v>
      </c>
      <c r="N172" s="6">
        <f t="shared" si="29"/>
        <v>0.15046780955302433</v>
      </c>
      <c r="O172" s="6">
        <f t="shared" si="30"/>
        <v>0.78757736291041103</v>
      </c>
      <c r="P172" s="6">
        <f t="shared" si="31"/>
        <v>-1.8940061076840651</v>
      </c>
    </row>
    <row r="173" spans="1:16" x14ac:dyDescent="0.3">
      <c r="A173">
        <v>409</v>
      </c>
      <c r="B173">
        <v>166</v>
      </c>
      <c r="C173">
        <v>187</v>
      </c>
      <c r="D173">
        <v>3200</v>
      </c>
      <c r="E173">
        <v>0</v>
      </c>
      <c r="F173" s="6" t="s">
        <v>89</v>
      </c>
      <c r="G173" s="6">
        <f t="shared" si="25"/>
        <v>0</v>
      </c>
      <c r="H173" s="6">
        <f t="shared" si="26"/>
        <v>0</v>
      </c>
      <c r="I173" s="6">
        <f t="shared" si="27"/>
        <v>1</v>
      </c>
      <c r="J173" s="6">
        <f>$V$5+$W$5*penguins[[#This Row],[Culmen Length (mm)]]+penguins[[#This Row],[Culmen Depth (mm)]]*$X$5+$Y$5*penguins[[#This Row],[Flipper Length (mm)]]+penguins[[#This Row],[Body mass (g)]]*$Z$5+$AA$5*penguins[[#This Row],[Gender]]</f>
        <v>-203.48166473823292</v>
      </c>
      <c r="K173" s="6">
        <f>$V$6+$W$6*penguins[[#This Row],[Culmen Length (mm)]]+penguins[[#This Row],[Culmen Depth (mm)]]*$X$6+$Y$6*penguins[[#This Row],[Flipper Length (mm)]]+penguins[[#This Row],[Body mass (g)]]*$Z$6+$AA$6*penguins[[#This Row],[Gender]]</f>
        <v>-203.21766773867239</v>
      </c>
      <c r="L173" s="6">
        <f>$V$7+$W$7*penguins[[#This Row],[Culmen Length (mm)]]+penguins[[#This Row],[Culmen Depth (mm)]]*$X$7+$Y$7*penguins[[#This Row],[Flipper Length (mm)]]+penguins[[#This Row],[Body mass (g)]]*$Z$7+$AA$7*penguins[[#This Row],[Gender]]</f>
        <v>-203.95060468365935</v>
      </c>
      <c r="M173" s="6">
        <f t="shared" si="28"/>
        <v>0.34155461608080034</v>
      </c>
      <c r="N173" s="6">
        <f t="shared" si="29"/>
        <v>0.44474656173839816</v>
      </c>
      <c r="O173" s="6">
        <f t="shared" si="30"/>
        <v>0.21369882218080147</v>
      </c>
      <c r="P173" s="6">
        <f t="shared" si="31"/>
        <v>-1.5431876282267325</v>
      </c>
    </row>
    <row r="174" spans="1:16" x14ac:dyDescent="0.3">
      <c r="A174">
        <v>542</v>
      </c>
      <c r="B174">
        <v>208</v>
      </c>
      <c r="C174">
        <v>201</v>
      </c>
      <c r="D174">
        <v>4300</v>
      </c>
      <c r="E174">
        <v>1</v>
      </c>
      <c r="F174" s="6" t="s">
        <v>89</v>
      </c>
      <c r="G174" s="6">
        <f t="shared" si="25"/>
        <v>0</v>
      </c>
      <c r="H174" s="6">
        <f t="shared" si="26"/>
        <v>0</v>
      </c>
      <c r="I174" s="6">
        <f t="shared" si="27"/>
        <v>1</v>
      </c>
      <c r="J174" s="6">
        <f>$V$5+$W$5*penguins[[#This Row],[Culmen Length (mm)]]+penguins[[#This Row],[Culmen Depth (mm)]]*$X$5+$Y$5*penguins[[#This Row],[Flipper Length (mm)]]+penguins[[#This Row],[Body mass (g)]]*$Z$5+$AA$5*penguins[[#This Row],[Gender]]</f>
        <v>-273.96058830418968</v>
      </c>
      <c r="K174" s="6">
        <f>$V$6+$W$6*penguins[[#This Row],[Culmen Length (mm)]]+penguins[[#This Row],[Culmen Depth (mm)]]*$X$6+$Y$6*penguins[[#This Row],[Flipper Length (mm)]]+penguins[[#This Row],[Body mass (g)]]*$Z$6+$AA$6*penguins[[#This Row],[Gender]]</f>
        <v>-274.6738026657743</v>
      </c>
      <c r="L174" s="6">
        <f>$V$7+$W$7*penguins[[#This Row],[Culmen Length (mm)]]+penguins[[#This Row],[Culmen Depth (mm)]]*$X$7+$Y$7*penguins[[#This Row],[Flipper Length (mm)]]+penguins[[#This Row],[Body mass (g)]]*$Z$7+$AA$7*penguins[[#This Row],[Gender]]</f>
        <v>-274.03980444281825</v>
      </c>
      <c r="M174" s="6">
        <f t="shared" si="28"/>
        <v>0.41426622901928289</v>
      </c>
      <c r="N174" s="6">
        <f t="shared" si="29"/>
        <v>0.20301796462720623</v>
      </c>
      <c r="O174" s="6">
        <f t="shared" si="30"/>
        <v>0.38271580635351093</v>
      </c>
      <c r="P174" s="6">
        <f t="shared" si="31"/>
        <v>-0.96046258519928818</v>
      </c>
    </row>
    <row r="175" spans="1:16" x14ac:dyDescent="0.3">
      <c r="A175">
        <v>425</v>
      </c>
      <c r="B175">
        <v>167</v>
      </c>
      <c r="C175">
        <v>187</v>
      </c>
      <c r="D175">
        <v>3350</v>
      </c>
      <c r="E175">
        <v>0</v>
      </c>
      <c r="F175" s="6" t="s">
        <v>89</v>
      </c>
      <c r="G175" s="6">
        <f t="shared" si="25"/>
        <v>0</v>
      </c>
      <c r="H175" s="6">
        <f t="shared" si="26"/>
        <v>0</v>
      </c>
      <c r="I175" s="6">
        <f t="shared" si="27"/>
        <v>1</v>
      </c>
      <c r="J175" s="6">
        <f>$V$5+$W$5*penguins[[#This Row],[Culmen Length (mm)]]+penguins[[#This Row],[Culmen Depth (mm)]]*$X$5+$Y$5*penguins[[#This Row],[Flipper Length (mm)]]+penguins[[#This Row],[Body mass (g)]]*$Z$5+$AA$5*penguins[[#This Row],[Gender]]</f>
        <v>-213.20453363758517</v>
      </c>
      <c r="K175" s="6">
        <f>$V$6+$W$6*penguins[[#This Row],[Culmen Length (mm)]]+penguins[[#This Row],[Culmen Depth (mm)]]*$X$6+$Y$6*penguins[[#This Row],[Flipper Length (mm)]]+penguins[[#This Row],[Body mass (g)]]*$Z$6+$AA$6*penguins[[#This Row],[Gender]]</f>
        <v>-213.08887882221234</v>
      </c>
      <c r="L175" s="6">
        <f>$V$7+$W$7*penguins[[#This Row],[Culmen Length (mm)]]+penguins[[#This Row],[Culmen Depth (mm)]]*$X$7+$Y$7*penguins[[#This Row],[Flipper Length (mm)]]+penguins[[#This Row],[Body mass (g)]]*$Z$7+$AA$7*penguins[[#This Row],[Gender]]</f>
        <v>-213.52803127733677</v>
      </c>
      <c r="M175" s="6">
        <f t="shared" si="28"/>
        <v>0.35134294256287801</v>
      </c>
      <c r="N175" s="6">
        <f t="shared" si="29"/>
        <v>0.39442050280627194</v>
      </c>
      <c r="O175" s="6">
        <f t="shared" si="30"/>
        <v>0.25423655463084999</v>
      </c>
      <c r="P175" s="6">
        <f t="shared" si="31"/>
        <v>-1.3694901279263281</v>
      </c>
    </row>
    <row r="176" spans="1:16" x14ac:dyDescent="0.3">
      <c r="A176">
        <v>51</v>
      </c>
      <c r="B176">
        <v>188</v>
      </c>
      <c r="C176">
        <v>203</v>
      </c>
      <c r="D176">
        <v>4100</v>
      </c>
      <c r="E176">
        <v>1</v>
      </c>
      <c r="F176" s="6" t="s">
        <v>89</v>
      </c>
      <c r="G176" s="6">
        <f t="shared" si="25"/>
        <v>0</v>
      </c>
      <c r="H176" s="6">
        <f t="shared" si="26"/>
        <v>0</v>
      </c>
      <c r="I176" s="6">
        <f t="shared" si="27"/>
        <v>1</v>
      </c>
      <c r="J176" s="6">
        <f>$V$5+$W$5*penguins[[#This Row],[Culmen Length (mm)]]+penguins[[#This Row],[Culmen Depth (mm)]]*$X$5+$Y$5*penguins[[#This Row],[Flipper Length (mm)]]+penguins[[#This Row],[Body mass (g)]]*$Z$5+$AA$5*penguins[[#This Row],[Gender]]</f>
        <v>-265.29740323663515</v>
      </c>
      <c r="K176" s="6">
        <f>$V$6+$W$6*penguins[[#This Row],[Culmen Length (mm)]]+penguins[[#This Row],[Culmen Depth (mm)]]*$X$6+$Y$6*penguins[[#This Row],[Flipper Length (mm)]]+penguins[[#This Row],[Body mass (g)]]*$Z$6+$AA$6*penguins[[#This Row],[Gender]]</f>
        <v>-265.75845304347143</v>
      </c>
      <c r="L176" s="6">
        <f>$V$7+$W$7*penguins[[#This Row],[Culmen Length (mm)]]+penguins[[#This Row],[Culmen Depth (mm)]]*$X$7+$Y$7*penguins[[#This Row],[Flipper Length (mm)]]+penguins[[#This Row],[Body mass (g)]]*$Z$7+$AA$7*penguins[[#This Row],[Gender]]</f>
        <v>-266.19736139277325</v>
      </c>
      <c r="M176" s="6">
        <f t="shared" si="28"/>
        <v>0.49086790818502413</v>
      </c>
      <c r="N176" s="6">
        <f t="shared" si="29"/>
        <v>0.30955174236875138</v>
      </c>
      <c r="O176" s="6">
        <f t="shared" si="30"/>
        <v>0.19958034944622446</v>
      </c>
      <c r="P176" s="6">
        <f t="shared" si="31"/>
        <v>-1.6115383696194743</v>
      </c>
    </row>
    <row r="177" spans="1:16" x14ac:dyDescent="0.3">
      <c r="A177">
        <v>497</v>
      </c>
      <c r="B177">
        <v>186</v>
      </c>
      <c r="C177">
        <v>195</v>
      </c>
      <c r="D177">
        <v>3600</v>
      </c>
      <c r="E177">
        <v>1</v>
      </c>
      <c r="F177" s="6" t="s">
        <v>89</v>
      </c>
      <c r="G177" s="6">
        <f t="shared" si="25"/>
        <v>0</v>
      </c>
      <c r="H177" s="6">
        <f t="shared" si="26"/>
        <v>0</v>
      </c>
      <c r="I177" s="6">
        <f t="shared" si="27"/>
        <v>1</v>
      </c>
      <c r="J177" s="6">
        <f>$V$5+$W$5*penguins[[#This Row],[Culmen Length (mm)]]+penguins[[#This Row],[Culmen Depth (mm)]]*$X$5+$Y$5*penguins[[#This Row],[Flipper Length (mm)]]+penguins[[#This Row],[Body mass (g)]]*$Z$5+$AA$5*penguins[[#This Row],[Gender]]</f>
        <v>-228.66178234835309</v>
      </c>
      <c r="K177" s="6">
        <f>$V$6+$W$6*penguins[[#This Row],[Culmen Length (mm)]]+penguins[[#This Row],[Culmen Depth (mm)]]*$X$6+$Y$6*penguins[[#This Row],[Flipper Length (mm)]]+penguins[[#This Row],[Body mass (g)]]*$Z$6+$AA$6*penguins[[#This Row],[Gender]]</f>
        <v>-228.66452902248554</v>
      </c>
      <c r="L177" s="6">
        <f>$V$7+$W$7*penguins[[#This Row],[Culmen Length (mm)]]+penguins[[#This Row],[Culmen Depth (mm)]]*$X$7+$Y$7*penguins[[#This Row],[Flipper Length (mm)]]+penguins[[#This Row],[Body mass (g)]]*$Z$7+$AA$7*penguins[[#This Row],[Gender]]</f>
        <v>-229.08342637977509</v>
      </c>
      <c r="M177" s="6">
        <f t="shared" si="28"/>
        <v>0.37689986797147823</v>
      </c>
      <c r="N177" s="6">
        <f t="shared" si="29"/>
        <v>0.37586606726036648</v>
      </c>
      <c r="O177" s="6">
        <f t="shared" si="30"/>
        <v>0.24723406476815546</v>
      </c>
      <c r="P177" s="6">
        <f t="shared" si="31"/>
        <v>-1.3974197604323124</v>
      </c>
    </row>
    <row r="178" spans="1:16" x14ac:dyDescent="0.3">
      <c r="A178">
        <v>475</v>
      </c>
      <c r="B178">
        <v>168</v>
      </c>
      <c r="C178">
        <v>199</v>
      </c>
      <c r="D178">
        <v>3900</v>
      </c>
      <c r="E178">
        <v>0</v>
      </c>
      <c r="F178" s="6" t="s">
        <v>89</v>
      </c>
      <c r="G178" s="6">
        <f t="shared" si="25"/>
        <v>0</v>
      </c>
      <c r="H178" s="6">
        <f t="shared" si="26"/>
        <v>0</v>
      </c>
      <c r="I178" s="6">
        <f t="shared" si="27"/>
        <v>1</v>
      </c>
      <c r="J178" s="6">
        <f>$V$5+$W$5*penguins[[#This Row],[Culmen Length (mm)]]+penguins[[#This Row],[Culmen Depth (mm)]]*$X$5+$Y$5*penguins[[#This Row],[Flipper Length (mm)]]+penguins[[#This Row],[Body mass (g)]]*$Z$5+$AA$5*penguins[[#This Row],[Gender]]</f>
        <v>-248.92298854183704</v>
      </c>
      <c r="K178" s="6">
        <f>$V$6+$W$6*penguins[[#This Row],[Culmen Length (mm)]]+penguins[[#This Row],[Culmen Depth (mm)]]*$X$6+$Y$6*penguins[[#This Row],[Flipper Length (mm)]]+penguins[[#This Row],[Body mass (g)]]*$Z$6+$AA$6*penguins[[#This Row],[Gender]]</f>
        <v>-249.02284314273948</v>
      </c>
      <c r="L178" s="6">
        <f>$V$7+$W$7*penguins[[#This Row],[Culmen Length (mm)]]+penguins[[#This Row],[Culmen Depth (mm)]]*$X$7+$Y$7*penguins[[#This Row],[Flipper Length (mm)]]+penguins[[#This Row],[Body mass (g)]]*$Z$7+$AA$7*penguins[[#This Row],[Gender]]</f>
        <v>-248.80362925640867</v>
      </c>
      <c r="M178" s="6">
        <f t="shared" si="28"/>
        <v>0.329843188947675</v>
      </c>
      <c r="N178" s="6">
        <f t="shared" si="29"/>
        <v>0.29849785760818015</v>
      </c>
      <c r="O178" s="6">
        <f t="shared" si="30"/>
        <v>0.37165895344414474</v>
      </c>
      <c r="P178" s="6">
        <f t="shared" si="31"/>
        <v>-0.98977863703645685</v>
      </c>
    </row>
    <row r="179" spans="1:16" x14ac:dyDescent="0.3">
      <c r="A179">
        <v>476</v>
      </c>
      <c r="B179">
        <v>183</v>
      </c>
      <c r="C179">
        <v>195</v>
      </c>
      <c r="D179">
        <v>3850</v>
      </c>
      <c r="E179">
        <v>0</v>
      </c>
      <c r="F179" s="6" t="s">
        <v>89</v>
      </c>
      <c r="G179" s="6">
        <f t="shared" si="25"/>
        <v>0</v>
      </c>
      <c r="H179" s="6">
        <f t="shared" si="26"/>
        <v>0</v>
      </c>
      <c r="I179" s="6">
        <f t="shared" si="27"/>
        <v>1</v>
      </c>
      <c r="J179" s="6">
        <f>$V$5+$W$5*penguins[[#This Row],[Culmen Length (mm)]]+penguins[[#This Row],[Culmen Depth (mm)]]*$X$5+$Y$5*penguins[[#This Row],[Flipper Length (mm)]]+penguins[[#This Row],[Body mass (g)]]*$Z$5+$AA$5*penguins[[#This Row],[Gender]]</f>
        <v>-245.37980049426383</v>
      </c>
      <c r="K179" s="6">
        <f>$V$6+$W$6*penguins[[#This Row],[Culmen Length (mm)]]+penguins[[#This Row],[Culmen Depth (mm)]]*$X$6+$Y$6*penguins[[#This Row],[Flipper Length (mm)]]+penguins[[#This Row],[Body mass (g)]]*$Z$6+$AA$6*penguins[[#This Row],[Gender]]</f>
        <v>-245.67248679565085</v>
      </c>
      <c r="L179" s="6">
        <f>$V$7+$W$7*penguins[[#This Row],[Culmen Length (mm)]]+penguins[[#This Row],[Culmen Depth (mm)]]*$X$7+$Y$7*penguins[[#This Row],[Flipper Length (mm)]]+penguins[[#This Row],[Body mass (g)]]*$Z$7+$AA$7*penguins[[#This Row],[Gender]]</f>
        <v>-245.46213681103131</v>
      </c>
      <c r="M179" s="6">
        <f t="shared" si="28"/>
        <v>0.37492243204906667</v>
      </c>
      <c r="N179" s="6">
        <f t="shared" si="29"/>
        <v>0.27978819075492717</v>
      </c>
      <c r="O179" s="6">
        <f t="shared" si="30"/>
        <v>0.34528937719600622</v>
      </c>
      <c r="P179" s="6">
        <f t="shared" si="31"/>
        <v>-1.0633724390443342</v>
      </c>
    </row>
    <row r="180" spans="1:16" x14ac:dyDescent="0.3">
      <c r="A180">
        <v>52</v>
      </c>
      <c r="B180">
        <v>207</v>
      </c>
      <c r="C180">
        <v>210</v>
      </c>
      <c r="D180">
        <v>4800</v>
      </c>
      <c r="E180">
        <v>1</v>
      </c>
      <c r="F180" s="6" t="s">
        <v>89</v>
      </c>
      <c r="G180" s="6">
        <f t="shared" si="25"/>
        <v>0</v>
      </c>
      <c r="H180" s="6">
        <f t="shared" si="26"/>
        <v>0</v>
      </c>
      <c r="I180" s="6">
        <f t="shared" si="27"/>
        <v>1</v>
      </c>
      <c r="J180" s="6">
        <f>$V$5+$W$5*penguins[[#This Row],[Culmen Length (mm)]]+penguins[[#This Row],[Culmen Depth (mm)]]*$X$5+$Y$5*penguins[[#This Row],[Flipper Length (mm)]]+penguins[[#This Row],[Body mass (g)]]*$Z$5+$AA$5*penguins[[#This Row],[Gender]]</f>
        <v>-311.017284958414</v>
      </c>
      <c r="K180" s="6">
        <f>$V$6+$W$6*penguins[[#This Row],[Culmen Length (mm)]]+penguins[[#This Row],[Culmen Depth (mm)]]*$X$6+$Y$6*penguins[[#This Row],[Flipper Length (mm)]]+penguins[[#This Row],[Body mass (g)]]*$Z$6+$AA$6*penguins[[#This Row],[Gender]]</f>
        <v>-312.15131962505711</v>
      </c>
      <c r="L180" s="6">
        <f>$V$7+$W$7*penguins[[#This Row],[Culmen Length (mm)]]+penguins[[#This Row],[Culmen Depth (mm)]]*$X$7+$Y$7*penguins[[#This Row],[Flipper Length (mm)]]+penguins[[#This Row],[Body mass (g)]]*$Z$7+$AA$7*penguins[[#This Row],[Gender]]</f>
        <v>-311.62454012053263</v>
      </c>
      <c r="M180" s="6">
        <f t="shared" si="28"/>
        <v>0.5357400552484024</v>
      </c>
      <c r="N180" s="6">
        <f t="shared" si="29"/>
        <v>0.17236501445483143</v>
      </c>
      <c r="O180" s="6">
        <f t="shared" si="30"/>
        <v>0.29189493029676622</v>
      </c>
      <c r="P180" s="6">
        <f t="shared" si="31"/>
        <v>-1.2313613692181948</v>
      </c>
    </row>
    <row r="181" spans="1:16" x14ac:dyDescent="0.3">
      <c r="A181">
        <v>469</v>
      </c>
      <c r="B181">
        <v>166</v>
      </c>
      <c r="C181">
        <v>192</v>
      </c>
      <c r="D181">
        <v>2700</v>
      </c>
      <c r="E181">
        <v>0</v>
      </c>
      <c r="F181" s="6" t="s">
        <v>89</v>
      </c>
      <c r="G181" s="6">
        <f t="shared" si="25"/>
        <v>0</v>
      </c>
      <c r="H181" s="6">
        <f t="shared" si="26"/>
        <v>0</v>
      </c>
      <c r="I181" s="6">
        <f t="shared" si="27"/>
        <v>1</v>
      </c>
      <c r="J181" s="6">
        <f>$V$5+$W$5*penguins[[#This Row],[Culmen Length (mm)]]+penguins[[#This Row],[Culmen Depth (mm)]]*$X$5+$Y$5*penguins[[#This Row],[Flipper Length (mm)]]+penguins[[#This Row],[Body mass (g)]]*$Z$5+$AA$5*penguins[[#This Row],[Gender]]</f>
        <v>-170.03094759956198</v>
      </c>
      <c r="K181" s="6">
        <f>$V$6+$W$6*penguins[[#This Row],[Culmen Length (mm)]]+penguins[[#This Row],[Culmen Depth (mm)]]*$X$6+$Y$6*penguins[[#This Row],[Flipper Length (mm)]]+penguins[[#This Row],[Body mass (g)]]*$Z$6+$AA$6*penguins[[#This Row],[Gender]]</f>
        <v>-169.13455728764382</v>
      </c>
      <c r="L181" s="6">
        <f>$V$7+$W$7*penguins[[#This Row],[Culmen Length (mm)]]+penguins[[#This Row],[Culmen Depth (mm)]]*$X$7+$Y$7*penguins[[#This Row],[Flipper Length (mm)]]+penguins[[#This Row],[Body mass (g)]]*$Z$7+$AA$7*penguins[[#This Row],[Gender]]</f>
        <v>-170.86818160952984</v>
      </c>
      <c r="M181" s="6">
        <f t="shared" si="28"/>
        <v>0.25748993154066074</v>
      </c>
      <c r="N181" s="6">
        <f t="shared" si="29"/>
        <v>0.63104105918279851</v>
      </c>
      <c r="O181" s="6">
        <f t="shared" si="30"/>
        <v>0.1114690092765408</v>
      </c>
      <c r="P181" s="6">
        <f t="shared" si="31"/>
        <v>-2.1940086704236292</v>
      </c>
    </row>
    <row r="182" spans="1:16" x14ac:dyDescent="0.3">
      <c r="A182">
        <v>535</v>
      </c>
      <c r="B182">
        <v>199</v>
      </c>
      <c r="C182">
        <v>205</v>
      </c>
      <c r="D182">
        <v>4500</v>
      </c>
      <c r="E182">
        <v>1</v>
      </c>
      <c r="F182" s="6" t="s">
        <v>89</v>
      </c>
      <c r="G182" s="6">
        <f t="shared" si="25"/>
        <v>0</v>
      </c>
      <c r="H182" s="6">
        <f t="shared" si="26"/>
        <v>0</v>
      </c>
      <c r="I182" s="6">
        <f t="shared" si="27"/>
        <v>1</v>
      </c>
      <c r="J182" s="6">
        <f>$V$5+$W$5*penguins[[#This Row],[Culmen Length (mm)]]+penguins[[#This Row],[Culmen Depth (mm)]]*$X$5+$Y$5*penguins[[#This Row],[Flipper Length (mm)]]+penguins[[#This Row],[Body mass (g)]]*$Z$5+$AA$5*penguins[[#This Row],[Gender]]</f>
        <v>-287.32668265464662</v>
      </c>
      <c r="K182" s="6">
        <f>$V$6+$W$6*penguins[[#This Row],[Culmen Length (mm)]]+penguins[[#This Row],[Culmen Depth (mm)]]*$X$6+$Y$6*penguins[[#This Row],[Flipper Length (mm)]]+penguins[[#This Row],[Body mass (g)]]*$Z$6+$AA$6*penguins[[#This Row],[Gender]]</f>
        <v>-288.04977426583793</v>
      </c>
      <c r="L182" s="6">
        <f>$V$7+$W$7*penguins[[#This Row],[Culmen Length (mm)]]+penguins[[#This Row],[Culmen Depth (mm)]]*$X$7+$Y$7*penguins[[#This Row],[Flipper Length (mm)]]+penguins[[#This Row],[Body mass (g)]]*$Z$7+$AA$7*penguins[[#This Row],[Gender]]</f>
        <v>-287.16438145273702</v>
      </c>
      <c r="M182" s="6">
        <f t="shared" si="28"/>
        <v>0.37573302737049291</v>
      </c>
      <c r="N182" s="6">
        <f t="shared" si="29"/>
        <v>0.18232435047672094</v>
      </c>
      <c r="O182" s="6">
        <f t="shared" si="30"/>
        <v>0.44194262215278624</v>
      </c>
      <c r="P182" s="6">
        <f t="shared" si="31"/>
        <v>-0.81657521946499068</v>
      </c>
    </row>
    <row r="183" spans="1:16" x14ac:dyDescent="0.3">
      <c r="A183">
        <v>49</v>
      </c>
      <c r="B183">
        <v>195</v>
      </c>
      <c r="C183">
        <v>210</v>
      </c>
      <c r="D183">
        <v>3950</v>
      </c>
      <c r="E183">
        <v>1</v>
      </c>
      <c r="F183" s="6" t="s">
        <v>89</v>
      </c>
      <c r="G183" s="6">
        <f t="shared" si="25"/>
        <v>0</v>
      </c>
      <c r="H183" s="6">
        <f t="shared" si="26"/>
        <v>0</v>
      </c>
      <c r="I183" s="6">
        <f t="shared" si="27"/>
        <v>1</v>
      </c>
      <c r="J183" s="6">
        <f>$V$5+$W$5*penguins[[#This Row],[Culmen Length (mm)]]+penguins[[#This Row],[Culmen Depth (mm)]]*$X$5+$Y$5*penguins[[#This Row],[Flipper Length (mm)]]+penguins[[#This Row],[Body mass (g)]]*$Z$5+$AA$5*penguins[[#This Row],[Gender]]</f>
        <v>-255.28683183777386</v>
      </c>
      <c r="K183" s="6">
        <f>$V$6+$W$6*penguins[[#This Row],[Culmen Length (mm)]]+penguins[[#This Row],[Culmen Depth (mm)]]*$X$6+$Y$6*penguins[[#This Row],[Flipper Length (mm)]]+penguins[[#This Row],[Body mass (g)]]*$Z$6+$AA$6*penguins[[#This Row],[Gender]]</f>
        <v>-255.48975121879778</v>
      </c>
      <c r="L183" s="6">
        <f>$V$7+$W$7*penguins[[#This Row],[Culmen Length (mm)]]+penguins[[#This Row],[Culmen Depth (mm)]]*$X$7+$Y$7*penguins[[#This Row],[Flipper Length (mm)]]+penguins[[#This Row],[Body mass (g)]]*$Z$7+$AA$7*penguins[[#This Row],[Gender]]</f>
        <v>-256.47579205931737</v>
      </c>
      <c r="M183" s="6">
        <f t="shared" si="28"/>
        <v>0.47150199442451685</v>
      </c>
      <c r="N183" s="6">
        <f t="shared" si="29"/>
        <v>0.38490784846333631</v>
      </c>
      <c r="O183" s="6">
        <f t="shared" si="30"/>
        <v>0.14359015711214684</v>
      </c>
      <c r="P183" s="6">
        <f t="shared" si="31"/>
        <v>-1.9407921685045242</v>
      </c>
    </row>
    <row r="184" spans="1:16" x14ac:dyDescent="0.3">
      <c r="A184">
        <v>462</v>
      </c>
      <c r="B184">
        <v>175</v>
      </c>
      <c r="C184">
        <v>187</v>
      </c>
      <c r="D184">
        <v>3650</v>
      </c>
      <c r="E184">
        <v>0</v>
      </c>
      <c r="F184" s="6" t="s">
        <v>89</v>
      </c>
      <c r="G184" s="6">
        <f t="shared" si="25"/>
        <v>0</v>
      </c>
      <c r="H184" s="6">
        <f t="shared" si="26"/>
        <v>0</v>
      </c>
      <c r="I184" s="6">
        <f t="shared" si="27"/>
        <v>1</v>
      </c>
      <c r="J184" s="6">
        <f>$V$5+$W$5*penguins[[#This Row],[Culmen Length (mm)]]+penguins[[#This Row],[Culmen Depth (mm)]]*$X$5+$Y$5*penguins[[#This Row],[Flipper Length (mm)]]+penguins[[#This Row],[Body mass (g)]]*$Z$5+$AA$5*penguins[[#This Row],[Gender]]</f>
        <v>-232.5038458495091</v>
      </c>
      <c r="K184" s="6">
        <f>$V$6+$W$6*penguins[[#This Row],[Culmen Length (mm)]]+penguins[[#This Row],[Culmen Depth (mm)]]*$X$6+$Y$6*penguins[[#This Row],[Flipper Length (mm)]]+penguins[[#This Row],[Body mass (g)]]*$Z$6+$AA$6*penguins[[#This Row],[Gender]]</f>
        <v>-232.73875008414734</v>
      </c>
      <c r="L184" s="6">
        <f>$V$7+$W$7*penguins[[#This Row],[Culmen Length (mm)]]+penguins[[#This Row],[Culmen Depth (mm)]]*$X$7+$Y$7*penguins[[#This Row],[Flipper Length (mm)]]+penguins[[#This Row],[Body mass (g)]]*$Z$7+$AA$7*penguins[[#This Row],[Gender]]</f>
        <v>-232.60613644568164</v>
      </c>
      <c r="M184" s="6">
        <f t="shared" si="28"/>
        <v>0.37127604528388775</v>
      </c>
      <c r="N184" s="6">
        <f t="shared" si="29"/>
        <v>0.2935481289636227</v>
      </c>
      <c r="O184" s="6">
        <f t="shared" si="30"/>
        <v>0.33517582575248961</v>
      </c>
      <c r="P184" s="6">
        <f t="shared" si="31"/>
        <v>-1.0931000318517212</v>
      </c>
    </row>
    <row r="185" spans="1:16" x14ac:dyDescent="0.3">
      <c r="A185">
        <v>509</v>
      </c>
      <c r="B185">
        <v>191</v>
      </c>
      <c r="C185">
        <v>196</v>
      </c>
      <c r="D185">
        <v>3550</v>
      </c>
      <c r="E185">
        <v>1</v>
      </c>
      <c r="F185" s="6" t="s">
        <v>89</v>
      </c>
      <c r="G185" s="6">
        <f t="shared" si="25"/>
        <v>0</v>
      </c>
      <c r="H185" s="6">
        <f t="shared" si="26"/>
        <v>0</v>
      </c>
      <c r="I185" s="6">
        <f t="shared" si="27"/>
        <v>1</v>
      </c>
      <c r="J185" s="6">
        <f>$V$5+$W$5*penguins[[#This Row],[Culmen Length (mm)]]+penguins[[#This Row],[Culmen Depth (mm)]]*$X$5+$Y$5*penguins[[#This Row],[Flipper Length (mm)]]+penguins[[#This Row],[Body mass (g)]]*$Z$5+$AA$5*penguins[[#This Row],[Gender]]</f>
        <v>-225.17697138855641</v>
      </c>
      <c r="K185" s="6">
        <f>$V$6+$W$6*penguins[[#This Row],[Culmen Length (mm)]]+penguins[[#This Row],[Culmen Depth (mm)]]*$X$6+$Y$6*penguins[[#This Row],[Flipper Length (mm)]]+penguins[[#This Row],[Body mass (g)]]*$Z$6+$AA$6*penguins[[#This Row],[Gender]]</f>
        <v>-225.14792736936892</v>
      </c>
      <c r="L185" s="6">
        <f>$V$7+$W$7*penguins[[#This Row],[Culmen Length (mm)]]+penguins[[#This Row],[Culmen Depth (mm)]]*$X$7+$Y$7*penguins[[#This Row],[Flipper Length (mm)]]+penguins[[#This Row],[Body mass (g)]]*$Z$7+$AA$7*penguins[[#This Row],[Gender]]</f>
        <v>-225.69474781598211</v>
      </c>
      <c r="M185" s="6">
        <f t="shared" si="28"/>
        <v>0.38090683344985693</v>
      </c>
      <c r="N185" s="6">
        <f t="shared" si="29"/>
        <v>0.39213212351448351</v>
      </c>
      <c r="O185" s="6">
        <f t="shared" si="30"/>
        <v>0.2269610430356595</v>
      </c>
      <c r="P185" s="6">
        <f t="shared" si="31"/>
        <v>-1.482976892811543</v>
      </c>
    </row>
    <row r="186" spans="1:16" x14ac:dyDescent="0.3">
      <c r="A186">
        <v>455</v>
      </c>
      <c r="B186">
        <v>17</v>
      </c>
      <c r="C186">
        <v>196</v>
      </c>
      <c r="D186">
        <v>3500</v>
      </c>
      <c r="E186">
        <v>0</v>
      </c>
      <c r="F186" s="6" t="s">
        <v>89</v>
      </c>
      <c r="G186" s="6">
        <f t="shared" si="25"/>
        <v>0</v>
      </c>
      <c r="H186" s="6">
        <f t="shared" si="26"/>
        <v>0</v>
      </c>
      <c r="I186" s="6">
        <f t="shared" si="27"/>
        <v>1</v>
      </c>
      <c r="J186" s="6">
        <f>$V$5+$W$5*penguins[[#This Row],[Culmen Length (mm)]]+penguins[[#This Row],[Culmen Depth (mm)]]*$X$5+$Y$5*penguins[[#This Row],[Flipper Length (mm)]]+penguins[[#This Row],[Body mass (g)]]*$Z$5+$AA$5*penguins[[#This Row],[Gender]]</f>
        <v>-225.38690191424089</v>
      </c>
      <c r="K186" s="6">
        <f>$V$6+$W$6*penguins[[#This Row],[Culmen Length (mm)]]+penguins[[#This Row],[Culmen Depth (mm)]]*$X$6+$Y$6*penguins[[#This Row],[Flipper Length (mm)]]+penguins[[#This Row],[Body mass (g)]]*$Z$6+$AA$6*penguins[[#This Row],[Gender]]</f>
        <v>-223.78302935569977</v>
      </c>
      <c r="L186" s="6">
        <f>$V$7+$W$7*penguins[[#This Row],[Culmen Length (mm)]]+penguins[[#This Row],[Culmen Depth (mm)]]*$X$7+$Y$7*penguins[[#This Row],[Flipper Length (mm)]]+penguins[[#This Row],[Body mass (g)]]*$Z$7+$AA$7*penguins[[#This Row],[Gender]]</f>
        <v>-223.639533959369</v>
      </c>
      <c r="M186" s="6">
        <f t="shared" si="28"/>
        <v>8.5384505838328531E-2</v>
      </c>
      <c r="N186" s="6">
        <f t="shared" si="29"/>
        <v>0.42455315355435658</v>
      </c>
      <c r="O186" s="6">
        <f t="shared" si="30"/>
        <v>0.49006234060731496</v>
      </c>
      <c r="P186" s="6">
        <f t="shared" si="31"/>
        <v>-0.71322267024075725</v>
      </c>
    </row>
    <row r="187" spans="1:16" x14ac:dyDescent="0.3">
      <c r="A187">
        <v>509</v>
      </c>
      <c r="B187">
        <v>179</v>
      </c>
      <c r="C187">
        <v>196</v>
      </c>
      <c r="D187">
        <v>3675</v>
      </c>
      <c r="E187">
        <v>0</v>
      </c>
      <c r="F187" s="6" t="s">
        <v>89</v>
      </c>
      <c r="G187" s="6">
        <f t="shared" si="25"/>
        <v>0</v>
      </c>
      <c r="H187" s="6">
        <f t="shared" si="26"/>
        <v>0</v>
      </c>
      <c r="I187" s="6">
        <f t="shared" si="27"/>
        <v>1</v>
      </c>
      <c r="J187" s="6">
        <f>$V$5+$W$5*penguins[[#This Row],[Culmen Length (mm)]]+penguins[[#This Row],[Culmen Depth (mm)]]*$X$5+$Y$5*penguins[[#This Row],[Flipper Length (mm)]]+penguins[[#This Row],[Body mass (g)]]*$Z$5+$AA$5*penguins[[#This Row],[Gender]]</f>
        <v>-233.64278247241177</v>
      </c>
      <c r="K187" s="6">
        <f>$V$6+$W$6*penguins[[#This Row],[Culmen Length (mm)]]+penguins[[#This Row],[Culmen Depth (mm)]]*$X$6+$Y$6*penguins[[#This Row],[Flipper Length (mm)]]+penguins[[#This Row],[Body mass (g)]]*$Z$6+$AA$6*penguins[[#This Row],[Gender]]</f>
        <v>-233.69183967325043</v>
      </c>
      <c r="L187" s="6">
        <f>$V$7+$W$7*penguins[[#This Row],[Culmen Length (mm)]]+penguins[[#This Row],[Culmen Depth (mm)]]*$X$7+$Y$7*penguins[[#This Row],[Flipper Length (mm)]]+penguins[[#This Row],[Body mass (g)]]*$Z$7+$AA$7*penguins[[#This Row],[Gender]]</f>
        <v>-233.77284739163983</v>
      </c>
      <c r="M187" s="6">
        <f t="shared" si="28"/>
        <v>0.35333627794579298</v>
      </c>
      <c r="N187" s="6">
        <f t="shared" si="29"/>
        <v>0.33642089219032945</v>
      </c>
      <c r="O187" s="6">
        <f t="shared" si="30"/>
        <v>0.31024282986387752</v>
      </c>
      <c r="P187" s="6">
        <f t="shared" si="31"/>
        <v>-1.1703999659980737</v>
      </c>
    </row>
    <row r="188" spans="1:16" x14ac:dyDescent="0.3">
      <c r="A188">
        <v>508</v>
      </c>
      <c r="B188">
        <v>185</v>
      </c>
      <c r="C188">
        <v>201</v>
      </c>
      <c r="D188">
        <v>4450</v>
      </c>
      <c r="E188">
        <v>1</v>
      </c>
      <c r="F188" s="6" t="s">
        <v>89</v>
      </c>
      <c r="G188" s="6">
        <f t="shared" si="25"/>
        <v>0</v>
      </c>
      <c r="H188" s="6">
        <f t="shared" si="26"/>
        <v>0</v>
      </c>
      <c r="I188" s="6">
        <f t="shared" si="27"/>
        <v>1</v>
      </c>
      <c r="J188" s="6">
        <f>$V$5+$W$5*penguins[[#This Row],[Culmen Length (mm)]]+penguins[[#This Row],[Culmen Depth (mm)]]*$X$5+$Y$5*penguins[[#This Row],[Flipper Length (mm)]]+penguins[[#This Row],[Body mass (g)]]*$Z$5+$AA$5*penguins[[#This Row],[Gender]]</f>
        <v>-284.52374917265615</v>
      </c>
      <c r="K188" s="6">
        <f>$V$6+$W$6*penguins[[#This Row],[Culmen Length (mm)]]+penguins[[#This Row],[Culmen Depth (mm)]]*$X$6+$Y$6*penguins[[#This Row],[Flipper Length (mm)]]+penguins[[#This Row],[Body mass (g)]]*$Z$6+$AA$6*penguins[[#This Row],[Gender]]</f>
        <v>-285.1806656900855</v>
      </c>
      <c r="L188" s="6">
        <f>$V$7+$W$7*penguins[[#This Row],[Culmen Length (mm)]]+penguins[[#This Row],[Culmen Depth (mm)]]*$X$7+$Y$7*penguins[[#This Row],[Flipper Length (mm)]]+penguins[[#This Row],[Body mass (g)]]*$Z$7+$AA$7*penguins[[#This Row],[Gender]]</f>
        <v>-284.23333545398145</v>
      </c>
      <c r="M188" s="6">
        <f t="shared" si="28"/>
        <v>0.35021019571809447</v>
      </c>
      <c r="N188" s="6">
        <f t="shared" si="29"/>
        <v>0.18156559910567341</v>
      </c>
      <c r="O188" s="6">
        <f t="shared" si="30"/>
        <v>0.46822420517623209</v>
      </c>
      <c r="P188" s="6">
        <f t="shared" si="31"/>
        <v>-0.75880802689292681</v>
      </c>
    </row>
    <row r="189" spans="1:16" x14ac:dyDescent="0.3">
      <c r="A189">
        <v>501</v>
      </c>
      <c r="B189">
        <v>179</v>
      </c>
      <c r="C189">
        <v>190</v>
      </c>
      <c r="D189">
        <v>3400</v>
      </c>
      <c r="E189">
        <v>0</v>
      </c>
      <c r="F189" s="6" t="s">
        <v>89</v>
      </c>
      <c r="G189" s="6">
        <f t="shared" si="25"/>
        <v>0</v>
      </c>
      <c r="H189" s="6">
        <f t="shared" si="26"/>
        <v>0</v>
      </c>
      <c r="I189" s="6">
        <f t="shared" si="27"/>
        <v>1</v>
      </c>
      <c r="J189" s="6">
        <f>$V$5+$W$5*penguins[[#This Row],[Culmen Length (mm)]]+penguins[[#This Row],[Culmen Depth (mm)]]*$X$5+$Y$5*penguins[[#This Row],[Flipper Length (mm)]]+penguins[[#This Row],[Body mass (g)]]*$Z$5+$AA$5*penguins[[#This Row],[Gender]]</f>
        <v>-215.63062140256406</v>
      </c>
      <c r="K189" s="6">
        <f>$V$6+$W$6*penguins[[#This Row],[Culmen Length (mm)]]+penguins[[#This Row],[Culmen Depth (mm)]]*$X$6+$Y$6*penguins[[#This Row],[Flipper Length (mm)]]+penguins[[#This Row],[Body mass (g)]]*$Z$6+$AA$6*penguins[[#This Row],[Gender]]</f>
        <v>-215.57041100500783</v>
      </c>
      <c r="L189" s="6">
        <f>$V$7+$W$7*penguins[[#This Row],[Culmen Length (mm)]]+penguins[[#This Row],[Culmen Depth (mm)]]*$X$7+$Y$7*penguins[[#This Row],[Flipper Length (mm)]]+penguins[[#This Row],[Body mass (g)]]*$Z$7+$AA$7*penguins[[#This Row],[Gender]]</f>
        <v>-215.95778230066486</v>
      </c>
      <c r="M189" s="6">
        <f t="shared" si="28"/>
        <v>0.3593208923818722</v>
      </c>
      <c r="N189" s="6">
        <f t="shared" si="29"/>
        <v>0.38162033900907377</v>
      </c>
      <c r="O189" s="6">
        <f t="shared" si="30"/>
        <v>0.25905876860905397</v>
      </c>
      <c r="P189" s="6">
        <f t="shared" si="31"/>
        <v>-1.3507003371953696</v>
      </c>
    </row>
    <row r="190" spans="1:16" x14ac:dyDescent="0.3">
      <c r="A190">
        <v>49</v>
      </c>
      <c r="B190">
        <v>196</v>
      </c>
      <c r="C190">
        <v>212</v>
      </c>
      <c r="D190">
        <v>4300</v>
      </c>
      <c r="E190">
        <v>1</v>
      </c>
      <c r="F190" s="6" t="s">
        <v>89</v>
      </c>
      <c r="G190" s="6">
        <f t="shared" si="25"/>
        <v>0</v>
      </c>
      <c r="H190" s="6">
        <f t="shared" si="26"/>
        <v>0</v>
      </c>
      <c r="I190" s="6">
        <f t="shared" si="27"/>
        <v>1</v>
      </c>
      <c r="J190" s="6">
        <f>$V$5+$W$5*penguins[[#This Row],[Culmen Length (mm)]]+penguins[[#This Row],[Culmen Depth (mm)]]*$X$5+$Y$5*penguins[[#This Row],[Flipper Length (mm)]]+penguins[[#This Row],[Body mass (g)]]*$Z$5+$AA$5*penguins[[#This Row],[Gender]]</f>
        <v>-278.30481967524861</v>
      </c>
      <c r="K190" s="6">
        <f>$V$6+$W$6*penguins[[#This Row],[Culmen Length (mm)]]+penguins[[#This Row],[Culmen Depth (mm)]]*$X$6+$Y$6*penguins[[#This Row],[Flipper Length (mm)]]+penguins[[#This Row],[Body mass (g)]]*$Z$6+$AA$6*penguins[[#This Row],[Gender]]</f>
        <v>-278.80387616853676</v>
      </c>
      <c r="L190" s="6">
        <f>$V$7+$W$7*penguins[[#This Row],[Culmen Length (mm)]]+penguins[[#This Row],[Culmen Depth (mm)]]*$X$7+$Y$7*penguins[[#This Row],[Flipper Length (mm)]]+penguins[[#This Row],[Body mass (g)]]*$Z$7+$AA$7*penguins[[#This Row],[Gender]]</f>
        <v>-279.22304292310514</v>
      </c>
      <c r="M190" s="6">
        <f t="shared" si="28"/>
        <v>0.49842226039290294</v>
      </c>
      <c r="N190" s="6">
        <f t="shared" si="29"/>
        <v>0.30259374699995567</v>
      </c>
      <c r="O190" s="6">
        <f t="shared" si="30"/>
        <v>0.19898399260714125</v>
      </c>
      <c r="P190" s="6">
        <f t="shared" si="31"/>
        <v>-1.6145308966531415</v>
      </c>
    </row>
    <row r="191" spans="1:16" x14ac:dyDescent="0.3">
      <c r="A191">
        <v>515</v>
      </c>
      <c r="B191">
        <v>187</v>
      </c>
      <c r="C191">
        <v>187</v>
      </c>
      <c r="D191">
        <v>3250</v>
      </c>
      <c r="E191">
        <v>1</v>
      </c>
      <c r="F191" s="6" t="s">
        <v>89</v>
      </c>
      <c r="G191" s="6">
        <f t="shared" si="25"/>
        <v>0</v>
      </c>
      <c r="H191" s="6">
        <f t="shared" si="26"/>
        <v>0</v>
      </c>
      <c r="I191" s="6">
        <f t="shared" si="27"/>
        <v>1</v>
      </c>
      <c r="J191" s="6">
        <f>$V$5+$W$5*penguins[[#This Row],[Culmen Length (mm)]]+penguins[[#This Row],[Culmen Depth (mm)]]*$X$5+$Y$5*penguins[[#This Row],[Flipper Length (mm)]]+penguins[[#This Row],[Body mass (g)]]*$Z$5+$AA$5*penguins[[#This Row],[Gender]]</f>
        <v>-205.48229210386685</v>
      </c>
      <c r="K191" s="6">
        <f>$V$6+$W$6*penguins[[#This Row],[Culmen Length (mm)]]+penguins[[#This Row],[Culmen Depth (mm)]]*$X$6+$Y$6*penguins[[#This Row],[Flipper Length (mm)]]+penguins[[#This Row],[Body mass (g)]]*$Z$6+$AA$6*penguins[[#This Row],[Gender]]</f>
        <v>-205.35434805105837</v>
      </c>
      <c r="L191" s="6">
        <f>$V$7+$W$7*penguins[[#This Row],[Culmen Length (mm)]]+penguins[[#This Row],[Culmen Depth (mm)]]*$X$7+$Y$7*penguins[[#This Row],[Flipper Length (mm)]]+penguins[[#This Row],[Body mass (g)]]*$Z$7+$AA$7*penguins[[#This Row],[Gender]]</f>
        <v>-206.11337084870846</v>
      </c>
      <c r="M191" s="6">
        <f t="shared" si="28"/>
        <v>0.3747413819339282</v>
      </c>
      <c r="N191" s="6">
        <f t="shared" si="29"/>
        <v>0.42588961487745686</v>
      </c>
      <c r="O191" s="6">
        <f t="shared" si="30"/>
        <v>0.199369003188615</v>
      </c>
      <c r="P191" s="6">
        <f t="shared" si="31"/>
        <v>-1.6125978839462156</v>
      </c>
    </row>
    <row r="192" spans="1:16" x14ac:dyDescent="0.3">
      <c r="A192">
        <v>498</v>
      </c>
      <c r="B192">
        <v>173</v>
      </c>
      <c r="C192">
        <v>198</v>
      </c>
      <c r="D192">
        <v>3675</v>
      </c>
      <c r="E192">
        <v>0</v>
      </c>
      <c r="F192" s="6" t="s">
        <v>89</v>
      </c>
      <c r="G192" s="6">
        <f t="shared" si="25"/>
        <v>0</v>
      </c>
      <c r="H192" s="6">
        <f t="shared" si="26"/>
        <v>0</v>
      </c>
      <c r="I192" s="6">
        <f t="shared" si="27"/>
        <v>1</v>
      </c>
      <c r="J192" s="6">
        <f>$V$5+$W$5*penguins[[#This Row],[Culmen Length (mm)]]+penguins[[#This Row],[Culmen Depth (mm)]]*$X$5+$Y$5*penguins[[#This Row],[Flipper Length (mm)]]+penguins[[#This Row],[Body mass (g)]]*$Z$5+$AA$5*penguins[[#This Row],[Gender]]</f>
        <v>-233.83148730785004</v>
      </c>
      <c r="K192" s="6">
        <f>$V$6+$W$6*penguins[[#This Row],[Culmen Length (mm)]]+penguins[[#This Row],[Culmen Depth (mm)]]*$X$6+$Y$6*penguins[[#This Row],[Flipper Length (mm)]]+penguins[[#This Row],[Body mass (g)]]*$Z$6+$AA$6*penguins[[#This Row],[Gender]]</f>
        <v>-233.77770819468628</v>
      </c>
      <c r="L192" s="6">
        <f>$V$7+$W$7*penguins[[#This Row],[Culmen Length (mm)]]+penguins[[#This Row],[Culmen Depth (mm)]]*$X$7+$Y$7*penguins[[#This Row],[Flipper Length (mm)]]+penguins[[#This Row],[Body mass (g)]]*$Z$7+$AA$7*penguins[[#This Row],[Gender]]</f>
        <v>-233.92106037802768</v>
      </c>
      <c r="M192" s="6">
        <f t="shared" si="28"/>
        <v>0.33674875841656393</v>
      </c>
      <c r="N192" s="6">
        <f t="shared" si="29"/>
        <v>0.35535462747442559</v>
      </c>
      <c r="O192" s="6">
        <f t="shared" si="30"/>
        <v>0.30789661410901037</v>
      </c>
      <c r="P192" s="6">
        <f t="shared" si="31"/>
        <v>-1.1779912208350751</v>
      </c>
    </row>
    <row r="193" spans="1:16" x14ac:dyDescent="0.3">
      <c r="A193">
        <v>481</v>
      </c>
      <c r="B193">
        <v>164</v>
      </c>
      <c r="C193">
        <v>199</v>
      </c>
      <c r="D193">
        <v>3325</v>
      </c>
      <c r="E193">
        <v>0</v>
      </c>
      <c r="F193" s="6" t="s">
        <v>89</v>
      </c>
      <c r="G193" s="6">
        <f t="shared" si="25"/>
        <v>0</v>
      </c>
      <c r="H193" s="6">
        <f t="shared" si="26"/>
        <v>0</v>
      </c>
      <c r="I193" s="6">
        <f t="shared" si="27"/>
        <v>1</v>
      </c>
      <c r="J193" s="6">
        <f>$V$5+$W$5*penguins[[#This Row],[Culmen Length (mm)]]+penguins[[#This Row],[Culmen Depth (mm)]]*$X$5+$Y$5*penguins[[#This Row],[Flipper Length (mm)]]+penguins[[#This Row],[Body mass (g)]]*$Z$5+$AA$5*penguins[[#This Row],[Gender]]</f>
        <v>-211.08346755338005</v>
      </c>
      <c r="K193" s="6">
        <f>$V$6+$W$6*penguins[[#This Row],[Culmen Length (mm)]]+penguins[[#This Row],[Culmen Depth (mm)]]*$X$6+$Y$6*penguins[[#This Row],[Flipper Length (mm)]]+penguins[[#This Row],[Body mass (g)]]*$Z$6+$AA$6*penguins[[#This Row],[Gender]]</f>
        <v>-210.58875857936329</v>
      </c>
      <c r="L193" s="6">
        <f>$V$7+$W$7*penguins[[#This Row],[Culmen Length (mm)]]+penguins[[#This Row],[Culmen Depth (mm)]]*$X$7+$Y$7*penguins[[#This Row],[Flipper Length (mm)]]+penguins[[#This Row],[Body mass (g)]]*$Z$7+$AA$7*penguins[[#This Row],[Gender]]</f>
        <v>-211.39707598360656</v>
      </c>
      <c r="M193" s="6">
        <f t="shared" si="28"/>
        <v>0.29666319049764739</v>
      </c>
      <c r="N193" s="6">
        <f t="shared" si="29"/>
        <v>0.48653382701328557</v>
      </c>
      <c r="O193" s="6">
        <f t="shared" si="30"/>
        <v>0.2168029824890671</v>
      </c>
      <c r="P193" s="6">
        <f t="shared" si="31"/>
        <v>-1.52876625264288</v>
      </c>
    </row>
    <row r="194" spans="1:16" x14ac:dyDescent="0.3">
      <c r="A194">
        <v>514</v>
      </c>
      <c r="B194">
        <v>19</v>
      </c>
      <c r="C194">
        <v>201</v>
      </c>
      <c r="D194">
        <v>3950</v>
      </c>
      <c r="E194">
        <v>1</v>
      </c>
      <c r="F194" s="6" t="s">
        <v>89</v>
      </c>
      <c r="G194" s="6">
        <f t="shared" si="25"/>
        <v>0</v>
      </c>
      <c r="H194" s="6">
        <f t="shared" si="26"/>
        <v>0</v>
      </c>
      <c r="I194" s="6">
        <f t="shared" si="27"/>
        <v>1</v>
      </c>
      <c r="J194" s="6">
        <f>$V$5+$W$5*penguins[[#This Row],[Culmen Length (mm)]]+penguins[[#This Row],[Culmen Depth (mm)]]*$X$5+$Y$5*penguins[[#This Row],[Flipper Length (mm)]]+penguins[[#This Row],[Body mass (g)]]*$Z$5+$AA$5*penguins[[#This Row],[Gender]]</f>
        <v>-254.43005690911025</v>
      </c>
      <c r="K194" s="6">
        <f>$V$6+$W$6*penguins[[#This Row],[Culmen Length (mm)]]+penguins[[#This Row],[Culmen Depth (mm)]]*$X$6+$Y$6*penguins[[#This Row],[Flipper Length (mm)]]+penguins[[#This Row],[Body mass (g)]]*$Z$6+$AA$6*penguins[[#This Row],[Gender]]</f>
        <v>-253.06135567845257</v>
      </c>
      <c r="L194" s="6">
        <f>$V$7+$W$7*penguins[[#This Row],[Culmen Length (mm)]]+penguins[[#This Row],[Culmen Depth (mm)]]*$X$7+$Y$7*penguins[[#This Row],[Flipper Length (mm)]]+penguins[[#This Row],[Body mass (g)]]*$Z$7+$AA$7*penguins[[#This Row],[Gender]]</f>
        <v>-252.38121885378558</v>
      </c>
      <c r="M194" s="6">
        <f t="shared" si="28"/>
        <v>7.8807650480571853E-2</v>
      </c>
      <c r="N194" s="6">
        <f t="shared" si="29"/>
        <v>0.30973320878884159</v>
      </c>
      <c r="O194" s="6">
        <f t="shared" si="30"/>
        <v>0.6114591407305866</v>
      </c>
      <c r="P194" s="6">
        <f t="shared" si="31"/>
        <v>-0.4919071441894049</v>
      </c>
    </row>
    <row r="195" spans="1:16" x14ac:dyDescent="0.3">
      <c r="A195">
        <v>457</v>
      </c>
      <c r="B195">
        <v>173</v>
      </c>
      <c r="C195">
        <v>193</v>
      </c>
      <c r="D195">
        <v>3600</v>
      </c>
      <c r="E195">
        <v>0</v>
      </c>
      <c r="F195" s="6" t="s">
        <v>89</v>
      </c>
      <c r="G195" s="6">
        <f t="shared" si="25"/>
        <v>0</v>
      </c>
      <c r="H195" s="6">
        <f t="shared" si="26"/>
        <v>0</v>
      </c>
      <c r="I195" s="6">
        <f t="shared" si="27"/>
        <v>1</v>
      </c>
      <c r="J195" s="6">
        <f>$V$5+$W$5*penguins[[#This Row],[Culmen Length (mm)]]+penguins[[#This Row],[Culmen Depth (mm)]]*$X$5+$Y$5*penguins[[#This Row],[Flipper Length (mm)]]+penguins[[#This Row],[Body mass (g)]]*$Z$5+$AA$5*penguins[[#This Row],[Gender]]</f>
        <v>-229.26303196645728</v>
      </c>
      <c r="K195" s="6">
        <f>$V$6+$W$6*penguins[[#This Row],[Culmen Length (mm)]]+penguins[[#This Row],[Culmen Depth (mm)]]*$X$6+$Y$6*penguins[[#This Row],[Flipper Length (mm)]]+penguins[[#This Row],[Body mass (g)]]*$Z$6+$AA$6*penguins[[#This Row],[Gender]]</f>
        <v>-229.27950013129154</v>
      </c>
      <c r="L195" s="6">
        <f>$V$7+$W$7*penguins[[#This Row],[Culmen Length (mm)]]+penguins[[#This Row],[Culmen Depth (mm)]]*$X$7+$Y$7*penguins[[#This Row],[Flipper Length (mm)]]+penguins[[#This Row],[Body mass (g)]]*$Z$7+$AA$7*penguins[[#This Row],[Gender]]</f>
        <v>-229.44616196777136</v>
      </c>
      <c r="M195" s="6">
        <f t="shared" si="28"/>
        <v>0.35507245553640143</v>
      </c>
      <c r="N195" s="6">
        <f t="shared" si="29"/>
        <v>0.34927294849793977</v>
      </c>
      <c r="O195" s="6">
        <f t="shared" si="30"/>
        <v>0.29565459596565885</v>
      </c>
      <c r="P195" s="6">
        <f t="shared" si="31"/>
        <v>-1.2185634115438575</v>
      </c>
    </row>
    <row r="196" spans="1:16" x14ac:dyDescent="0.3">
      <c r="A196">
        <v>507</v>
      </c>
      <c r="B196">
        <v>197</v>
      </c>
      <c r="C196">
        <v>203</v>
      </c>
      <c r="D196">
        <v>4050</v>
      </c>
      <c r="E196">
        <v>1</v>
      </c>
      <c r="F196" s="6" t="s">
        <v>89</v>
      </c>
      <c r="G196" s="6">
        <f t="shared" ref="G196:G259" si="32">IF(F196="Emperor Penguin",1,0)</f>
        <v>0</v>
      </c>
      <c r="H196" s="6">
        <f t="shared" ref="H196:H259" si="33">IF(F196="King Penguin",1,0)</f>
        <v>0</v>
      </c>
      <c r="I196" s="6">
        <f t="shared" ref="I196:I259" si="34">IF(F196="Little Penguin",1,0)</f>
        <v>1</v>
      </c>
      <c r="J196" s="6">
        <f>$V$5+$W$5*penguins[[#This Row],[Culmen Length (mm)]]+penguins[[#This Row],[Culmen Depth (mm)]]*$X$5+$Y$5*penguins[[#This Row],[Flipper Length (mm)]]+penguins[[#This Row],[Body mass (g)]]*$Z$5+$AA$5*penguins[[#This Row],[Gender]]</f>
        <v>-257.97965588715005</v>
      </c>
      <c r="K196" s="6">
        <f>$V$6+$W$6*penguins[[#This Row],[Culmen Length (mm)]]+penguins[[#This Row],[Culmen Depth (mm)]]*$X$6+$Y$6*penguins[[#This Row],[Flipper Length (mm)]]+penguins[[#This Row],[Body mass (g)]]*$Z$6+$AA$6*penguins[[#This Row],[Gender]]</f>
        <v>-258.31089592976338</v>
      </c>
      <c r="L196" s="6">
        <f>$V$7+$W$7*penguins[[#This Row],[Culmen Length (mm)]]+penguins[[#This Row],[Culmen Depth (mm)]]*$X$7+$Y$7*penguins[[#This Row],[Flipper Length (mm)]]+penguins[[#This Row],[Body mass (g)]]*$Z$7+$AA$7*penguins[[#This Row],[Gender]]</f>
        <v>-258.21217939574615</v>
      </c>
      <c r="M196" s="6">
        <f t="shared" ref="M196:M259" si="35">EXP(J196)/(EXP(J196)+EXP(K196)+EXP(L196))</f>
        <v>0.39831688686573763</v>
      </c>
      <c r="N196" s="6">
        <f t="shared" ref="N196:N259" si="36">EXP(K196)/(EXP(J196)+EXP(K196)+EXP(L196))</f>
        <v>0.28600458553446784</v>
      </c>
      <c r="O196" s="6">
        <f t="shared" ref="O196:O259" si="37">EXP(L196)/(EXP(J196)+EXP(K196)+EXP(L196))</f>
        <v>0.31567852759979453</v>
      </c>
      <c r="P196" s="6">
        <f t="shared" ref="P196:P259" si="38">(1-H196-I196)*LN(M196)+I196*LN(O196)+H196*LN(N196)</f>
        <v>-1.1530309009362887</v>
      </c>
    </row>
    <row r="197" spans="1:16" x14ac:dyDescent="0.3">
      <c r="A197">
        <v>425</v>
      </c>
      <c r="B197">
        <v>173</v>
      </c>
      <c r="C197">
        <v>187</v>
      </c>
      <c r="D197">
        <v>3350</v>
      </c>
      <c r="E197">
        <v>0</v>
      </c>
      <c r="F197" s="6" t="s">
        <v>89</v>
      </c>
      <c r="G197" s="6">
        <f t="shared" si="32"/>
        <v>0</v>
      </c>
      <c r="H197" s="6">
        <f t="shared" si="33"/>
        <v>0</v>
      </c>
      <c r="I197" s="6">
        <f t="shared" si="34"/>
        <v>1</v>
      </c>
      <c r="J197" s="6">
        <f>$V$5+$W$5*penguins[[#This Row],[Culmen Length (mm)]]+penguins[[#This Row],[Culmen Depth (mm)]]*$X$5+$Y$5*penguins[[#This Row],[Flipper Length (mm)]]+penguins[[#This Row],[Body mass (g)]]*$Z$5+$AA$5*penguins[[#This Row],[Gender]]</f>
        <v>-213.10053965446994</v>
      </c>
      <c r="K197" s="6">
        <f>$V$6+$W$6*penguins[[#This Row],[Culmen Length (mm)]]+penguins[[#This Row],[Culmen Depth (mm)]]*$X$6+$Y$6*penguins[[#This Row],[Flipper Length (mm)]]+penguins[[#This Row],[Body mass (g)]]*$Z$6+$AA$6*penguins[[#This Row],[Gender]]</f>
        <v>-213.04056930376598</v>
      </c>
      <c r="L197" s="6">
        <f>$V$7+$W$7*penguins[[#This Row],[Culmen Length (mm)]]+penguins[[#This Row],[Culmen Depth (mm)]]*$X$7+$Y$7*penguins[[#This Row],[Flipper Length (mm)]]+penguins[[#This Row],[Body mass (g)]]*$Z$7+$AA$7*penguins[[#This Row],[Gender]]</f>
        <v>-213.50280198190111</v>
      </c>
      <c r="M197" s="6">
        <f t="shared" si="35"/>
        <v>0.36621849151475844</v>
      </c>
      <c r="N197" s="6">
        <f t="shared" si="36"/>
        <v>0.38885264893286126</v>
      </c>
      <c r="O197" s="6">
        <f t="shared" si="37"/>
        <v>0.24492885955238014</v>
      </c>
      <c r="P197" s="6">
        <f t="shared" si="38"/>
        <v>-1.4067874797766597</v>
      </c>
    </row>
    <row r="198" spans="1:16" x14ac:dyDescent="0.3">
      <c r="A198">
        <v>522</v>
      </c>
      <c r="B198">
        <v>188</v>
      </c>
      <c r="C198">
        <v>197</v>
      </c>
      <c r="D198">
        <v>3450</v>
      </c>
      <c r="E198">
        <v>1</v>
      </c>
      <c r="F198" s="6" t="s">
        <v>89</v>
      </c>
      <c r="G198" s="6">
        <f t="shared" si="32"/>
        <v>0</v>
      </c>
      <c r="H198" s="6">
        <f t="shared" si="33"/>
        <v>0</v>
      </c>
      <c r="I198" s="6">
        <f t="shared" si="34"/>
        <v>1</v>
      </c>
      <c r="J198" s="6">
        <f>$V$5+$W$5*penguins[[#This Row],[Culmen Length (mm)]]+penguins[[#This Row],[Culmen Depth (mm)]]*$X$5+$Y$5*penguins[[#This Row],[Flipper Length (mm)]]+penguins[[#This Row],[Body mass (g)]]*$Z$5+$AA$5*penguins[[#This Row],[Gender]]</f>
        <v>-218.53033863164677</v>
      </c>
      <c r="K198" s="6">
        <f>$V$6+$W$6*penguins[[#This Row],[Culmen Length (mm)]]+penguins[[#This Row],[Culmen Depth (mm)]]*$X$6+$Y$6*penguins[[#This Row],[Flipper Length (mm)]]+penguins[[#This Row],[Body mass (g)]]*$Z$6+$AA$6*penguins[[#This Row],[Gender]]</f>
        <v>-218.34661176104663</v>
      </c>
      <c r="L198" s="6">
        <f>$V$7+$W$7*penguins[[#This Row],[Culmen Length (mm)]]+penguins[[#This Row],[Culmen Depth (mm)]]*$X$7+$Y$7*penguins[[#This Row],[Flipper Length (mm)]]+penguins[[#This Row],[Body mass (g)]]*$Z$7+$AA$7*penguins[[#This Row],[Gender]]</f>
        <v>-219.08057410415918</v>
      </c>
      <c r="M198" s="6">
        <f t="shared" si="35"/>
        <v>0.35990622580550019</v>
      </c>
      <c r="N198" s="6">
        <f t="shared" si="36"/>
        <v>0.43249483506088415</v>
      </c>
      <c r="O198" s="6">
        <f t="shared" si="37"/>
        <v>0.20759893913361557</v>
      </c>
      <c r="P198" s="6">
        <f t="shared" si="38"/>
        <v>-1.5721472378498207</v>
      </c>
    </row>
    <row r="199" spans="1:16" x14ac:dyDescent="0.3">
      <c r="A199">
        <v>452</v>
      </c>
      <c r="B199">
        <v>166</v>
      </c>
      <c r="C199">
        <v>191</v>
      </c>
      <c r="D199">
        <v>3250</v>
      </c>
      <c r="E199">
        <v>0</v>
      </c>
      <c r="F199" s="6" t="s">
        <v>89</v>
      </c>
      <c r="G199" s="6">
        <f t="shared" si="32"/>
        <v>0</v>
      </c>
      <c r="H199" s="6">
        <f t="shared" si="33"/>
        <v>0</v>
      </c>
      <c r="I199" s="6">
        <f t="shared" si="34"/>
        <v>1</v>
      </c>
      <c r="J199" s="6">
        <f>$V$5+$W$5*penguins[[#This Row],[Culmen Length (mm)]]+penguins[[#This Row],[Culmen Depth (mm)]]*$X$5+$Y$5*penguins[[#This Row],[Flipper Length (mm)]]+penguins[[#This Row],[Body mass (g)]]*$Z$5+$AA$5*penguins[[#This Row],[Gender]]</f>
        <v>-206.39146971576312</v>
      </c>
      <c r="K199" s="6">
        <f>$V$6+$W$6*penguins[[#This Row],[Culmen Length (mm)]]+penguins[[#This Row],[Culmen Depth (mm)]]*$X$6+$Y$6*penguins[[#This Row],[Flipper Length (mm)]]+penguins[[#This Row],[Body mass (g)]]*$Z$6+$AA$6*penguins[[#This Row],[Gender]]</f>
        <v>-206.05792608669753</v>
      </c>
      <c r="L199" s="6">
        <f>$V$7+$W$7*penguins[[#This Row],[Culmen Length (mm)]]+penguins[[#This Row],[Culmen Depth (mm)]]*$X$7+$Y$7*penguins[[#This Row],[Flipper Length (mm)]]+penguins[[#This Row],[Body mass (g)]]*$Z$7+$AA$7*penguins[[#This Row],[Gender]]</f>
        <v>-206.77565912299357</v>
      </c>
      <c r="M199" s="6">
        <f t="shared" si="35"/>
        <v>0.32500155284897886</v>
      </c>
      <c r="N199" s="6">
        <f t="shared" si="36"/>
        <v>0.45367160049878802</v>
      </c>
      <c r="O199" s="6">
        <f t="shared" si="37"/>
        <v>0.22132684665223315</v>
      </c>
      <c r="P199" s="6">
        <f t="shared" si="38"/>
        <v>-1.5081147258974075</v>
      </c>
    </row>
    <row r="200" spans="1:16" x14ac:dyDescent="0.3">
      <c r="A200">
        <v>493</v>
      </c>
      <c r="B200">
        <v>199</v>
      </c>
      <c r="C200">
        <v>203</v>
      </c>
      <c r="D200">
        <v>4050</v>
      </c>
      <c r="E200">
        <v>1</v>
      </c>
      <c r="F200" s="6" t="s">
        <v>89</v>
      </c>
      <c r="G200" s="6">
        <f t="shared" si="32"/>
        <v>0</v>
      </c>
      <c r="H200" s="6">
        <f t="shared" si="33"/>
        <v>0</v>
      </c>
      <c r="I200" s="6">
        <f t="shared" si="34"/>
        <v>1</v>
      </c>
      <c r="J200" s="6">
        <f>$V$5+$W$5*penguins[[#This Row],[Culmen Length (mm)]]+penguins[[#This Row],[Culmen Depth (mm)]]*$X$5+$Y$5*penguins[[#This Row],[Flipper Length (mm)]]+penguins[[#This Row],[Body mass (g)]]*$Z$5+$AA$5*penguins[[#This Row],[Gender]]</f>
        <v>-258.06379971637455</v>
      </c>
      <c r="K200" s="6">
        <f>$V$6+$W$6*penguins[[#This Row],[Culmen Length (mm)]]+penguins[[#This Row],[Culmen Depth (mm)]]*$X$6+$Y$6*penguins[[#This Row],[Flipper Length (mm)]]+penguins[[#This Row],[Body mass (g)]]*$Z$6+$AA$6*penguins[[#This Row],[Gender]]</f>
        <v>-258.41866863970392</v>
      </c>
      <c r="L200" s="6">
        <f>$V$7+$W$7*penguins[[#This Row],[Culmen Length (mm)]]+penguins[[#This Row],[Culmen Depth (mm)]]*$X$7+$Y$7*penguins[[#This Row],[Flipper Length (mm)]]+penguins[[#This Row],[Body mass (g)]]*$Z$7+$AA$7*penguins[[#This Row],[Gender]]</f>
        <v>-258.34802205660901</v>
      </c>
      <c r="M200" s="6">
        <f t="shared" si="35"/>
        <v>0.4075204392864194</v>
      </c>
      <c r="N200" s="6">
        <f t="shared" si="36"/>
        <v>0.28577996622393315</v>
      </c>
      <c r="O200" s="6">
        <f t="shared" si="37"/>
        <v>0.30669959448964745</v>
      </c>
      <c r="P200" s="6">
        <f t="shared" si="38"/>
        <v>-1.181886530035458</v>
      </c>
    </row>
    <row r="201" spans="1:16" x14ac:dyDescent="0.3">
      <c r="A201">
        <v>502</v>
      </c>
      <c r="B201">
        <v>188</v>
      </c>
      <c r="C201">
        <v>202</v>
      </c>
      <c r="D201">
        <v>3800</v>
      </c>
      <c r="E201">
        <v>1</v>
      </c>
      <c r="F201" s="6" t="s">
        <v>89</v>
      </c>
      <c r="G201" s="6">
        <f t="shared" si="32"/>
        <v>0</v>
      </c>
      <c r="H201" s="6">
        <f t="shared" si="33"/>
        <v>0</v>
      </c>
      <c r="I201" s="6">
        <f t="shared" si="34"/>
        <v>1</v>
      </c>
      <c r="J201" s="6">
        <f>$V$5+$W$5*penguins[[#This Row],[Culmen Length (mm)]]+penguins[[#This Row],[Culmen Depth (mm)]]*$X$5+$Y$5*penguins[[#This Row],[Flipper Length (mm)]]+penguins[[#This Row],[Body mass (g)]]*$Z$5+$AA$5*penguins[[#This Row],[Gender]]</f>
        <v>-241.72242720069099</v>
      </c>
      <c r="K201" s="6">
        <f>$V$6+$W$6*penguins[[#This Row],[Culmen Length (mm)]]+penguins[[#This Row],[Culmen Depth (mm)]]*$X$6+$Y$6*penguins[[#This Row],[Flipper Length (mm)]]+penguins[[#This Row],[Body mass (g)]]*$Z$6+$AA$6*penguins[[#This Row],[Gender]]</f>
        <v>-241.75609577236656</v>
      </c>
      <c r="L201" s="6">
        <f>$V$7+$W$7*penguins[[#This Row],[Culmen Length (mm)]]+penguins[[#This Row],[Culmen Depth (mm)]]*$X$7+$Y$7*penguins[[#This Row],[Flipper Length (mm)]]+penguins[[#This Row],[Body mass (g)]]*$Z$7+$AA$7*penguins[[#This Row],[Gender]]</f>
        <v>-242.05256849344985</v>
      </c>
      <c r="M201" s="6">
        <f t="shared" si="35"/>
        <v>0.37234045560517604</v>
      </c>
      <c r="N201" s="6">
        <f t="shared" si="36"/>
        <v>0.36001297313758696</v>
      </c>
      <c r="O201" s="6">
        <f t="shared" si="37"/>
        <v>0.26764657125723701</v>
      </c>
      <c r="P201" s="6">
        <f t="shared" si="38"/>
        <v>-1.3180879327712736</v>
      </c>
    </row>
    <row r="202" spans="1:16" x14ac:dyDescent="0.3">
      <c r="A202">
        <v>456</v>
      </c>
      <c r="B202">
        <v>194</v>
      </c>
      <c r="C202">
        <v>194</v>
      </c>
      <c r="D202">
        <v>3525</v>
      </c>
      <c r="E202">
        <v>0</v>
      </c>
      <c r="F202" s="6" t="s">
        <v>89</v>
      </c>
      <c r="G202" s="6">
        <f t="shared" si="32"/>
        <v>0</v>
      </c>
      <c r="H202" s="6">
        <f t="shared" si="33"/>
        <v>0</v>
      </c>
      <c r="I202" s="6">
        <f t="shared" si="34"/>
        <v>1</v>
      </c>
      <c r="J202" s="6">
        <f>$V$5+$W$5*penguins[[#This Row],[Culmen Length (mm)]]+penguins[[#This Row],[Culmen Depth (mm)]]*$X$5+$Y$5*penguins[[#This Row],[Flipper Length (mm)]]+penguins[[#This Row],[Body mass (g)]]*$Z$5+$AA$5*penguins[[#This Row],[Gender]]</f>
        <v>-223.96522882761644</v>
      </c>
      <c r="K202" s="6">
        <f>$V$6+$W$6*penguins[[#This Row],[Culmen Length (mm)]]+penguins[[#This Row],[Culmen Depth (mm)]]*$X$6+$Y$6*penguins[[#This Row],[Flipper Length (mm)]]+penguins[[#This Row],[Body mass (g)]]*$Z$6+$AA$6*penguins[[#This Row],[Gender]]</f>
        <v>-224.07896151650374</v>
      </c>
      <c r="L202" s="6">
        <f>$V$7+$W$7*penguins[[#This Row],[Culmen Length (mm)]]+penguins[[#This Row],[Culmen Depth (mm)]]*$X$7+$Y$7*penguins[[#This Row],[Flipper Length (mm)]]+penguins[[#This Row],[Body mass (g)]]*$Z$7+$AA$7*penguins[[#This Row],[Gender]]</f>
        <v>-224.49973873216189</v>
      </c>
      <c r="M202" s="6">
        <f t="shared" si="35"/>
        <v>0.40347750929359916</v>
      </c>
      <c r="N202" s="6">
        <f t="shared" si="36"/>
        <v>0.3601022641593028</v>
      </c>
      <c r="O202" s="6">
        <f t="shared" si="37"/>
        <v>0.23642022654709796</v>
      </c>
      <c r="P202" s="6">
        <f t="shared" si="38"/>
        <v>-1.4421444364203773</v>
      </c>
    </row>
    <row r="203" spans="1:16" x14ac:dyDescent="0.3">
      <c r="A203">
        <v>519</v>
      </c>
      <c r="B203">
        <v>195</v>
      </c>
      <c r="C203">
        <v>206</v>
      </c>
      <c r="D203">
        <v>3950</v>
      </c>
      <c r="E203">
        <v>1</v>
      </c>
      <c r="F203" s="6" t="s">
        <v>89</v>
      </c>
      <c r="G203" s="6">
        <f t="shared" si="32"/>
        <v>0</v>
      </c>
      <c r="H203" s="6">
        <f t="shared" si="33"/>
        <v>0</v>
      </c>
      <c r="I203" s="6">
        <f t="shared" si="34"/>
        <v>1</v>
      </c>
      <c r="J203" s="6">
        <f>$V$5+$W$5*penguins[[#This Row],[Culmen Length (mm)]]+penguins[[#This Row],[Culmen Depth (mm)]]*$X$5+$Y$5*penguins[[#This Row],[Flipper Length (mm)]]+penguins[[#This Row],[Body mass (g)]]*$Z$5+$AA$5*penguins[[#This Row],[Gender]]</f>
        <v>-251.31553844471352</v>
      </c>
      <c r="K203" s="6">
        <f>$V$6+$W$6*penguins[[#This Row],[Culmen Length (mm)]]+penguins[[#This Row],[Culmen Depth (mm)]]*$X$6+$Y$6*penguins[[#This Row],[Flipper Length (mm)]]+penguins[[#This Row],[Body mass (g)]]*$Z$6+$AA$6*penguins[[#This Row],[Gender]]</f>
        <v>-251.45060496462571</v>
      </c>
      <c r="L203" s="6">
        <f>$V$7+$W$7*penguins[[#This Row],[Culmen Length (mm)]]+penguins[[#This Row],[Culmen Depth (mm)]]*$X$7+$Y$7*penguins[[#This Row],[Flipper Length (mm)]]+penguins[[#This Row],[Body mass (g)]]*$Z$7+$AA$7*penguins[[#This Row],[Gender]]</f>
        <v>-251.61374704515418</v>
      </c>
      <c r="M203" s="6">
        <f t="shared" si="35"/>
        <v>0.38229159492143228</v>
      </c>
      <c r="N203" s="6">
        <f t="shared" si="36"/>
        <v>0.33399203152788692</v>
      </c>
      <c r="O203" s="6">
        <f t="shared" si="37"/>
        <v>0.2837163735506808</v>
      </c>
      <c r="P203" s="6">
        <f t="shared" si="38"/>
        <v>-1.2597802245194467</v>
      </c>
    </row>
    <row r="204" spans="1:16" x14ac:dyDescent="0.3">
      <c r="A204">
        <v>468</v>
      </c>
      <c r="B204">
        <v>165</v>
      </c>
      <c r="C204">
        <v>189</v>
      </c>
      <c r="D204">
        <v>3650</v>
      </c>
      <c r="E204">
        <v>0</v>
      </c>
      <c r="F204" s="6" t="s">
        <v>89</v>
      </c>
      <c r="G204" s="6">
        <f t="shared" si="32"/>
        <v>0</v>
      </c>
      <c r="H204" s="6">
        <f t="shared" si="33"/>
        <v>0</v>
      </c>
      <c r="I204" s="6">
        <f t="shared" si="34"/>
        <v>1</v>
      </c>
      <c r="J204" s="6">
        <f>$V$5+$W$5*penguins[[#This Row],[Culmen Length (mm)]]+penguins[[#This Row],[Culmen Depth (mm)]]*$X$5+$Y$5*penguins[[#This Row],[Flipper Length (mm)]]+penguins[[#This Row],[Body mass (g)]]*$Z$5+$AA$5*penguins[[#This Row],[Gender]]</f>
        <v>-232.61761255456204</v>
      </c>
      <c r="K204" s="6">
        <f>$V$6+$W$6*penguins[[#This Row],[Culmen Length (mm)]]+penguins[[#This Row],[Culmen Depth (mm)]]*$X$6+$Y$6*penguins[[#This Row],[Flipper Length (mm)]]+penguins[[#This Row],[Body mass (g)]]*$Z$6+$AA$6*penguins[[#This Row],[Gender]]</f>
        <v>-232.70640423643894</v>
      </c>
      <c r="L204" s="6">
        <f>$V$7+$W$7*penguins[[#This Row],[Culmen Length (mm)]]+penguins[[#This Row],[Culmen Depth (mm)]]*$X$7+$Y$7*penguins[[#This Row],[Flipper Length (mm)]]+penguins[[#This Row],[Body mass (g)]]*$Z$7+$AA$7*penguins[[#This Row],[Gender]]</f>
        <v>-232.59600530220723</v>
      </c>
      <c r="M204" s="6">
        <f t="shared" si="35"/>
        <v>0.3404975665019413</v>
      </c>
      <c r="N204" s="6">
        <f t="shared" si="36"/>
        <v>0.31156758994273692</v>
      </c>
      <c r="O204" s="6">
        <f t="shared" si="37"/>
        <v>0.34793484355532178</v>
      </c>
      <c r="P204" s="6">
        <f t="shared" si="38"/>
        <v>-1.0557400479004735</v>
      </c>
    </row>
    <row r="205" spans="1:16" x14ac:dyDescent="0.3">
      <c r="A205">
        <v>457</v>
      </c>
      <c r="B205">
        <v>17</v>
      </c>
      <c r="C205">
        <v>195</v>
      </c>
      <c r="D205">
        <v>3650</v>
      </c>
      <c r="E205">
        <v>0</v>
      </c>
      <c r="F205" s="6" t="s">
        <v>89</v>
      </c>
      <c r="G205" s="6">
        <f t="shared" si="32"/>
        <v>0</v>
      </c>
      <c r="H205" s="6">
        <f t="shared" si="33"/>
        <v>0</v>
      </c>
      <c r="I205" s="6">
        <f t="shared" si="34"/>
        <v>1</v>
      </c>
      <c r="J205" s="6">
        <f>$V$5+$W$5*penguins[[#This Row],[Culmen Length (mm)]]+penguins[[#This Row],[Culmen Depth (mm)]]*$X$5+$Y$5*penguins[[#This Row],[Flipper Length (mm)]]+penguins[[#This Row],[Body mass (g)]]*$Z$5+$AA$5*penguins[[#This Row],[Gender]]</f>
        <v>-235.25023097224565</v>
      </c>
      <c r="K205" s="6">
        <f>$V$6+$W$6*penguins[[#This Row],[Culmen Length (mm)]]+penguins[[#This Row],[Culmen Depth (mm)]]*$X$6+$Y$6*penguins[[#This Row],[Flipper Length (mm)]]+penguins[[#This Row],[Body mass (g)]]*$Z$6+$AA$6*penguins[[#This Row],[Gender]]</f>
        <v>-233.81605393227719</v>
      </c>
      <c r="L205" s="6">
        <f>$V$7+$W$7*penguins[[#This Row],[Culmen Length (mm)]]+penguins[[#This Row],[Culmen Depth (mm)]]*$X$7+$Y$7*penguins[[#This Row],[Flipper Length (mm)]]+penguins[[#This Row],[Body mass (g)]]*$Z$7+$AA$7*penguins[[#This Row],[Gender]]</f>
        <v>-233.36059661208276</v>
      </c>
      <c r="M205" s="6">
        <f t="shared" si="35"/>
        <v>8.4651504630772853E-2</v>
      </c>
      <c r="N205" s="6">
        <f t="shared" si="36"/>
        <v>0.35521382181138089</v>
      </c>
      <c r="O205" s="6">
        <f t="shared" si="37"/>
        <v>0.56013467355784619</v>
      </c>
      <c r="P205" s="6">
        <f t="shared" si="38"/>
        <v>-0.57957803566951127</v>
      </c>
    </row>
    <row r="206" spans="1:16" x14ac:dyDescent="0.3">
      <c r="A206">
        <v>558</v>
      </c>
      <c r="B206">
        <v>198</v>
      </c>
      <c r="C206">
        <v>207</v>
      </c>
      <c r="D206">
        <v>4000</v>
      </c>
      <c r="E206">
        <v>1</v>
      </c>
      <c r="F206" s="6" t="s">
        <v>89</v>
      </c>
      <c r="G206" s="6">
        <f t="shared" si="32"/>
        <v>0</v>
      </c>
      <c r="H206" s="6">
        <f t="shared" si="33"/>
        <v>0</v>
      </c>
      <c r="I206" s="6">
        <f t="shared" si="34"/>
        <v>1</v>
      </c>
      <c r="J206" s="6">
        <f>$V$5+$W$5*penguins[[#This Row],[Culmen Length (mm)]]+penguins[[#This Row],[Culmen Depth (mm)]]*$X$5+$Y$5*penguins[[#This Row],[Flipper Length (mm)]]+penguins[[#This Row],[Body mass (g)]]*$Z$5+$AA$5*penguins[[#This Row],[Gender]]</f>
        <v>-254.22024972722949</v>
      </c>
      <c r="K206" s="6">
        <f>$V$6+$W$6*penguins[[#This Row],[Culmen Length (mm)]]+penguins[[#This Row],[Culmen Depth (mm)]]*$X$6+$Y$6*penguins[[#This Row],[Flipper Length (mm)]]+penguins[[#This Row],[Body mass (g)]]*$Z$6+$AA$6*penguins[[#This Row],[Gender]]</f>
        <v>-254.3917597344076</v>
      </c>
      <c r="L206" s="6">
        <f>$V$7+$W$7*penguins[[#This Row],[Culmen Length (mm)]]+penguins[[#This Row],[Culmen Depth (mm)]]*$X$7+$Y$7*penguins[[#This Row],[Flipper Length (mm)]]+penguins[[#This Row],[Body mass (g)]]*$Z$7+$AA$7*penguins[[#This Row],[Gender]]</f>
        <v>-254.45293806699701</v>
      </c>
      <c r="M206" s="6">
        <f t="shared" si="35"/>
        <v>0.37953655305540651</v>
      </c>
      <c r="N206" s="6">
        <f t="shared" si="36"/>
        <v>0.31971849452134071</v>
      </c>
      <c r="O206" s="6">
        <f t="shared" si="37"/>
        <v>0.30074495242325272</v>
      </c>
      <c r="P206" s="6">
        <f t="shared" si="38"/>
        <v>-1.2014927075657702</v>
      </c>
    </row>
    <row r="207" spans="1:16" x14ac:dyDescent="0.3">
      <c r="A207">
        <v>435</v>
      </c>
      <c r="B207">
        <v>181</v>
      </c>
      <c r="C207">
        <v>202</v>
      </c>
      <c r="D207">
        <v>3400</v>
      </c>
      <c r="E207">
        <v>0</v>
      </c>
      <c r="F207" s="6" t="s">
        <v>89</v>
      </c>
      <c r="G207" s="6">
        <f t="shared" si="32"/>
        <v>0</v>
      </c>
      <c r="H207" s="6">
        <f t="shared" si="33"/>
        <v>0</v>
      </c>
      <c r="I207" s="6">
        <f t="shared" si="34"/>
        <v>1</v>
      </c>
      <c r="J207" s="6">
        <f>$V$5+$W$5*penguins[[#This Row],[Culmen Length (mm)]]+penguins[[#This Row],[Culmen Depth (mm)]]*$X$5+$Y$5*penguins[[#This Row],[Flipper Length (mm)]]+penguins[[#This Row],[Body mass (g)]]*$Z$5+$AA$5*penguins[[#This Row],[Gender]]</f>
        <v>-216.10422185546392</v>
      </c>
      <c r="K207" s="6">
        <f>$V$6+$W$6*penguins[[#This Row],[Culmen Length (mm)]]+penguins[[#This Row],[Culmen Depth (mm)]]*$X$6+$Y$6*penguins[[#This Row],[Flipper Length (mm)]]+penguins[[#This Row],[Body mass (g)]]*$Z$6+$AA$6*penguins[[#This Row],[Gender]]</f>
        <v>-215.77966185012943</v>
      </c>
      <c r="L207" s="6">
        <f>$V$7+$W$7*penguins[[#This Row],[Culmen Length (mm)]]+penguins[[#This Row],[Culmen Depth (mm)]]*$X$7+$Y$7*penguins[[#This Row],[Flipper Length (mm)]]+penguins[[#This Row],[Body mass (g)]]*$Z$7+$AA$7*penguins[[#This Row],[Gender]]</f>
        <v>-216.68727468123291</v>
      </c>
      <c r="M207" s="6">
        <f t="shared" si="35"/>
        <v>0.3399494852142172</v>
      </c>
      <c r="N207" s="6">
        <f t="shared" si="36"/>
        <v>0.47029353344592939</v>
      </c>
      <c r="O207" s="6">
        <f t="shared" si="37"/>
        <v>0.18975698133985336</v>
      </c>
      <c r="P207" s="6">
        <f t="shared" si="38"/>
        <v>-1.6620110710783254</v>
      </c>
    </row>
    <row r="208" spans="1:16" x14ac:dyDescent="0.3">
      <c r="A208">
        <v>496</v>
      </c>
      <c r="B208">
        <v>182</v>
      </c>
      <c r="C208">
        <v>193</v>
      </c>
      <c r="D208">
        <v>3775</v>
      </c>
      <c r="E208">
        <v>1</v>
      </c>
      <c r="F208" s="6" t="s">
        <v>89</v>
      </c>
      <c r="G208" s="6">
        <f t="shared" si="32"/>
        <v>0</v>
      </c>
      <c r="H208" s="6">
        <f t="shared" si="33"/>
        <v>0</v>
      </c>
      <c r="I208" s="6">
        <f t="shared" si="34"/>
        <v>1</v>
      </c>
      <c r="J208" s="6">
        <f>$V$5+$W$5*penguins[[#This Row],[Culmen Length (mm)]]+penguins[[#This Row],[Culmen Depth (mm)]]*$X$5+$Y$5*penguins[[#This Row],[Flipper Length (mm)]]+penguins[[#This Row],[Body mass (g)]]*$Z$5+$AA$5*penguins[[#This Row],[Gender]]</f>
        <v>-240.27021608877095</v>
      </c>
      <c r="K208" s="6">
        <f>$V$6+$W$6*penguins[[#This Row],[Culmen Length (mm)]]+penguins[[#This Row],[Culmen Depth (mm)]]*$X$6+$Y$6*penguins[[#This Row],[Flipper Length (mm)]]+penguins[[#This Row],[Body mass (g)]]*$Z$6+$AA$6*penguins[[#This Row],[Gender]]</f>
        <v>-240.45632998515055</v>
      </c>
      <c r="L208" s="6">
        <f>$V$7+$W$7*penguins[[#This Row],[Culmen Length (mm)]]+penguins[[#This Row],[Culmen Depth (mm)]]*$X$7+$Y$7*penguins[[#This Row],[Flipper Length (mm)]]+penguins[[#This Row],[Body mass (g)]]*$Z$7+$AA$7*penguins[[#This Row],[Gender]]</f>
        <v>-240.47181377932748</v>
      </c>
      <c r="M208" s="6">
        <f t="shared" si="35"/>
        <v>0.37770016607625195</v>
      </c>
      <c r="N208" s="6">
        <f t="shared" si="36"/>
        <v>0.31355875947202877</v>
      </c>
      <c r="O208" s="6">
        <f t="shared" si="37"/>
        <v>0.30874107445171928</v>
      </c>
      <c r="P208" s="6">
        <f t="shared" si="38"/>
        <v>-1.1752523001162125</v>
      </c>
    </row>
    <row r="209" spans="1:16" x14ac:dyDescent="0.3">
      <c r="A209">
        <v>508</v>
      </c>
      <c r="B209">
        <v>19</v>
      </c>
      <c r="C209">
        <v>210</v>
      </c>
      <c r="D209">
        <v>4100</v>
      </c>
      <c r="E209">
        <v>1</v>
      </c>
      <c r="F209" s="6" t="s">
        <v>89</v>
      </c>
      <c r="G209" s="6">
        <f t="shared" si="32"/>
        <v>0</v>
      </c>
      <c r="H209" s="6">
        <f t="shared" si="33"/>
        <v>0</v>
      </c>
      <c r="I209" s="6">
        <f t="shared" si="34"/>
        <v>1</v>
      </c>
      <c r="J209" s="6">
        <f>$V$5+$W$5*penguins[[#This Row],[Culmen Length (mm)]]+penguins[[#This Row],[Culmen Depth (mm)]]*$X$5+$Y$5*penguins[[#This Row],[Flipper Length (mm)]]+penguins[[#This Row],[Body mass (g)]]*$Z$5+$AA$5*penguins[[#This Row],[Gender]]</f>
        <v>-264.31808315427605</v>
      </c>
      <c r="K209" s="6">
        <f>$V$6+$W$6*penguins[[#This Row],[Culmen Length (mm)]]+penguins[[#This Row],[Culmen Depth (mm)]]*$X$6+$Y$6*penguins[[#This Row],[Flipper Length (mm)]]+penguins[[#This Row],[Body mass (g)]]*$Z$6+$AA$6*penguins[[#This Row],[Gender]]</f>
        <v>-262.86630623501088</v>
      </c>
      <c r="L209" s="6">
        <f>$V$7+$W$7*penguins[[#This Row],[Culmen Length (mm)]]+penguins[[#This Row],[Culmen Depth (mm)]]*$X$7+$Y$7*penguins[[#This Row],[Flipper Length (mm)]]+penguins[[#This Row],[Body mass (g)]]*$Z$7+$AA$7*penguins[[#This Row],[Gender]]</f>
        <v>-262.23292395966183</v>
      </c>
      <c r="M209" s="6">
        <f t="shared" si="35"/>
        <v>7.5094419786532932E-2</v>
      </c>
      <c r="N209" s="6">
        <f t="shared" si="36"/>
        <v>0.32070547272836347</v>
      </c>
      <c r="O209" s="6">
        <f t="shared" si="37"/>
        <v>0.60420010748510367</v>
      </c>
      <c r="P209" s="6">
        <f t="shared" si="38"/>
        <v>-0.50384983213301782</v>
      </c>
    </row>
    <row r="210" spans="1:16" x14ac:dyDescent="0.3">
      <c r="A210">
        <v>502</v>
      </c>
      <c r="B210">
        <v>187</v>
      </c>
      <c r="C210">
        <v>198</v>
      </c>
      <c r="D210">
        <v>3775</v>
      </c>
      <c r="E210">
        <v>0</v>
      </c>
      <c r="F210" s="6" t="s">
        <v>89</v>
      </c>
      <c r="G210" s="6">
        <f t="shared" si="32"/>
        <v>0</v>
      </c>
      <c r="H210" s="6">
        <f t="shared" si="33"/>
        <v>0</v>
      </c>
      <c r="I210" s="6">
        <f t="shared" si="34"/>
        <v>1</v>
      </c>
      <c r="J210" s="6">
        <f>$V$5+$W$5*penguins[[#This Row],[Culmen Length (mm)]]+penguins[[#This Row],[Culmen Depth (mm)]]*$X$5+$Y$5*penguins[[#This Row],[Flipper Length (mm)]]+penguins[[#This Row],[Body mass (g)]]*$Z$5+$AA$5*penguins[[#This Row],[Gender]]</f>
        <v>-240.13887763871594</v>
      </c>
      <c r="K210" s="6">
        <f>$V$6+$W$6*penguins[[#This Row],[Culmen Length (mm)]]+penguins[[#This Row],[Culmen Depth (mm)]]*$X$6+$Y$6*penguins[[#This Row],[Flipper Length (mm)]]+penguins[[#This Row],[Body mass (g)]]*$Z$6+$AA$6*penguins[[#This Row],[Gender]]</f>
        <v>-240.3101496138747</v>
      </c>
      <c r="L210" s="6">
        <f>$V$7+$W$7*penguins[[#This Row],[Culmen Length (mm)]]+penguins[[#This Row],[Culmen Depth (mm)]]*$X$7+$Y$7*penguins[[#This Row],[Flipper Length (mm)]]+penguins[[#This Row],[Body mass (g)]]*$Z$7+$AA$7*penguins[[#This Row],[Gender]]</f>
        <v>-240.31863797094363</v>
      </c>
      <c r="M210" s="6">
        <f t="shared" si="35"/>
        <v>0.37340423819704244</v>
      </c>
      <c r="N210" s="6">
        <f t="shared" si="36"/>
        <v>0.31462756505861367</v>
      </c>
      <c r="O210" s="6">
        <f t="shared" si="37"/>
        <v>0.31196819674434395</v>
      </c>
      <c r="P210" s="6">
        <f t="shared" si="38"/>
        <v>-1.1648540298799464</v>
      </c>
    </row>
    <row r="211" spans="1:16" x14ac:dyDescent="0.3">
      <c r="A211">
        <v>461</v>
      </c>
      <c r="B211">
        <v>132</v>
      </c>
      <c r="C211">
        <v>211</v>
      </c>
      <c r="D211">
        <v>4500</v>
      </c>
      <c r="E211">
        <v>0</v>
      </c>
      <c r="F211" s="6" t="s">
        <v>89</v>
      </c>
      <c r="G211" s="6">
        <f t="shared" si="32"/>
        <v>0</v>
      </c>
      <c r="H211" s="6">
        <f t="shared" si="33"/>
        <v>0</v>
      </c>
      <c r="I211" s="6">
        <f t="shared" si="34"/>
        <v>1</v>
      </c>
      <c r="J211" s="6">
        <f>$V$5+$W$5*penguins[[#This Row],[Culmen Length (mm)]]+penguins[[#This Row],[Culmen Depth (mm)]]*$X$5+$Y$5*penguins[[#This Row],[Flipper Length (mm)]]+penguins[[#This Row],[Body mass (g)]]*$Z$5+$AA$5*penguins[[#This Row],[Gender]]</f>
        <v>-289.11785832274921</v>
      </c>
      <c r="K211" s="6">
        <f>$V$6+$W$6*penguins[[#This Row],[Culmen Length (mm)]]+penguins[[#This Row],[Culmen Depth (mm)]]*$X$6+$Y$6*penguins[[#This Row],[Flipper Length (mm)]]+penguins[[#This Row],[Body mass (g)]]*$Z$6+$AA$6*penguins[[#This Row],[Gender]]</f>
        <v>-289.161284279222</v>
      </c>
      <c r="L211" s="6">
        <f>$V$7+$W$7*penguins[[#This Row],[Culmen Length (mm)]]+penguins[[#This Row],[Culmen Depth (mm)]]*$X$7+$Y$7*penguins[[#This Row],[Flipper Length (mm)]]+penguins[[#This Row],[Body mass (g)]]*$Z$7+$AA$7*penguins[[#This Row],[Gender]]</f>
        <v>-288.14307801631429</v>
      </c>
      <c r="M211" s="6">
        <f t="shared" si="35"/>
        <v>0.21700973146748909</v>
      </c>
      <c r="N211" s="6">
        <f t="shared" si="36"/>
        <v>0.20778756621624861</v>
      </c>
      <c r="O211" s="6">
        <f t="shared" si="37"/>
        <v>0.57520270231626225</v>
      </c>
      <c r="P211" s="6">
        <f t="shared" si="38"/>
        <v>-0.5530327745399829</v>
      </c>
    </row>
    <row r="212" spans="1:16" x14ac:dyDescent="0.3">
      <c r="A212">
        <v>50</v>
      </c>
      <c r="B212">
        <v>163</v>
      </c>
      <c r="C212">
        <v>230</v>
      </c>
      <c r="D212">
        <v>5700</v>
      </c>
      <c r="E212">
        <v>1</v>
      </c>
      <c r="F212" s="6" t="s">
        <v>89</v>
      </c>
      <c r="G212" s="6">
        <f t="shared" si="32"/>
        <v>0</v>
      </c>
      <c r="H212" s="6">
        <f t="shared" si="33"/>
        <v>0</v>
      </c>
      <c r="I212" s="6">
        <f t="shared" si="34"/>
        <v>1</v>
      </c>
      <c r="J212" s="6">
        <f>$V$5+$W$5*penguins[[#This Row],[Culmen Length (mm)]]+penguins[[#This Row],[Culmen Depth (mm)]]*$X$5+$Y$5*penguins[[#This Row],[Flipper Length (mm)]]+penguins[[#This Row],[Body mass (g)]]*$Z$5+$AA$5*penguins[[#This Row],[Gender]]</f>
        <v>-370.96638755492125</v>
      </c>
      <c r="K212" s="6">
        <f>$V$6+$W$6*penguins[[#This Row],[Culmen Length (mm)]]+penguins[[#This Row],[Culmen Depth (mm)]]*$X$6+$Y$6*penguins[[#This Row],[Flipper Length (mm)]]+penguins[[#This Row],[Body mass (g)]]*$Z$6+$AA$6*penguins[[#This Row],[Gender]]</f>
        <v>-372.0505761485017</v>
      </c>
      <c r="L212" s="6">
        <f>$V$7+$W$7*penguins[[#This Row],[Culmen Length (mm)]]+penguins[[#This Row],[Culmen Depth (mm)]]*$X$7+$Y$7*penguins[[#This Row],[Flipper Length (mm)]]+penguins[[#This Row],[Body mass (g)]]*$Z$7+$AA$7*penguins[[#This Row],[Gender]]</f>
        <v>-370.40553578417126</v>
      </c>
      <c r="M212" s="6">
        <f t="shared" si="35"/>
        <v>0.32358895041739533</v>
      </c>
      <c r="N212" s="6">
        <f t="shared" si="36"/>
        <v>0.10943004046560457</v>
      </c>
      <c r="O212" s="6">
        <f t="shared" si="37"/>
        <v>0.56698100911700011</v>
      </c>
      <c r="P212" s="6">
        <f t="shared" si="38"/>
        <v>-0.56742946943611994</v>
      </c>
    </row>
    <row r="213" spans="1:16" x14ac:dyDescent="0.3">
      <c r="A213">
        <v>487</v>
      </c>
      <c r="B213">
        <v>141</v>
      </c>
      <c r="C213">
        <v>210</v>
      </c>
      <c r="D213">
        <v>4450</v>
      </c>
      <c r="E213">
        <v>0</v>
      </c>
      <c r="F213" s="6" t="s">
        <v>89</v>
      </c>
      <c r="G213" s="6">
        <f t="shared" si="32"/>
        <v>0</v>
      </c>
      <c r="H213" s="6">
        <f t="shared" si="33"/>
        <v>0</v>
      </c>
      <c r="I213" s="6">
        <f t="shared" si="34"/>
        <v>1</v>
      </c>
      <c r="J213" s="6">
        <f>$V$5+$W$5*penguins[[#This Row],[Culmen Length (mm)]]+penguins[[#This Row],[Culmen Depth (mm)]]*$X$5+$Y$5*penguins[[#This Row],[Flipper Length (mm)]]+penguins[[#This Row],[Body mass (g)]]*$Z$5+$AA$5*penguins[[#This Row],[Gender]]</f>
        <v>-285.45354822635352</v>
      </c>
      <c r="K213" s="6">
        <f>$V$6+$W$6*penguins[[#This Row],[Culmen Length (mm)]]+penguins[[#This Row],[Culmen Depth (mm)]]*$X$6+$Y$6*penguins[[#This Row],[Flipper Length (mm)]]+penguins[[#This Row],[Body mass (g)]]*$Z$6+$AA$6*penguins[[#This Row],[Gender]]</f>
        <v>-285.54837244546582</v>
      </c>
      <c r="L213" s="6">
        <f>$V$7+$W$7*penguins[[#This Row],[Culmen Length (mm)]]+penguins[[#This Row],[Culmen Depth (mm)]]*$X$7+$Y$7*penguins[[#This Row],[Flipper Length (mm)]]+penguins[[#This Row],[Body mass (g)]]*$Z$7+$AA$7*penguins[[#This Row],[Gender]]</f>
        <v>-284.58368499713407</v>
      </c>
      <c r="M213" s="6">
        <f t="shared" si="35"/>
        <v>0.23276832310068968</v>
      </c>
      <c r="N213" s="6">
        <f t="shared" si="36"/>
        <v>0.21171042440504129</v>
      </c>
      <c r="O213" s="6">
        <f t="shared" si="37"/>
        <v>0.55552125249426898</v>
      </c>
      <c r="P213" s="6">
        <f t="shared" si="38"/>
        <v>-0.58784841231876739</v>
      </c>
    </row>
    <row r="214" spans="1:16" x14ac:dyDescent="0.3">
      <c r="A214">
        <v>50</v>
      </c>
      <c r="B214">
        <v>152</v>
      </c>
      <c r="C214">
        <v>218</v>
      </c>
      <c r="D214">
        <v>5700</v>
      </c>
      <c r="E214">
        <v>1</v>
      </c>
      <c r="F214" s="6" t="s">
        <v>89</v>
      </c>
      <c r="G214" s="6">
        <f t="shared" si="32"/>
        <v>0</v>
      </c>
      <c r="H214" s="6">
        <f t="shared" si="33"/>
        <v>0</v>
      </c>
      <c r="I214" s="6">
        <f t="shared" si="34"/>
        <v>1</v>
      </c>
      <c r="J214" s="6">
        <f>$V$5+$W$5*penguins[[#This Row],[Culmen Length (mm)]]+penguins[[#This Row],[Culmen Depth (mm)]]*$X$5+$Y$5*penguins[[#This Row],[Flipper Length (mm)]]+penguins[[#This Row],[Body mass (g)]]*$Z$5+$AA$5*penguins[[#This Row],[Gender]]</f>
        <v>-371.20887524507668</v>
      </c>
      <c r="K214" s="6">
        <f>$V$6+$W$6*penguins[[#This Row],[Culmen Length (mm)]]+penguins[[#This Row],[Culmen Depth (mm)]]*$X$6+$Y$6*penguins[[#This Row],[Flipper Length (mm)]]+penguins[[#This Row],[Body mass (g)]]*$Z$6+$AA$6*penguins[[#This Row],[Gender]]</f>
        <v>-372.4977758854709</v>
      </c>
      <c r="L214" s="6">
        <f>$V$7+$W$7*penguins[[#This Row],[Culmen Length (mm)]]+penguins[[#This Row],[Culmen Depth (mm)]]*$X$7+$Y$7*penguins[[#This Row],[Flipper Length (mm)]]+penguins[[#This Row],[Body mass (g)]]*$Z$7+$AA$7*penguins[[#This Row],[Gender]]</f>
        <v>-370.39393449793766</v>
      </c>
      <c r="M214" s="6">
        <f t="shared" si="35"/>
        <v>0.28291621326302546</v>
      </c>
      <c r="N214" s="6">
        <f t="shared" si="36"/>
        <v>7.7964231203986836E-2</v>
      </c>
      <c r="O214" s="6">
        <f t="shared" si="37"/>
        <v>0.63911955553298783</v>
      </c>
      <c r="P214" s="6">
        <f t="shared" si="38"/>
        <v>-0.44766374424452332</v>
      </c>
    </row>
    <row r="215" spans="1:16" x14ac:dyDescent="0.3">
      <c r="A215">
        <v>476</v>
      </c>
      <c r="B215">
        <v>145</v>
      </c>
      <c r="C215">
        <v>215</v>
      </c>
      <c r="D215">
        <v>5400</v>
      </c>
      <c r="E215">
        <v>1</v>
      </c>
      <c r="F215" s="6" t="s">
        <v>89</v>
      </c>
      <c r="G215" s="6">
        <f t="shared" si="32"/>
        <v>0</v>
      </c>
      <c r="H215" s="6">
        <f t="shared" si="33"/>
        <v>0</v>
      </c>
      <c r="I215" s="6">
        <f t="shared" si="34"/>
        <v>1</v>
      </c>
      <c r="J215" s="6">
        <f>$V$5+$W$5*penguins[[#This Row],[Culmen Length (mm)]]+penguins[[#This Row],[Culmen Depth (mm)]]*$X$5+$Y$5*penguins[[#This Row],[Flipper Length (mm)]]+penguins[[#This Row],[Body mass (g)]]*$Z$5+$AA$5*penguins[[#This Row],[Gender]]</f>
        <v>-347.97602221683434</v>
      </c>
      <c r="K215" s="6">
        <f>$V$6+$W$6*penguins[[#This Row],[Culmen Length (mm)]]+penguins[[#This Row],[Culmen Depth (mm)]]*$X$6+$Y$6*penguins[[#This Row],[Flipper Length (mm)]]+penguins[[#This Row],[Body mass (g)]]*$Z$6+$AA$6*penguins[[#This Row],[Gender]]</f>
        <v>-348.83275870046049</v>
      </c>
      <c r="L215" s="6">
        <f>$V$7+$W$7*penguins[[#This Row],[Culmen Length (mm)]]+penguins[[#This Row],[Culmen Depth (mm)]]*$X$7+$Y$7*penguins[[#This Row],[Flipper Length (mm)]]+penguins[[#This Row],[Body mass (g)]]*$Z$7+$AA$7*penguins[[#This Row],[Gender]]</f>
        <v>-346.52652689540537</v>
      </c>
      <c r="M215" s="6">
        <f t="shared" si="35"/>
        <v>0.17588575083396274</v>
      </c>
      <c r="N215" s="6">
        <f t="shared" si="36"/>
        <v>7.4671474940537511E-2</v>
      </c>
      <c r="O215" s="6">
        <f t="shared" si="37"/>
        <v>0.74944277422549976</v>
      </c>
      <c r="P215" s="6">
        <f t="shared" si="38"/>
        <v>-0.28842531628839824</v>
      </c>
    </row>
    <row r="216" spans="1:16" x14ac:dyDescent="0.3">
      <c r="A216">
        <v>465</v>
      </c>
      <c r="B216">
        <v>135</v>
      </c>
      <c r="C216">
        <v>210</v>
      </c>
      <c r="D216">
        <v>4550</v>
      </c>
      <c r="E216">
        <v>0</v>
      </c>
      <c r="F216" s="6" t="s">
        <v>89</v>
      </c>
      <c r="G216" s="6">
        <f t="shared" si="32"/>
        <v>0</v>
      </c>
      <c r="H216" s="6">
        <f t="shared" si="33"/>
        <v>0</v>
      </c>
      <c r="I216" s="6">
        <f t="shared" si="34"/>
        <v>1</v>
      </c>
      <c r="J216" s="6">
        <f>$V$5+$W$5*penguins[[#This Row],[Culmen Length (mm)]]+penguins[[#This Row],[Culmen Depth (mm)]]*$X$5+$Y$5*penguins[[#This Row],[Flipper Length (mm)]]+penguins[[#This Row],[Body mass (g)]]*$Z$5+$AA$5*penguins[[#This Row],[Gender]]</f>
        <v>-292.32822950666326</v>
      </c>
      <c r="K216" s="6">
        <f>$V$6+$W$6*penguins[[#This Row],[Culmen Length (mm)]]+penguins[[#This Row],[Culmen Depth (mm)]]*$X$6+$Y$6*penguins[[#This Row],[Flipper Length (mm)]]+penguins[[#This Row],[Body mass (g)]]*$Z$6+$AA$6*penguins[[#This Row],[Gender]]</f>
        <v>-292.47190080364135</v>
      </c>
      <c r="L216" s="6">
        <f>$V$7+$W$7*penguins[[#This Row],[Culmen Length (mm)]]+penguins[[#This Row],[Culmen Depth (mm)]]*$X$7+$Y$7*penguins[[#This Row],[Flipper Length (mm)]]+penguins[[#This Row],[Body mass (g)]]*$Z$7+$AA$7*penguins[[#This Row],[Gender]]</f>
        <v>-291.3332576040886</v>
      </c>
      <c r="M216" s="6">
        <f t="shared" si="35"/>
        <v>0.2187790885310453</v>
      </c>
      <c r="N216" s="6">
        <f t="shared" si="36"/>
        <v>0.18950041141224927</v>
      </c>
      <c r="O216" s="6">
        <f t="shared" si="37"/>
        <v>0.5917205000567054</v>
      </c>
      <c r="P216" s="6">
        <f t="shared" si="38"/>
        <v>-0.52472088386837357</v>
      </c>
    </row>
    <row r="217" spans="1:16" x14ac:dyDescent="0.3">
      <c r="A217">
        <v>454</v>
      </c>
      <c r="B217">
        <v>146</v>
      </c>
      <c r="C217">
        <v>211</v>
      </c>
      <c r="D217">
        <v>4800</v>
      </c>
      <c r="E217">
        <v>0</v>
      </c>
      <c r="F217" s="6" t="s">
        <v>89</v>
      </c>
      <c r="G217" s="6">
        <f t="shared" si="32"/>
        <v>0</v>
      </c>
      <c r="H217" s="6">
        <f t="shared" si="33"/>
        <v>0</v>
      </c>
      <c r="I217" s="6">
        <f t="shared" si="34"/>
        <v>1</v>
      </c>
      <c r="J217" s="6">
        <f>$V$5+$W$5*penguins[[#This Row],[Culmen Length (mm)]]+penguins[[#This Row],[Culmen Depth (mm)]]*$X$5+$Y$5*penguins[[#This Row],[Flipper Length (mm)]]+penguins[[#This Row],[Body mass (g)]]*$Z$5+$AA$5*penguins[[#This Row],[Gender]]</f>
        <v>-308.68657466381296</v>
      </c>
      <c r="K217" s="6">
        <f>$V$6+$W$6*penguins[[#This Row],[Culmen Length (mm)]]+penguins[[#This Row],[Culmen Depth (mm)]]*$X$6+$Y$6*penguins[[#This Row],[Flipper Length (mm)]]+penguins[[#This Row],[Body mass (g)]]*$Z$6+$AA$6*penguins[[#This Row],[Gender]]</f>
        <v>-309.1521702256581</v>
      </c>
      <c r="L217" s="6">
        <f>$V$7+$W$7*penguins[[#This Row],[Culmen Length (mm)]]+penguins[[#This Row],[Culmen Depth (mm)]]*$X$7+$Y$7*penguins[[#This Row],[Flipper Length (mm)]]+penguins[[#This Row],[Body mass (g)]]*$Z$7+$AA$7*penguins[[#This Row],[Gender]]</f>
        <v>-307.64931865667751</v>
      </c>
      <c r="M217" s="6">
        <f t="shared" si="35"/>
        <v>0.22475822279897559</v>
      </c>
      <c r="N217" s="6">
        <f t="shared" si="36"/>
        <v>0.14109447440691145</v>
      </c>
      <c r="O217" s="6">
        <f t="shared" si="37"/>
        <v>0.63414730279411291</v>
      </c>
      <c r="P217" s="6">
        <f t="shared" si="38"/>
        <v>-0.45547401273941213</v>
      </c>
    </row>
    <row r="218" spans="1:16" x14ac:dyDescent="0.3">
      <c r="A218">
        <v>467</v>
      </c>
      <c r="B218">
        <v>153</v>
      </c>
      <c r="C218">
        <v>219</v>
      </c>
      <c r="D218">
        <v>5200</v>
      </c>
      <c r="E218">
        <v>1</v>
      </c>
      <c r="F218" s="6" t="s">
        <v>89</v>
      </c>
      <c r="G218" s="6">
        <f t="shared" si="32"/>
        <v>0</v>
      </c>
      <c r="H218" s="6">
        <f t="shared" si="33"/>
        <v>0</v>
      </c>
      <c r="I218" s="6">
        <f t="shared" si="34"/>
        <v>1</v>
      </c>
      <c r="J218" s="6">
        <f>$V$5+$W$5*penguins[[#This Row],[Culmen Length (mm)]]+penguins[[#This Row],[Culmen Depth (mm)]]*$X$5+$Y$5*penguins[[#This Row],[Flipper Length (mm)]]+penguins[[#This Row],[Body mass (g)]]*$Z$5+$AA$5*penguins[[#This Row],[Gender]]</f>
        <v>-334.72848662566281</v>
      </c>
      <c r="K218" s="6">
        <f>$V$6+$W$6*penguins[[#This Row],[Culmen Length (mm)]]+penguins[[#This Row],[Culmen Depth (mm)]]*$X$6+$Y$6*penguins[[#This Row],[Flipper Length (mm)]]+penguins[[#This Row],[Body mass (g)]]*$Z$6+$AA$6*penguins[[#This Row],[Gender]]</f>
        <v>-335.36732293325048</v>
      </c>
      <c r="L218" s="6">
        <f>$V$7+$W$7*penguins[[#This Row],[Culmen Length (mm)]]+penguins[[#This Row],[Culmen Depth (mm)]]*$X$7+$Y$7*penguins[[#This Row],[Flipper Length (mm)]]+penguins[[#This Row],[Body mass (g)]]*$Z$7+$AA$7*penguins[[#This Row],[Gender]]</f>
        <v>-333.60958467985188</v>
      </c>
      <c r="M218" s="6">
        <f t="shared" si="35"/>
        <v>0.21789354604877453</v>
      </c>
      <c r="N218" s="6">
        <f t="shared" si="36"/>
        <v>0.11502739473215594</v>
      </c>
      <c r="O218" s="6">
        <f t="shared" si="37"/>
        <v>0.66707905921906963</v>
      </c>
      <c r="P218" s="6">
        <f t="shared" si="38"/>
        <v>-0.40484671052676452</v>
      </c>
    </row>
    <row r="219" spans="1:16" x14ac:dyDescent="0.3">
      <c r="A219">
        <v>433</v>
      </c>
      <c r="B219">
        <v>134</v>
      </c>
      <c r="C219">
        <v>209</v>
      </c>
      <c r="D219">
        <v>4400</v>
      </c>
      <c r="E219">
        <v>0</v>
      </c>
      <c r="F219" s="6" t="s">
        <v>89</v>
      </c>
      <c r="G219" s="6">
        <f t="shared" si="32"/>
        <v>0</v>
      </c>
      <c r="H219" s="6">
        <f t="shared" si="33"/>
        <v>0</v>
      </c>
      <c r="I219" s="6">
        <f t="shared" si="34"/>
        <v>1</v>
      </c>
      <c r="J219" s="6">
        <f>$V$5+$W$5*penguins[[#This Row],[Culmen Length (mm)]]+penguins[[#This Row],[Culmen Depth (mm)]]*$X$5+$Y$5*penguins[[#This Row],[Flipper Length (mm)]]+penguins[[#This Row],[Body mass (g)]]*$Z$5+$AA$5*penguins[[#This Row],[Gender]]</f>
        <v>-282.74546107691043</v>
      </c>
      <c r="K219" s="6">
        <f>$V$6+$W$6*penguins[[#This Row],[Culmen Length (mm)]]+penguins[[#This Row],[Culmen Depth (mm)]]*$X$6+$Y$6*penguins[[#This Row],[Flipper Length (mm)]]+penguins[[#This Row],[Body mass (g)]]*$Z$6+$AA$6*penguins[[#This Row],[Gender]]</f>
        <v>-282.77214818141056</v>
      </c>
      <c r="L219" s="6">
        <f>$V$7+$W$7*penguins[[#This Row],[Culmen Length (mm)]]+penguins[[#This Row],[Culmen Depth (mm)]]*$X$7+$Y$7*penguins[[#This Row],[Flipper Length (mm)]]+penguins[[#This Row],[Body mass (g)]]*$Z$7+$AA$7*penguins[[#This Row],[Gender]]</f>
        <v>-281.91586967630462</v>
      </c>
      <c r="M219" s="6">
        <f t="shared" si="35"/>
        <v>0.23440900399872722</v>
      </c>
      <c r="N219" s="6">
        <f t="shared" si="36"/>
        <v>0.2282360420157408</v>
      </c>
      <c r="O219" s="6">
        <f t="shared" si="37"/>
        <v>0.53735495398553201</v>
      </c>
      <c r="P219" s="6">
        <f t="shared" si="38"/>
        <v>-0.62109640844737812</v>
      </c>
    </row>
    <row r="220" spans="1:16" x14ac:dyDescent="0.3">
      <c r="A220">
        <v>468</v>
      </c>
      <c r="B220">
        <v>154</v>
      </c>
      <c r="C220">
        <v>215</v>
      </c>
      <c r="D220">
        <v>5150</v>
      </c>
      <c r="E220">
        <v>1</v>
      </c>
      <c r="F220" s="6" t="s">
        <v>89</v>
      </c>
      <c r="G220" s="6">
        <f t="shared" si="32"/>
        <v>0</v>
      </c>
      <c r="H220" s="6">
        <f t="shared" si="33"/>
        <v>0</v>
      </c>
      <c r="I220" s="6">
        <f t="shared" si="34"/>
        <v>1</v>
      </c>
      <c r="J220" s="6">
        <f>$V$5+$W$5*penguins[[#This Row],[Culmen Length (mm)]]+penguins[[#This Row],[Culmen Depth (mm)]]*$X$5+$Y$5*penguins[[#This Row],[Flipper Length (mm)]]+penguins[[#This Row],[Body mass (g)]]*$Z$5+$AA$5*penguins[[#This Row],[Gender]]</f>
        <v>-331.42795120535845</v>
      </c>
      <c r="K220" s="6">
        <f>$V$6+$W$6*penguins[[#This Row],[Culmen Length (mm)]]+penguins[[#This Row],[Culmen Depth (mm)]]*$X$6+$Y$6*penguins[[#This Row],[Flipper Length (mm)]]+penguins[[#This Row],[Body mass (g)]]*$Z$6+$AA$6*penguins[[#This Row],[Gender]]</f>
        <v>-332.12968879587009</v>
      </c>
      <c r="L220" s="6">
        <f>$V$7+$W$7*penguins[[#This Row],[Culmen Length (mm)]]+penguins[[#This Row],[Culmen Depth (mm)]]*$X$7+$Y$7*penguins[[#This Row],[Flipper Length (mm)]]+penguins[[#This Row],[Body mass (g)]]*$Z$7+$AA$7*penguins[[#This Row],[Gender]]</f>
        <v>-330.32696059049113</v>
      </c>
      <c r="M220" s="6">
        <f t="shared" si="35"/>
        <v>0.22208074883585821</v>
      </c>
      <c r="N220" s="6">
        <f t="shared" si="36"/>
        <v>0.11009057749382326</v>
      </c>
      <c r="O220" s="6">
        <f t="shared" si="37"/>
        <v>0.6678286736703184</v>
      </c>
      <c r="P220" s="6">
        <f t="shared" si="38"/>
        <v>-0.40372361488266378</v>
      </c>
    </row>
    <row r="221" spans="1:16" x14ac:dyDescent="0.3">
      <c r="A221">
        <v>409</v>
      </c>
      <c r="B221">
        <v>137</v>
      </c>
      <c r="C221">
        <v>214</v>
      </c>
      <c r="D221">
        <v>4650</v>
      </c>
      <c r="E221">
        <v>0</v>
      </c>
      <c r="F221" s="6" t="s">
        <v>89</v>
      </c>
      <c r="G221" s="6">
        <f t="shared" si="32"/>
        <v>0</v>
      </c>
      <c r="H221" s="6">
        <f t="shared" si="33"/>
        <v>0</v>
      </c>
      <c r="I221" s="6">
        <f t="shared" si="34"/>
        <v>1</v>
      </c>
      <c r="J221" s="6">
        <f>$V$5+$W$5*penguins[[#This Row],[Culmen Length (mm)]]+penguins[[#This Row],[Culmen Depth (mm)]]*$X$5+$Y$5*penguins[[#This Row],[Flipper Length (mm)]]+penguins[[#This Row],[Body mass (g)]]*$Z$5+$AA$5*penguins[[#This Row],[Gender]]</f>
        <v>-299.33550969626225</v>
      </c>
      <c r="K221" s="6">
        <f>$V$6+$W$6*penguins[[#This Row],[Culmen Length (mm)]]+penguins[[#This Row],[Culmen Depth (mm)]]*$X$6+$Y$6*penguins[[#This Row],[Flipper Length (mm)]]+penguins[[#This Row],[Body mass (g)]]*$Z$6+$AA$6*penguins[[#This Row],[Gender]]</f>
        <v>-299.51231380461076</v>
      </c>
      <c r="L221" s="6">
        <f>$V$7+$W$7*penguins[[#This Row],[Culmen Length (mm)]]+penguins[[#This Row],[Culmen Depth (mm)]]*$X$7+$Y$7*penguins[[#This Row],[Flipper Length (mm)]]+penguins[[#This Row],[Body mass (g)]]*$Z$7+$AA$7*penguins[[#This Row],[Gender]]</f>
        <v>-298.41880346894504</v>
      </c>
      <c r="M221" s="6">
        <f t="shared" si="35"/>
        <v>0.23046875965382907</v>
      </c>
      <c r="N221" s="6">
        <f t="shared" si="36"/>
        <v>0.19311989467206528</v>
      </c>
      <c r="O221" s="6">
        <f t="shared" si="37"/>
        <v>0.57641134567410557</v>
      </c>
      <c r="P221" s="6">
        <f t="shared" si="38"/>
        <v>-0.55093373136883683</v>
      </c>
    </row>
    <row r="222" spans="1:16" x14ac:dyDescent="0.3">
      <c r="A222">
        <v>49</v>
      </c>
      <c r="B222">
        <v>161</v>
      </c>
      <c r="C222">
        <v>216</v>
      </c>
      <c r="D222">
        <v>5550</v>
      </c>
      <c r="E222">
        <v>1</v>
      </c>
      <c r="F222" s="6" t="s">
        <v>89</v>
      </c>
      <c r="G222" s="6">
        <f t="shared" si="32"/>
        <v>0</v>
      </c>
      <c r="H222" s="6">
        <f t="shared" si="33"/>
        <v>0</v>
      </c>
      <c r="I222" s="6">
        <f t="shared" si="34"/>
        <v>1</v>
      </c>
      <c r="J222" s="6">
        <f>$V$5+$W$5*penguins[[#This Row],[Culmen Length (mm)]]+penguins[[#This Row],[Culmen Depth (mm)]]*$X$5+$Y$5*penguins[[#This Row],[Flipper Length (mm)]]+penguins[[#This Row],[Body mass (g)]]*$Z$5+$AA$5*penguins[[#This Row],[Gender]]</f>
        <v>-361.1940269052771</v>
      </c>
      <c r="K222" s="6">
        <f>$V$6+$W$6*penguins[[#This Row],[Culmen Length (mm)]]+penguins[[#This Row],[Culmen Depth (mm)]]*$X$6+$Y$6*penguins[[#This Row],[Flipper Length (mm)]]+penguins[[#This Row],[Body mass (g)]]*$Z$6+$AA$6*penguins[[#This Row],[Gender]]</f>
        <v>-362.47309682550531</v>
      </c>
      <c r="L222" s="6">
        <f>$V$7+$W$7*penguins[[#This Row],[Culmen Length (mm)]]+penguins[[#This Row],[Culmen Depth (mm)]]*$X$7+$Y$7*penguins[[#This Row],[Flipper Length (mm)]]+penguins[[#This Row],[Body mass (g)]]*$Z$7+$AA$7*penguins[[#This Row],[Gender]]</f>
        <v>-360.61026040872247</v>
      </c>
      <c r="M222" s="6">
        <f t="shared" si="35"/>
        <v>0.32561895988968942</v>
      </c>
      <c r="N222" s="6">
        <f t="shared" si="36"/>
        <v>9.0618459797987577E-2</v>
      </c>
      <c r="O222" s="6">
        <f t="shared" si="37"/>
        <v>0.58376258031232309</v>
      </c>
      <c r="P222" s="6">
        <f t="shared" si="38"/>
        <v>-0.53826091937501841</v>
      </c>
    </row>
    <row r="223" spans="1:16" x14ac:dyDescent="0.3">
      <c r="A223">
        <v>455</v>
      </c>
      <c r="B223">
        <v>137</v>
      </c>
      <c r="C223">
        <v>214</v>
      </c>
      <c r="D223">
        <v>4650</v>
      </c>
      <c r="E223">
        <v>0</v>
      </c>
      <c r="F223" s="6" t="s">
        <v>89</v>
      </c>
      <c r="G223" s="6">
        <f t="shared" si="32"/>
        <v>0</v>
      </c>
      <c r="H223" s="6">
        <f t="shared" si="33"/>
        <v>0</v>
      </c>
      <c r="I223" s="6">
        <f t="shared" si="34"/>
        <v>1</v>
      </c>
      <c r="J223" s="6">
        <f>$V$5+$W$5*penguins[[#This Row],[Culmen Length (mm)]]+penguins[[#This Row],[Culmen Depth (mm)]]*$X$5+$Y$5*penguins[[#This Row],[Flipper Length (mm)]]+penguins[[#This Row],[Body mass (g)]]*$Z$5+$AA$5*penguins[[#This Row],[Gender]]</f>
        <v>-298.94513894254112</v>
      </c>
      <c r="K223" s="6">
        <f>$V$6+$W$6*penguins[[#This Row],[Culmen Length (mm)]]+penguins[[#This Row],[Culmen Depth (mm)]]*$X$6+$Y$6*penguins[[#This Row],[Flipper Length (mm)]]+penguins[[#This Row],[Body mass (g)]]*$Z$6+$AA$6*penguins[[#This Row],[Gender]]</f>
        <v>-299.10529304698377</v>
      </c>
      <c r="L223" s="6">
        <f>$V$7+$W$7*penguins[[#This Row],[Culmen Length (mm)]]+penguins[[#This Row],[Culmen Depth (mm)]]*$X$7+$Y$7*penguins[[#This Row],[Flipper Length (mm)]]+penguins[[#This Row],[Body mass (g)]]*$Z$7+$AA$7*penguins[[#This Row],[Gender]]</f>
        <v>-297.94483121206133</v>
      </c>
      <c r="M223" s="6">
        <f t="shared" si="35"/>
        <v>0.21876424328154259</v>
      </c>
      <c r="N223" s="6">
        <f t="shared" si="36"/>
        <v>0.18638986544060601</v>
      </c>
      <c r="O223" s="6">
        <f t="shared" si="37"/>
        <v>0.59484589127785137</v>
      </c>
      <c r="P223" s="6">
        <f t="shared" si="38"/>
        <v>-0.51945291324013243</v>
      </c>
    </row>
    <row r="224" spans="1:16" x14ac:dyDescent="0.3">
      <c r="A224">
        <v>484</v>
      </c>
      <c r="B224">
        <v>146</v>
      </c>
      <c r="C224">
        <v>213</v>
      </c>
      <c r="D224">
        <v>5850</v>
      </c>
      <c r="E224">
        <v>1</v>
      </c>
      <c r="F224" s="6" t="s">
        <v>89</v>
      </c>
      <c r="G224" s="6">
        <f t="shared" si="32"/>
        <v>0</v>
      </c>
      <c r="H224" s="6">
        <f t="shared" si="33"/>
        <v>0</v>
      </c>
      <c r="I224" s="6">
        <f t="shared" si="34"/>
        <v>1</v>
      </c>
      <c r="J224" s="6">
        <f>$V$5+$W$5*penguins[[#This Row],[Culmen Length (mm)]]+penguins[[#This Row],[Culmen Depth (mm)]]*$X$5+$Y$5*penguins[[#This Row],[Flipper Length (mm)]]+penguins[[#This Row],[Body mass (g)]]*$Z$5+$AA$5*penguins[[#This Row],[Gender]]</f>
        <v>-377.52738508099287</v>
      </c>
      <c r="K224" s="6">
        <f>$V$6+$W$6*penguins[[#This Row],[Culmen Length (mm)]]+penguins[[#This Row],[Culmen Depth (mm)]]*$X$6+$Y$6*penguins[[#This Row],[Flipper Length (mm)]]+penguins[[#This Row],[Body mass (g)]]*$Z$6+$AA$6*penguins[[#This Row],[Gender]]</f>
        <v>-378.87619826523184</v>
      </c>
      <c r="L224" s="6">
        <f>$V$7+$W$7*penguins[[#This Row],[Culmen Length (mm)]]+penguins[[#This Row],[Culmen Depth (mm)]]*$X$7+$Y$7*penguins[[#This Row],[Flipper Length (mm)]]+penguins[[#This Row],[Body mass (g)]]*$Z$7+$AA$7*penguins[[#This Row],[Gender]]</f>
        <v>-375.66972373108865</v>
      </c>
      <c r="M224" s="6">
        <f t="shared" si="35"/>
        <v>0.13040734775805907</v>
      </c>
      <c r="N224" s="6">
        <f t="shared" si="36"/>
        <v>3.3846981125757458E-2</v>
      </c>
      <c r="O224" s="6">
        <f t="shared" si="37"/>
        <v>0.83574567111618348</v>
      </c>
      <c r="P224" s="6">
        <f t="shared" si="38"/>
        <v>-0.17943093333496835</v>
      </c>
    </row>
    <row r="225" spans="1:16" x14ac:dyDescent="0.3">
      <c r="A225">
        <v>458</v>
      </c>
      <c r="B225">
        <v>146</v>
      </c>
      <c r="C225">
        <v>210</v>
      </c>
      <c r="D225">
        <v>4200</v>
      </c>
      <c r="E225">
        <v>0</v>
      </c>
      <c r="F225" s="6" t="s">
        <v>89</v>
      </c>
      <c r="G225" s="6">
        <f t="shared" si="32"/>
        <v>0</v>
      </c>
      <c r="H225" s="6">
        <f t="shared" si="33"/>
        <v>0</v>
      </c>
      <c r="I225" s="6">
        <f t="shared" si="34"/>
        <v>1</v>
      </c>
      <c r="J225" s="6">
        <f>$V$5+$W$5*penguins[[#This Row],[Culmen Length (mm)]]+penguins[[#This Row],[Culmen Depth (mm)]]*$X$5+$Y$5*penguins[[#This Row],[Flipper Length (mm)]]+penguins[[#This Row],[Body mass (g)]]*$Z$5+$AA$5*penguins[[#This Row],[Gender]]</f>
        <v>-269.1530192723489</v>
      </c>
      <c r="K225" s="6">
        <f>$V$6+$W$6*penguins[[#This Row],[Culmen Length (mm)]]+penguins[[#This Row],[Culmen Depth (mm)]]*$X$6+$Y$6*penguins[[#This Row],[Flipper Length (mm)]]+penguins[[#This Row],[Body mass (g)]]*$Z$6+$AA$6*penguins[[#This Row],[Gender]]</f>
        <v>-269.06332271064036</v>
      </c>
      <c r="L225" s="6">
        <f>$V$7+$W$7*penguins[[#This Row],[Culmen Length (mm)]]+penguins[[#This Row],[Culmen Depth (mm)]]*$X$7+$Y$7*penguins[[#This Row],[Flipper Length (mm)]]+penguins[[#This Row],[Body mass (g)]]*$Z$7+$AA$7*penguins[[#This Row],[Gender]]</f>
        <v>-268.61731686152234</v>
      </c>
      <c r="M225" s="6">
        <f t="shared" si="35"/>
        <v>0.26298554830706994</v>
      </c>
      <c r="N225" s="6">
        <f t="shared" si="36"/>
        <v>0.28766472220721412</v>
      </c>
      <c r="O225" s="6">
        <f t="shared" si="37"/>
        <v>0.44934972948571589</v>
      </c>
      <c r="P225" s="6">
        <f t="shared" si="38"/>
        <v>-0.79995378689036289</v>
      </c>
    </row>
    <row r="226" spans="1:16" x14ac:dyDescent="0.3">
      <c r="A226">
        <v>493</v>
      </c>
      <c r="B226">
        <v>157</v>
      </c>
      <c r="C226">
        <v>217</v>
      </c>
      <c r="D226">
        <v>5850</v>
      </c>
      <c r="E226">
        <v>1</v>
      </c>
      <c r="F226" s="6" t="s">
        <v>89</v>
      </c>
      <c r="G226" s="6">
        <f t="shared" si="32"/>
        <v>0</v>
      </c>
      <c r="H226" s="6">
        <f t="shared" si="33"/>
        <v>0</v>
      </c>
      <c r="I226" s="6">
        <f t="shared" si="34"/>
        <v>1</v>
      </c>
      <c r="J226" s="6">
        <f>$V$5+$W$5*penguins[[#This Row],[Culmen Length (mm)]]+penguins[[#This Row],[Culmen Depth (mm)]]*$X$5+$Y$5*penguins[[#This Row],[Flipper Length (mm)]]+penguins[[#This Row],[Body mass (g)]]*$Z$5+$AA$5*penguins[[#This Row],[Gender]]</f>
        <v>-377.24307520720265</v>
      </c>
      <c r="K226" s="6">
        <f>$V$6+$W$6*penguins[[#This Row],[Culmen Length (mm)]]+penguins[[#This Row],[Culmen Depth (mm)]]*$X$6+$Y$6*penguins[[#This Row],[Flipper Length (mm)]]+penguins[[#This Row],[Body mass (g)]]*$Z$6+$AA$6*penguins[[#This Row],[Gender]]</f>
        <v>-378.58845222319468</v>
      </c>
      <c r="L226" s="6">
        <f>$V$7+$W$7*penguins[[#This Row],[Culmen Length (mm)]]+penguins[[#This Row],[Culmen Depth (mm)]]*$X$7+$Y$7*penguins[[#This Row],[Flipper Length (mm)]]+penguins[[#This Row],[Body mass (g)]]*$Z$7+$AA$7*penguins[[#This Row],[Gender]]</f>
        <v>-375.55002131853365</v>
      </c>
      <c r="M226" s="6">
        <f t="shared" si="35"/>
        <v>0.1493317852395693</v>
      </c>
      <c r="N226" s="6">
        <f t="shared" si="36"/>
        <v>3.8892193957002948E-2</v>
      </c>
      <c r="O226" s="6">
        <f t="shared" si="37"/>
        <v>0.81177602080342781</v>
      </c>
      <c r="P226" s="6">
        <f t="shared" si="38"/>
        <v>-0.20853081331931012</v>
      </c>
    </row>
    <row r="227" spans="1:16" x14ac:dyDescent="0.3">
      <c r="A227">
        <v>42</v>
      </c>
      <c r="B227">
        <v>135</v>
      </c>
      <c r="C227">
        <v>210</v>
      </c>
      <c r="D227">
        <v>4150</v>
      </c>
      <c r="E227">
        <v>0</v>
      </c>
      <c r="F227" s="6" t="s">
        <v>89</v>
      </c>
      <c r="G227" s="6">
        <f t="shared" si="32"/>
        <v>0</v>
      </c>
      <c r="H227" s="6">
        <f t="shared" si="33"/>
        <v>0</v>
      </c>
      <c r="I227" s="6">
        <f t="shared" si="34"/>
        <v>1</v>
      </c>
      <c r="J227" s="6">
        <f>$V$5+$W$5*penguins[[#This Row],[Culmen Length (mm)]]+penguins[[#This Row],[Culmen Depth (mm)]]*$X$5+$Y$5*penguins[[#This Row],[Flipper Length (mm)]]+penguins[[#This Row],[Body mass (g)]]*$Z$5+$AA$5*penguins[[#This Row],[Gender]]</f>
        <v>-269.58199021248271</v>
      </c>
      <c r="K227" s="6">
        <f>$V$6+$W$6*penguins[[#This Row],[Culmen Length (mm)]]+penguins[[#This Row],[Culmen Depth (mm)]]*$X$6+$Y$6*penguins[[#This Row],[Flipper Length (mm)]]+penguins[[#This Row],[Body mass (g)]]*$Z$6+$AA$6*penguins[[#This Row],[Gender]]</f>
        <v>-269.49249516531978</v>
      </c>
      <c r="L227" s="6">
        <f>$V$7+$W$7*penguins[[#This Row],[Culmen Length (mm)]]+penguins[[#This Row],[Culmen Depth (mm)]]*$X$7+$Y$7*penguins[[#This Row],[Flipper Length (mm)]]+penguins[[#This Row],[Body mass (g)]]*$Z$7+$AA$7*penguins[[#This Row],[Gender]]</f>
        <v>-269.70109790730822</v>
      </c>
      <c r="M227" s="6">
        <f t="shared" si="35"/>
        <v>0.33542030613780732</v>
      </c>
      <c r="N227" s="6">
        <f t="shared" si="36"/>
        <v>0.36682299812125913</v>
      </c>
      <c r="O227" s="6">
        <f t="shared" si="37"/>
        <v>0.29775669574093361</v>
      </c>
      <c r="P227" s="6">
        <f t="shared" si="38"/>
        <v>-1.2114785832046671</v>
      </c>
    </row>
    <row r="228" spans="1:16" x14ac:dyDescent="0.3">
      <c r="A228">
        <v>492</v>
      </c>
      <c r="B228">
        <v>152</v>
      </c>
      <c r="C228">
        <v>221</v>
      </c>
      <c r="D228">
        <v>6300</v>
      </c>
      <c r="E228">
        <v>1</v>
      </c>
      <c r="F228" s="6" t="s">
        <v>89</v>
      </c>
      <c r="G228" s="6">
        <f t="shared" si="32"/>
        <v>0</v>
      </c>
      <c r="H228" s="6">
        <f t="shared" si="33"/>
        <v>0</v>
      </c>
      <c r="I228" s="6">
        <f t="shared" si="34"/>
        <v>1</v>
      </c>
      <c r="J228" s="6">
        <f>$V$5+$W$5*penguins[[#This Row],[Culmen Length (mm)]]+penguins[[#This Row],[Culmen Depth (mm)]]*$X$5+$Y$5*penguins[[#This Row],[Flipper Length (mm)]]+penguins[[#This Row],[Body mass (g)]]*$Z$5+$AA$5*penguins[[#This Row],[Gender]]</f>
        <v>-406.94889291385192</v>
      </c>
      <c r="K228" s="6">
        <f>$V$6+$W$6*penguins[[#This Row],[Culmen Length (mm)]]+penguins[[#This Row],[Culmen Depth (mm)]]*$X$6+$Y$6*penguins[[#This Row],[Flipper Length (mm)]]+penguins[[#This Row],[Body mass (g)]]*$Z$6+$AA$6*penguins[[#This Row],[Gender]]</f>
        <v>-408.58051965922772</v>
      </c>
      <c r="L228" s="6">
        <f>$V$7+$W$7*penguins[[#This Row],[Culmen Length (mm)]]+penguins[[#This Row],[Culmen Depth (mm)]]*$X$7+$Y$7*penguins[[#This Row],[Flipper Length (mm)]]+penguins[[#This Row],[Body mass (g)]]*$Z$7+$AA$7*penguins[[#This Row],[Gender]]</f>
        <v>-404.84010864935249</v>
      </c>
      <c r="M228" s="6">
        <f t="shared" si="35"/>
        <v>0.1060014771111609</v>
      </c>
      <c r="N228" s="6">
        <f t="shared" si="36"/>
        <v>2.0735066143755775E-2</v>
      </c>
      <c r="O228" s="6">
        <f t="shared" si="37"/>
        <v>0.87326345674508332</v>
      </c>
      <c r="P228" s="6">
        <f t="shared" si="38"/>
        <v>-0.13551798545677549</v>
      </c>
    </row>
    <row r="229" spans="1:16" x14ac:dyDescent="0.3">
      <c r="A229">
        <v>462</v>
      </c>
      <c r="B229">
        <v>145</v>
      </c>
      <c r="C229">
        <v>209</v>
      </c>
      <c r="D229">
        <v>4800</v>
      </c>
      <c r="E229">
        <v>0</v>
      </c>
      <c r="F229" s="6" t="s">
        <v>89</v>
      </c>
      <c r="G229" s="6">
        <f t="shared" si="32"/>
        <v>0</v>
      </c>
      <c r="H229" s="6">
        <f t="shared" si="33"/>
        <v>0</v>
      </c>
      <c r="I229" s="6">
        <f t="shared" si="34"/>
        <v>1</v>
      </c>
      <c r="J229" s="6">
        <f>$V$5+$W$5*penguins[[#This Row],[Culmen Length (mm)]]+penguins[[#This Row],[Culmen Depth (mm)]]*$X$5+$Y$5*penguins[[#This Row],[Flipper Length (mm)]]+penguins[[#This Row],[Body mass (g)]]*$Z$5+$AA$5*penguins[[#This Row],[Gender]]</f>
        <v>-308.64465510420837</v>
      </c>
      <c r="K229" s="6">
        <f>$V$6+$W$6*penguins[[#This Row],[Culmen Length (mm)]]+penguins[[#This Row],[Culmen Depth (mm)]]*$X$6+$Y$6*penguins[[#This Row],[Flipper Length (mm)]]+penguins[[#This Row],[Body mass (g)]]*$Z$6+$AA$6*penguins[[#This Row],[Gender]]</f>
        <v>-309.14920764109547</v>
      </c>
      <c r="L229" s="6">
        <f>$V$7+$W$7*penguins[[#This Row],[Culmen Length (mm)]]+penguins[[#This Row],[Culmen Depth (mm)]]*$X$7+$Y$7*penguins[[#This Row],[Flipper Length (mm)]]+penguins[[#This Row],[Body mass (g)]]*$Z$7+$AA$7*penguins[[#This Row],[Gender]]</f>
        <v>-307.56145108244249</v>
      </c>
      <c r="M229" s="6">
        <f t="shared" si="35"/>
        <v>0.21939903533621791</v>
      </c>
      <c r="N229" s="6">
        <f t="shared" si="36"/>
        <v>0.13246780226429314</v>
      </c>
      <c r="O229" s="6">
        <f t="shared" si="37"/>
        <v>0.64813316239948904</v>
      </c>
      <c r="P229" s="6">
        <f t="shared" si="38"/>
        <v>-0.43365910621151188</v>
      </c>
    </row>
    <row r="230" spans="1:16" x14ac:dyDescent="0.3">
      <c r="A230">
        <v>487</v>
      </c>
      <c r="B230">
        <v>151</v>
      </c>
      <c r="C230">
        <v>222</v>
      </c>
      <c r="D230">
        <v>5350</v>
      </c>
      <c r="E230">
        <v>1</v>
      </c>
      <c r="F230" s="6" t="s">
        <v>89</v>
      </c>
      <c r="G230" s="6">
        <f t="shared" si="32"/>
        <v>0</v>
      </c>
      <c r="H230" s="6">
        <f t="shared" si="33"/>
        <v>0</v>
      </c>
      <c r="I230" s="6">
        <f t="shared" si="34"/>
        <v>1</v>
      </c>
      <c r="J230" s="6">
        <f>$V$5+$W$5*penguins[[#This Row],[Culmen Length (mm)]]+penguins[[#This Row],[Culmen Depth (mm)]]*$X$5+$Y$5*penguins[[#This Row],[Flipper Length (mm)]]+penguins[[#This Row],[Body mass (g)]]*$Z$5+$AA$5*penguins[[#This Row],[Gender]]</f>
        <v>-344.45644922002941</v>
      </c>
      <c r="K230" s="6">
        <f>$V$6+$W$6*penguins[[#This Row],[Culmen Length (mm)]]+penguins[[#This Row],[Culmen Depth (mm)]]*$X$6+$Y$6*penguins[[#This Row],[Flipper Length (mm)]]+penguins[[#This Row],[Body mass (g)]]*$Z$6+$AA$6*penguins[[#This Row],[Gender]]</f>
        <v>-345.13763759503371</v>
      </c>
      <c r="L230" s="6">
        <f>$V$7+$W$7*penguins[[#This Row],[Culmen Length (mm)]]+penguins[[#This Row],[Culmen Depth (mm)]]*$X$7+$Y$7*penguins[[#This Row],[Flipper Length (mm)]]+penguins[[#This Row],[Body mass (g)]]*$Z$7+$AA$7*penguins[[#This Row],[Gender]]</f>
        <v>-343.17287469102081</v>
      </c>
      <c r="M230" s="6">
        <f t="shared" si="35"/>
        <v>0.19548300078546813</v>
      </c>
      <c r="N230" s="6">
        <f t="shared" si="36"/>
        <v>9.891738908886713E-2</v>
      </c>
      <c r="O230" s="6">
        <f t="shared" si="37"/>
        <v>0.70559961012566474</v>
      </c>
      <c r="P230" s="6">
        <f t="shared" si="38"/>
        <v>-0.34870732683270028</v>
      </c>
    </row>
    <row r="231" spans="1:16" x14ac:dyDescent="0.3">
      <c r="A231">
        <v>502</v>
      </c>
      <c r="B231">
        <v>143</v>
      </c>
      <c r="C231">
        <v>218</v>
      </c>
      <c r="D231">
        <v>5700</v>
      </c>
      <c r="E231">
        <v>1</v>
      </c>
      <c r="F231" s="6" t="s">
        <v>89</v>
      </c>
      <c r="G231" s="6">
        <f t="shared" si="32"/>
        <v>0</v>
      </c>
      <c r="H231" s="6">
        <f t="shared" si="33"/>
        <v>0</v>
      </c>
      <c r="I231" s="6">
        <f t="shared" si="34"/>
        <v>1</v>
      </c>
      <c r="J231" s="6">
        <f>$V$5+$W$5*penguins[[#This Row],[Culmen Length (mm)]]+penguins[[#This Row],[Culmen Depth (mm)]]*$X$5+$Y$5*penguins[[#This Row],[Flipper Length (mm)]]+penguins[[#This Row],[Body mass (g)]]*$Z$5+$AA$5*penguins[[#This Row],[Gender]]</f>
        <v>-367.529049248403</v>
      </c>
      <c r="K231" s="6">
        <f>$V$6+$W$6*penguins[[#This Row],[Culmen Length (mm)]]+penguins[[#This Row],[Culmen Depth (mm)]]*$X$6+$Y$6*penguins[[#This Row],[Flipper Length (mm)]]+penguins[[#This Row],[Body mass (g)]]*$Z$6+$AA$6*penguins[[#This Row],[Gender]]</f>
        <v>-368.57081880558854</v>
      </c>
      <c r="L231" s="6">
        <f>$V$7+$W$7*penguins[[#This Row],[Culmen Length (mm)]]+penguins[[#This Row],[Culmen Depth (mm)]]*$X$7+$Y$7*penguins[[#This Row],[Flipper Length (mm)]]+penguins[[#This Row],[Body mass (g)]]*$Z$7+$AA$7*penguins[[#This Row],[Gender]]</f>
        <v>-365.77448582997289</v>
      </c>
      <c r="M231" s="6">
        <f t="shared" si="35"/>
        <v>0.14017866650878275</v>
      </c>
      <c r="N231" s="6">
        <f t="shared" si="36"/>
        <v>4.9459207609738702E-2</v>
      </c>
      <c r="O231" s="6">
        <f t="shared" si="37"/>
        <v>0.81036212588147849</v>
      </c>
      <c r="P231" s="6">
        <f t="shared" si="38"/>
        <v>-0.21027406223173831</v>
      </c>
    </row>
    <row r="232" spans="1:16" x14ac:dyDescent="0.3">
      <c r="A232">
        <v>451</v>
      </c>
      <c r="B232">
        <v>145</v>
      </c>
      <c r="C232">
        <v>215</v>
      </c>
      <c r="D232">
        <v>5000</v>
      </c>
      <c r="E232">
        <v>0</v>
      </c>
      <c r="F232" s="6" t="s">
        <v>89</v>
      </c>
      <c r="G232" s="6">
        <f t="shared" si="32"/>
        <v>0</v>
      </c>
      <c r="H232" s="6">
        <f t="shared" si="33"/>
        <v>0</v>
      </c>
      <c r="I232" s="6">
        <f t="shared" si="34"/>
        <v>1</v>
      </c>
      <c r="J232" s="6">
        <f>$V$5+$W$5*penguins[[#This Row],[Culmen Length (mm)]]+penguins[[#This Row],[Culmen Depth (mm)]]*$X$5+$Y$5*penguins[[#This Row],[Flipper Length (mm)]]+penguins[[#This Row],[Body mass (g)]]*$Z$5+$AA$5*penguins[[#This Row],[Gender]]</f>
        <v>-321.88006508718399</v>
      </c>
      <c r="K232" s="6">
        <f>$V$6+$W$6*penguins[[#This Row],[Culmen Length (mm)]]+penguins[[#This Row],[Culmen Depth (mm)]]*$X$6+$Y$6*penguins[[#This Row],[Flipper Length (mm)]]+penguins[[#This Row],[Body mass (g)]]*$Z$6+$AA$6*penguins[[#This Row],[Gender]]</f>
        <v>-322.42833602510109</v>
      </c>
      <c r="L232" s="6">
        <f>$V$7+$W$7*penguins[[#This Row],[Culmen Length (mm)]]+penguins[[#This Row],[Culmen Depth (mm)]]*$X$7+$Y$7*penguins[[#This Row],[Flipper Length (mm)]]+penguins[[#This Row],[Body mass (g)]]*$Z$7+$AA$7*penguins[[#This Row],[Gender]]</f>
        <v>-320.69904162715591</v>
      </c>
      <c r="M232" s="6">
        <f t="shared" si="35"/>
        <v>0.20679722266077505</v>
      </c>
      <c r="N232" s="6">
        <f t="shared" si="36"/>
        <v>0.11951809404993977</v>
      </c>
      <c r="O232" s="6">
        <f t="shared" si="37"/>
        <v>0.67368468328928521</v>
      </c>
      <c r="P232" s="6">
        <f t="shared" si="38"/>
        <v>-0.39499310648358249</v>
      </c>
    </row>
    <row r="233" spans="1:16" x14ac:dyDescent="0.3">
      <c r="A233">
        <v>465</v>
      </c>
      <c r="B233">
        <v>145</v>
      </c>
      <c r="C233">
        <v>213</v>
      </c>
      <c r="D233">
        <v>4400</v>
      </c>
      <c r="E233">
        <v>0</v>
      </c>
      <c r="F233" s="6" t="s">
        <v>89</v>
      </c>
      <c r="G233" s="6">
        <f t="shared" si="32"/>
        <v>0</v>
      </c>
      <c r="H233" s="6">
        <f t="shared" si="33"/>
        <v>0</v>
      </c>
      <c r="I233" s="6">
        <f t="shared" si="34"/>
        <v>1</v>
      </c>
      <c r="J233" s="6">
        <f>$V$5+$W$5*penguins[[#This Row],[Culmen Length (mm)]]+penguins[[#This Row],[Culmen Depth (mm)]]*$X$5+$Y$5*penguins[[#This Row],[Flipper Length (mm)]]+penguins[[#This Row],[Body mass (g)]]*$Z$5+$AA$5*penguins[[#This Row],[Gender]]</f>
        <v>-282.26596582625962</v>
      </c>
      <c r="K233" s="6">
        <f>$V$6+$W$6*penguins[[#This Row],[Culmen Length (mm)]]+penguins[[#This Row],[Culmen Depth (mm)]]*$X$6+$Y$6*penguins[[#This Row],[Flipper Length (mm)]]+penguins[[#This Row],[Body mass (g)]]*$Z$6+$AA$6*penguins[[#This Row],[Gender]]</f>
        <v>-282.28089176055988</v>
      </c>
      <c r="L233" s="6">
        <f>$V$7+$W$7*penguins[[#This Row],[Culmen Length (mm)]]+penguins[[#This Row],[Culmen Depth (mm)]]*$X$7+$Y$7*penguins[[#This Row],[Flipper Length (mm)]]+penguins[[#This Row],[Body mass (g)]]*$Z$7+$AA$7*penguins[[#This Row],[Gender]]</f>
        <v>-281.55918113530777</v>
      </c>
      <c r="M233" s="6">
        <f t="shared" si="35"/>
        <v>0.24921206893572043</v>
      </c>
      <c r="N233" s="6">
        <f t="shared" si="36"/>
        <v>0.24551996853661695</v>
      </c>
      <c r="O233" s="6">
        <f t="shared" si="37"/>
        <v>0.5052679625276626</v>
      </c>
      <c r="P233" s="6">
        <f t="shared" si="38"/>
        <v>-0.6826663715685295</v>
      </c>
    </row>
    <row r="234" spans="1:16" x14ac:dyDescent="0.3">
      <c r="A234">
        <v>463</v>
      </c>
      <c r="B234">
        <v>158</v>
      </c>
      <c r="C234">
        <v>215</v>
      </c>
      <c r="D234">
        <v>5050</v>
      </c>
      <c r="E234">
        <v>1</v>
      </c>
      <c r="F234" s="6" t="s">
        <v>89</v>
      </c>
      <c r="G234" s="6">
        <f t="shared" si="32"/>
        <v>0</v>
      </c>
      <c r="H234" s="6">
        <f t="shared" si="33"/>
        <v>0</v>
      </c>
      <c r="I234" s="6">
        <f t="shared" si="34"/>
        <v>1</v>
      </c>
      <c r="J234" s="6">
        <f>$V$5+$W$5*penguins[[#This Row],[Culmen Length (mm)]]+penguins[[#This Row],[Culmen Depth (mm)]]*$X$5+$Y$5*penguins[[#This Row],[Flipper Length (mm)]]+penguins[[#This Row],[Body mass (g)]]*$Z$5+$AA$5*penguins[[#This Row],[Gender]]</f>
        <v>-324.81706524587997</v>
      </c>
      <c r="K234" s="6">
        <f>$V$6+$W$6*penguins[[#This Row],[Culmen Length (mm)]]+penguins[[#This Row],[Culmen Depth (mm)]]*$X$6+$Y$6*penguins[[#This Row],[Flipper Length (mm)]]+penguins[[#This Row],[Body mass (g)]]*$Z$6+$AA$6*penguins[[#This Row],[Gender]]</f>
        <v>-325.46116709868238</v>
      </c>
      <c r="L234" s="6">
        <f>$V$7+$W$7*penguins[[#This Row],[Culmen Length (mm)]]+penguins[[#This Row],[Culmen Depth (mm)]]*$X$7+$Y$7*penguins[[#This Row],[Flipper Length (mm)]]+penguins[[#This Row],[Body mass (g)]]*$Z$7+$AA$7*penguins[[#This Row],[Gender]]</f>
        <v>-323.86399885598308</v>
      </c>
      <c r="M234" s="6">
        <f t="shared" si="35"/>
        <v>0.24279006966722227</v>
      </c>
      <c r="N234" s="6">
        <f t="shared" si="36"/>
        <v>0.12749731509746212</v>
      </c>
      <c r="O234" s="6">
        <f t="shared" si="37"/>
        <v>0.62971261523531552</v>
      </c>
      <c r="P234" s="6">
        <f t="shared" si="38"/>
        <v>-0.46249172996520382</v>
      </c>
    </row>
    <row r="235" spans="1:16" x14ac:dyDescent="0.3">
      <c r="A235">
        <v>429</v>
      </c>
      <c r="B235">
        <v>131</v>
      </c>
      <c r="C235">
        <v>215</v>
      </c>
      <c r="D235">
        <v>5000</v>
      </c>
      <c r="E235">
        <v>0</v>
      </c>
      <c r="F235" s="6" t="s">
        <v>89</v>
      </c>
      <c r="G235" s="6">
        <f t="shared" si="32"/>
        <v>0</v>
      </c>
      <c r="H235" s="6">
        <f t="shared" si="33"/>
        <v>0</v>
      </c>
      <c r="I235" s="6">
        <f t="shared" si="34"/>
        <v>1</v>
      </c>
      <c r="J235" s="6">
        <f>$V$5+$W$5*penguins[[#This Row],[Culmen Length (mm)]]+penguins[[#This Row],[Culmen Depth (mm)]]*$X$5+$Y$5*penguins[[#This Row],[Flipper Length (mm)]]+penguins[[#This Row],[Body mass (g)]]*$Z$5+$AA$5*penguins[[#This Row],[Gender]]</f>
        <v>-322.30941677058036</v>
      </c>
      <c r="K235" s="6">
        <f>$V$6+$W$6*penguins[[#This Row],[Culmen Length (mm)]]+penguins[[#This Row],[Culmen Depth (mm)]]*$X$6+$Y$6*penguins[[#This Row],[Flipper Length (mm)]]+penguins[[#This Row],[Body mass (g)]]*$Z$6+$AA$6*penguins[[#This Row],[Gender]]</f>
        <v>-322.73572033628307</v>
      </c>
      <c r="L235" s="6">
        <f>$V$7+$W$7*penguins[[#This Row],[Culmen Length (mm)]]+penguins[[#This Row],[Culmen Depth (mm)]]*$X$7+$Y$7*penguins[[#This Row],[Flipper Length (mm)]]+penguins[[#This Row],[Body mass (g)]]*$Z$7+$AA$7*penguins[[#This Row],[Gender]]</f>
        <v>-320.98459236689945</v>
      </c>
      <c r="M235" s="6">
        <f t="shared" si="35"/>
        <v>0.18469120817858331</v>
      </c>
      <c r="N235" s="6">
        <f t="shared" si="36"/>
        <v>0.12058823429856715</v>
      </c>
      <c r="O235" s="6">
        <f t="shared" si="37"/>
        <v>0.69472055752284945</v>
      </c>
      <c r="P235" s="6">
        <f t="shared" si="38"/>
        <v>-0.36424558977806659</v>
      </c>
    </row>
    <row r="236" spans="1:16" x14ac:dyDescent="0.3">
      <c r="A236">
        <v>461</v>
      </c>
      <c r="B236">
        <v>151</v>
      </c>
      <c r="C236">
        <v>215</v>
      </c>
      <c r="D236">
        <v>5100</v>
      </c>
      <c r="E236">
        <v>1</v>
      </c>
      <c r="F236" s="6" t="s">
        <v>89</v>
      </c>
      <c r="G236" s="6">
        <f t="shared" si="32"/>
        <v>0</v>
      </c>
      <c r="H236" s="6">
        <f t="shared" si="33"/>
        <v>0</v>
      </c>
      <c r="I236" s="6">
        <f t="shared" si="34"/>
        <v>1</v>
      </c>
      <c r="J236" s="6">
        <f>$V$5+$W$5*penguins[[#This Row],[Culmen Length (mm)]]+penguins[[#This Row],[Culmen Depth (mm)]]*$X$5+$Y$5*penguins[[#This Row],[Flipper Length (mm)]]+penguins[[#This Row],[Body mass (g)]]*$Z$5+$AA$5*penguins[[#This Row],[Gender]]</f>
        <v>-328.24735832151401</v>
      </c>
      <c r="K236" s="6">
        <f>$V$6+$W$6*penguins[[#This Row],[Culmen Length (mm)]]+penguins[[#This Row],[Culmen Depth (mm)]]*$X$6+$Y$6*penguins[[#This Row],[Flipper Length (mm)]]+penguins[[#This Row],[Body mass (g)]]*$Z$6+$AA$6*penguins[[#This Row],[Gender]]</f>
        <v>-328.87550312734356</v>
      </c>
      <c r="L236" s="6">
        <f>$V$7+$W$7*penguins[[#This Row],[Culmen Length (mm)]]+penguins[[#This Row],[Culmen Depth (mm)]]*$X$7+$Y$7*penguins[[#This Row],[Flipper Length (mm)]]+penguins[[#This Row],[Body mass (g)]]*$Z$7+$AA$7*penguins[[#This Row],[Gender]]</f>
        <v>-327.16287098731704</v>
      </c>
      <c r="M236" s="6">
        <f t="shared" si="35"/>
        <v>0.22264258213916621</v>
      </c>
      <c r="N236" s="6">
        <f t="shared" si="36"/>
        <v>0.11879780248342256</v>
      </c>
      <c r="O236" s="6">
        <f t="shared" si="37"/>
        <v>0.65855961537741126</v>
      </c>
      <c r="P236" s="6">
        <f t="shared" si="38"/>
        <v>-0.41770022981243543</v>
      </c>
    </row>
    <row r="237" spans="1:16" x14ac:dyDescent="0.3">
      <c r="A237">
        <v>445</v>
      </c>
      <c r="B237">
        <v>143</v>
      </c>
      <c r="C237">
        <v>216</v>
      </c>
      <c r="D237">
        <v>4100</v>
      </c>
      <c r="E237">
        <v>1</v>
      </c>
      <c r="F237" s="6" t="s">
        <v>89</v>
      </c>
      <c r="G237" s="6">
        <f t="shared" si="32"/>
        <v>0</v>
      </c>
      <c r="H237" s="6">
        <f t="shared" si="33"/>
        <v>0</v>
      </c>
      <c r="I237" s="6">
        <f t="shared" si="34"/>
        <v>1</v>
      </c>
      <c r="J237" s="6">
        <f>$V$5+$W$5*penguins[[#This Row],[Culmen Length (mm)]]+penguins[[#This Row],[Culmen Depth (mm)]]*$X$5+$Y$5*penguins[[#This Row],[Flipper Length (mm)]]+penguins[[#This Row],[Body mass (g)]]*$Z$5+$AA$5*penguins[[#This Row],[Gender]]</f>
        <v>-262.67759634885613</v>
      </c>
      <c r="K237" s="6">
        <f>$V$6+$W$6*penguins[[#This Row],[Culmen Length (mm)]]+penguins[[#This Row],[Culmen Depth (mm)]]*$X$6+$Y$6*penguins[[#This Row],[Flipper Length (mm)]]+penguins[[#This Row],[Body mass (g)]]*$Z$6+$AA$6*penguins[[#This Row],[Gender]]</f>
        <v>-262.24603484961284</v>
      </c>
      <c r="L237" s="6">
        <f>$V$7+$W$7*penguins[[#This Row],[Culmen Length (mm)]]+penguins[[#This Row],[Culmen Depth (mm)]]*$X$7+$Y$7*penguins[[#This Row],[Flipper Length (mm)]]+penguins[[#This Row],[Body mass (g)]]*$Z$7+$AA$7*penguins[[#This Row],[Gender]]</f>
        <v>-262.38958193496109</v>
      </c>
      <c r="M237" s="6">
        <f t="shared" si="35"/>
        <v>0.25816869275863441</v>
      </c>
      <c r="N237" s="6">
        <f t="shared" si="36"/>
        <v>0.39749196434317391</v>
      </c>
      <c r="O237" s="6">
        <f t="shared" si="37"/>
        <v>0.34433934289819179</v>
      </c>
      <c r="P237" s="6">
        <f t="shared" si="38"/>
        <v>-1.0661276459292026</v>
      </c>
    </row>
    <row r="238" spans="1:16" x14ac:dyDescent="0.3">
      <c r="A238">
        <v>478</v>
      </c>
      <c r="B238">
        <v>15</v>
      </c>
      <c r="C238">
        <v>215</v>
      </c>
      <c r="D238">
        <v>5650</v>
      </c>
      <c r="E238">
        <v>1</v>
      </c>
      <c r="F238" s="6" t="s">
        <v>89</v>
      </c>
      <c r="G238" s="6">
        <f t="shared" si="32"/>
        <v>0</v>
      </c>
      <c r="H238" s="6">
        <f t="shared" si="33"/>
        <v>0</v>
      </c>
      <c r="I238" s="6">
        <f t="shared" si="34"/>
        <v>1</v>
      </c>
      <c r="J238" s="6">
        <f>$V$5+$W$5*penguins[[#This Row],[Culmen Length (mm)]]+penguins[[#This Row],[Culmen Depth (mm)]]*$X$5+$Y$5*penguins[[#This Row],[Flipper Length (mm)]]+penguins[[#This Row],[Body mass (g)]]*$Z$5+$AA$5*penguins[[#This Row],[Gender]]</f>
        <v>-366.67222314553209</v>
      </c>
      <c r="K238" s="6">
        <f>$V$6+$W$6*penguins[[#This Row],[Culmen Length (mm)]]+penguins[[#This Row],[Culmen Depth (mm)]]*$X$6+$Y$6*penguins[[#This Row],[Flipper Length (mm)]]+penguins[[#This Row],[Body mass (g)]]*$Z$6+$AA$6*penguins[[#This Row],[Gender]]</f>
        <v>-366.56316022442405</v>
      </c>
      <c r="L238" s="6">
        <f>$V$7+$W$7*penguins[[#This Row],[Culmen Length (mm)]]+penguins[[#This Row],[Culmen Depth (mm)]]*$X$7+$Y$7*penguins[[#This Row],[Flipper Length (mm)]]+penguins[[#This Row],[Body mass (g)]]*$Z$7+$AA$7*penguins[[#This Row],[Gender]]</f>
        <v>-363.29670645989432</v>
      </c>
      <c r="M238" s="6">
        <f t="shared" si="35"/>
        <v>3.1893226610508231E-2</v>
      </c>
      <c r="N238" s="6">
        <f t="shared" si="36"/>
        <v>3.5568363477380453E-2</v>
      </c>
      <c r="O238" s="6">
        <f t="shared" si="37"/>
        <v>0.93253840991211123</v>
      </c>
      <c r="P238" s="6">
        <f t="shared" si="38"/>
        <v>-6.9844938058186895E-2</v>
      </c>
    </row>
    <row r="239" spans="1:16" x14ac:dyDescent="0.3">
      <c r="A239">
        <v>482</v>
      </c>
      <c r="B239">
        <v>143</v>
      </c>
      <c r="C239">
        <v>210</v>
      </c>
      <c r="D239">
        <v>4600</v>
      </c>
      <c r="E239">
        <v>0</v>
      </c>
      <c r="F239" s="6" t="s">
        <v>89</v>
      </c>
      <c r="G239" s="6">
        <f t="shared" si="32"/>
        <v>0</v>
      </c>
      <c r="H239" s="6">
        <f t="shared" si="33"/>
        <v>0</v>
      </c>
      <c r="I239" s="6">
        <f t="shared" si="34"/>
        <v>1</v>
      </c>
      <c r="J239" s="6">
        <f>$V$5+$W$5*penguins[[#This Row],[Culmen Length (mm)]]+penguins[[#This Row],[Culmen Depth (mm)]]*$X$5+$Y$5*penguins[[#This Row],[Flipper Length (mm)]]+penguins[[#This Row],[Body mass (g)]]*$Z$5+$AA$5*penguins[[#This Row],[Gender]]</f>
        <v>-295.337297530581</v>
      </c>
      <c r="K239" s="6">
        <f>$V$6+$W$6*penguins[[#This Row],[Culmen Length (mm)]]+penguins[[#This Row],[Culmen Depth (mm)]]*$X$6+$Y$6*penguins[[#This Row],[Flipper Length (mm)]]+penguins[[#This Row],[Body mass (g)]]*$Z$6+$AA$6*penguins[[#This Row],[Gender]]</f>
        <v>-295.59734576673208</v>
      </c>
      <c r="L239" s="6">
        <f>$V$7+$W$7*penguins[[#This Row],[Culmen Length (mm)]]+penguins[[#This Row],[Culmen Depth (mm)]]*$X$7+$Y$7*penguins[[#This Row],[Flipper Length (mm)]]+penguins[[#This Row],[Body mass (g)]]*$Z$7+$AA$7*penguins[[#This Row],[Gender]]</f>
        <v>-294.373285347251</v>
      </c>
      <c r="M239" s="6">
        <f t="shared" si="35"/>
        <v>0.22762396544342367</v>
      </c>
      <c r="N239" s="6">
        <f t="shared" si="36"/>
        <v>0.17550135380805612</v>
      </c>
      <c r="O239" s="6">
        <f t="shared" si="37"/>
        <v>0.59687468074852035</v>
      </c>
      <c r="P239" s="6">
        <f t="shared" si="38"/>
        <v>-0.51604810261887435</v>
      </c>
    </row>
    <row r="240" spans="1:16" x14ac:dyDescent="0.3">
      <c r="A240">
        <v>50</v>
      </c>
      <c r="B240">
        <v>153</v>
      </c>
      <c r="C240">
        <v>220</v>
      </c>
      <c r="D240">
        <v>5550</v>
      </c>
      <c r="E240">
        <v>1</v>
      </c>
      <c r="F240" s="6" t="s">
        <v>89</v>
      </c>
      <c r="G240" s="6">
        <f t="shared" si="32"/>
        <v>0</v>
      </c>
      <c r="H240" s="6">
        <f t="shared" si="33"/>
        <v>0</v>
      </c>
      <c r="I240" s="6">
        <f t="shared" si="34"/>
        <v>1</v>
      </c>
      <c r="J240" s="6">
        <f>$V$5+$W$5*penguins[[#This Row],[Culmen Length (mm)]]+penguins[[#This Row],[Culmen Depth (mm)]]*$X$5+$Y$5*penguins[[#This Row],[Flipper Length (mm)]]+penguins[[#This Row],[Body mass (g)]]*$Z$5+$AA$5*penguins[[#This Row],[Gender]]</f>
        <v>-361.30692187721627</v>
      </c>
      <c r="K240" s="6">
        <f>$V$6+$W$6*penguins[[#This Row],[Culmen Length (mm)]]+penguins[[#This Row],[Culmen Depth (mm)]]*$X$6+$Y$6*penguins[[#This Row],[Flipper Length (mm)]]+penguins[[#This Row],[Body mass (g)]]*$Z$6+$AA$6*penguins[[#This Row],[Gender]]</f>
        <v>-362.40911714393269</v>
      </c>
      <c r="L240" s="6">
        <f>$V$7+$W$7*penguins[[#This Row],[Culmen Length (mm)]]+penguins[[#This Row],[Culmen Depth (mm)]]*$X$7+$Y$7*penguins[[#This Row],[Flipper Length (mm)]]+penguins[[#This Row],[Body mass (g)]]*$Z$7+$AA$7*penguins[[#This Row],[Gender]]</f>
        <v>-360.65288072276593</v>
      </c>
      <c r="M240" s="6">
        <f t="shared" si="35"/>
        <v>0.30717826781746732</v>
      </c>
      <c r="N240" s="6">
        <f t="shared" si="36"/>
        <v>0.10202654140342113</v>
      </c>
      <c r="O240" s="6">
        <f t="shared" si="37"/>
        <v>0.59079519077911158</v>
      </c>
      <c r="P240" s="6">
        <f t="shared" si="38"/>
        <v>-0.52628586854235049</v>
      </c>
    </row>
    <row r="241" spans="1:16" x14ac:dyDescent="0.3">
      <c r="A241">
        <v>473</v>
      </c>
      <c r="B241">
        <v>153</v>
      </c>
      <c r="C241">
        <v>222</v>
      </c>
      <c r="D241">
        <v>5250</v>
      </c>
      <c r="E241">
        <v>1</v>
      </c>
      <c r="F241" s="6" t="s">
        <v>89</v>
      </c>
      <c r="G241" s="6">
        <f t="shared" si="32"/>
        <v>0</v>
      </c>
      <c r="H241" s="6">
        <f t="shared" si="33"/>
        <v>0</v>
      </c>
      <c r="I241" s="6">
        <f t="shared" si="34"/>
        <v>1</v>
      </c>
      <c r="J241" s="6">
        <f>$V$5+$W$5*penguins[[#This Row],[Culmen Length (mm)]]+penguins[[#This Row],[Culmen Depth (mm)]]*$X$5+$Y$5*penguins[[#This Row],[Flipper Length (mm)]]+penguins[[#This Row],[Body mass (g)]]*$Z$5+$AA$5*penguins[[#This Row],[Gender]]</f>
        <v>-337.95660480818691</v>
      </c>
      <c r="K241" s="6">
        <f>$V$6+$W$6*penguins[[#This Row],[Culmen Length (mm)]]+penguins[[#This Row],[Culmen Depth (mm)]]*$X$6+$Y$6*penguins[[#This Row],[Flipper Length (mm)]]+penguins[[#This Row],[Body mass (g)]]*$Z$6+$AA$6*penguins[[#This Row],[Gender]]</f>
        <v>-338.56485356671885</v>
      </c>
      <c r="L241" s="6">
        <f>$V$7+$W$7*penguins[[#This Row],[Culmen Length (mm)]]+penguins[[#This Row],[Culmen Depth (mm)]]*$X$7+$Y$7*penguins[[#This Row],[Flipper Length (mm)]]+penguins[[#This Row],[Body mass (g)]]*$Z$7+$AA$7*penguins[[#This Row],[Gender]]</f>
        <v>-336.81105642409176</v>
      </c>
      <c r="M241" s="6">
        <f t="shared" si="35"/>
        <v>0.2132892724057</v>
      </c>
      <c r="N241" s="6">
        <f t="shared" si="36"/>
        <v>0.11609404230955156</v>
      </c>
      <c r="O241" s="6">
        <f t="shared" si="37"/>
        <v>0.67061668528474838</v>
      </c>
      <c r="P241" s="6">
        <f t="shared" si="38"/>
        <v>-0.39955756413107441</v>
      </c>
    </row>
    <row r="242" spans="1:16" x14ac:dyDescent="0.3">
      <c r="A242">
        <v>428</v>
      </c>
      <c r="B242">
        <v>142</v>
      </c>
      <c r="C242">
        <v>209</v>
      </c>
      <c r="D242">
        <v>4700</v>
      </c>
      <c r="E242">
        <v>0</v>
      </c>
      <c r="F242" s="6" t="s">
        <v>89</v>
      </c>
      <c r="G242" s="6">
        <f t="shared" si="32"/>
        <v>0</v>
      </c>
      <c r="H242" s="6">
        <f t="shared" si="33"/>
        <v>0</v>
      </c>
      <c r="I242" s="6">
        <f t="shared" si="34"/>
        <v>1</v>
      </c>
      <c r="J242" s="6">
        <f>$V$5+$W$5*penguins[[#This Row],[Culmen Length (mm)]]+penguins[[#This Row],[Culmen Depth (mm)]]*$X$5+$Y$5*penguins[[#This Row],[Flipper Length (mm)]]+penguins[[#This Row],[Body mass (g)]]*$Z$5+$AA$5*penguins[[#This Row],[Gender]]</f>
        <v>-302.40119875962318</v>
      </c>
      <c r="K242" s="6">
        <f>$V$6+$W$6*penguins[[#This Row],[Culmen Length (mm)]]+penguins[[#This Row],[Culmen Depth (mm)]]*$X$6+$Y$6*penguins[[#This Row],[Flipper Length (mm)]]+penguins[[#This Row],[Body mass (g)]]*$Z$6+$AA$6*penguins[[#This Row],[Gender]]</f>
        <v>-302.79364709161365</v>
      </c>
      <c r="L242" s="6">
        <f>$V$7+$W$7*penguins[[#This Row],[Culmen Length (mm)]]+penguins[[#This Row],[Culmen Depth (mm)]]*$X$7+$Y$7*penguins[[#This Row],[Flipper Length (mm)]]+penguins[[#This Row],[Body mass (g)]]*$Z$7+$AA$7*penguins[[#This Row],[Gender]]</f>
        <v>-301.4267321226738</v>
      </c>
      <c r="M242" s="6">
        <f t="shared" si="35"/>
        <v>0.2312055977851592</v>
      </c>
      <c r="N242" s="6">
        <f t="shared" si="36"/>
        <v>0.15615654792200229</v>
      </c>
      <c r="O242" s="6">
        <f t="shared" si="37"/>
        <v>0.61263785429283857</v>
      </c>
      <c r="P242" s="6">
        <f t="shared" si="38"/>
        <v>-0.48998129365410431</v>
      </c>
    </row>
    <row r="243" spans="1:16" x14ac:dyDescent="0.3">
      <c r="A243">
        <v>451</v>
      </c>
      <c r="B243">
        <v>145</v>
      </c>
      <c r="C243">
        <v>207</v>
      </c>
      <c r="D243">
        <v>5050</v>
      </c>
      <c r="E243">
        <v>0</v>
      </c>
      <c r="F243" s="6" t="s">
        <v>89</v>
      </c>
      <c r="G243" s="6">
        <f t="shared" si="32"/>
        <v>0</v>
      </c>
      <c r="H243" s="6">
        <f t="shared" si="33"/>
        <v>0</v>
      </c>
      <c r="I243" s="6">
        <f t="shared" si="34"/>
        <v>1</v>
      </c>
      <c r="J243" s="6">
        <f>$V$5+$W$5*penguins[[#This Row],[Culmen Length (mm)]]+penguins[[#This Row],[Culmen Depth (mm)]]*$X$5+$Y$5*penguins[[#This Row],[Flipper Length (mm)]]+penguins[[#This Row],[Body mass (g)]]*$Z$5+$AA$5*penguins[[#This Row],[Gender]]</f>
        <v>-325.20661391068035</v>
      </c>
      <c r="K243" s="6">
        <f>$V$6+$W$6*penguins[[#This Row],[Culmen Length (mm)]]+penguins[[#This Row],[Culmen Depth (mm)]]*$X$6+$Y$6*penguins[[#This Row],[Flipper Length (mm)]]+penguins[[#This Row],[Body mass (g)]]*$Z$6+$AA$6*penguins[[#This Row],[Gender]]</f>
        <v>-326.0077025852184</v>
      </c>
      <c r="L243" s="6">
        <f>$V$7+$W$7*penguins[[#This Row],[Culmen Length (mm)]]+penguins[[#This Row],[Culmen Depth (mm)]]*$X$7+$Y$7*penguins[[#This Row],[Flipper Length (mm)]]+penguins[[#This Row],[Body mass (g)]]*$Z$7+$AA$7*penguins[[#This Row],[Gender]]</f>
        <v>-323.90930209469701</v>
      </c>
      <c r="M243" s="6">
        <f t="shared" si="35"/>
        <v>0.19576036966714633</v>
      </c>
      <c r="N243" s="6">
        <f t="shared" si="36"/>
        <v>8.7865095537154103E-2</v>
      </c>
      <c r="O243" s="6">
        <f t="shared" si="37"/>
        <v>0.71637453479569957</v>
      </c>
      <c r="P243" s="6">
        <f t="shared" si="38"/>
        <v>-0.33355215549701128</v>
      </c>
    </row>
    <row r="244" spans="1:16" x14ac:dyDescent="0.3">
      <c r="A244">
        <v>596</v>
      </c>
      <c r="B244">
        <v>17</v>
      </c>
      <c r="C244">
        <v>230</v>
      </c>
      <c r="D244">
        <v>6050</v>
      </c>
      <c r="E244">
        <v>1</v>
      </c>
      <c r="F244" s="6" t="s">
        <v>89</v>
      </c>
      <c r="G244" s="6">
        <f t="shared" si="32"/>
        <v>0</v>
      </c>
      <c r="H244" s="6">
        <f t="shared" si="33"/>
        <v>0</v>
      </c>
      <c r="I244" s="6">
        <f t="shared" si="34"/>
        <v>1</v>
      </c>
      <c r="J244" s="6">
        <f>$V$5+$W$5*penguins[[#This Row],[Culmen Length (mm)]]+penguins[[#This Row],[Culmen Depth (mm)]]*$X$5+$Y$5*penguins[[#This Row],[Flipper Length (mm)]]+penguins[[#This Row],[Body mass (g)]]*$Z$5+$AA$5*penguins[[#This Row],[Gender]]</f>
        <v>-391.90733553420461</v>
      </c>
      <c r="K244" s="6">
        <f>$V$6+$W$6*penguins[[#This Row],[Culmen Length (mm)]]+penguins[[#This Row],[Culmen Depth (mm)]]*$X$6+$Y$6*penguins[[#This Row],[Flipper Length (mm)]]+penguins[[#This Row],[Body mass (g)]]*$Z$6+$AA$6*penguins[[#This Row],[Gender]]</f>
        <v>-391.7768969204385</v>
      </c>
      <c r="L244" s="6">
        <f>$V$7+$W$7*penguins[[#This Row],[Culmen Length (mm)]]+penguins[[#This Row],[Culmen Depth (mm)]]*$X$7+$Y$7*penguins[[#This Row],[Flipper Length (mm)]]+penguins[[#This Row],[Body mass (g)]]*$Z$7+$AA$7*penguins[[#This Row],[Gender]]</f>
        <v>-388.1354172727282</v>
      </c>
      <c r="M244" s="6">
        <f t="shared" si="35"/>
        <v>2.1928532410022065E-2</v>
      </c>
      <c r="N244" s="6">
        <f t="shared" si="36"/>
        <v>2.4983790944959935E-2</v>
      </c>
      <c r="O244" s="6">
        <f t="shared" si="37"/>
        <v>0.95308767664501803</v>
      </c>
      <c r="P244" s="6">
        <f t="shared" si="38"/>
        <v>-4.8048378882908659E-2</v>
      </c>
    </row>
    <row r="245" spans="1:16" x14ac:dyDescent="0.3">
      <c r="A245">
        <v>491</v>
      </c>
      <c r="B245">
        <v>148</v>
      </c>
      <c r="C245">
        <v>220</v>
      </c>
      <c r="D245">
        <v>5150</v>
      </c>
      <c r="E245">
        <v>0</v>
      </c>
      <c r="F245" s="6" t="s">
        <v>89</v>
      </c>
      <c r="G245" s="6">
        <f t="shared" si="32"/>
        <v>0</v>
      </c>
      <c r="H245" s="6">
        <f t="shared" si="33"/>
        <v>0</v>
      </c>
      <c r="I245" s="6">
        <f t="shared" si="34"/>
        <v>1</v>
      </c>
      <c r="J245" s="6">
        <f>$V$5+$W$5*penguins[[#This Row],[Culmen Length (mm)]]+penguins[[#This Row],[Culmen Depth (mm)]]*$X$5+$Y$5*penguins[[#This Row],[Flipper Length (mm)]]+penguins[[#This Row],[Body mass (g)]]*$Z$5+$AA$5*penguins[[#This Row],[Gender]]</f>
        <v>-331.34300093855251</v>
      </c>
      <c r="K245" s="6">
        <f>$V$6+$W$6*penguins[[#This Row],[Culmen Length (mm)]]+penguins[[#This Row],[Culmen Depth (mm)]]*$X$6+$Y$6*penguins[[#This Row],[Flipper Length (mm)]]+penguins[[#This Row],[Body mass (g)]]*$Z$6+$AA$6*penguins[[#This Row],[Gender]]</f>
        <v>-331.921655160304</v>
      </c>
      <c r="L245" s="6">
        <f>$V$7+$W$7*penguins[[#This Row],[Culmen Length (mm)]]+penguins[[#This Row],[Culmen Depth (mm)]]*$X$7+$Y$7*penguins[[#This Row],[Flipper Length (mm)]]+penguins[[#This Row],[Body mass (g)]]*$Z$7+$AA$7*penguins[[#This Row],[Gender]]</f>
        <v>-330.04487483025321</v>
      </c>
      <c r="M245" s="6">
        <f t="shared" si="35"/>
        <v>0.19145792786355104</v>
      </c>
      <c r="N245" s="6">
        <f t="shared" si="36"/>
        <v>0.10734134155904831</v>
      </c>
      <c r="O245" s="6">
        <f t="shared" si="37"/>
        <v>0.70120073057740062</v>
      </c>
      <c r="P245" s="6">
        <f t="shared" si="38"/>
        <v>-0.35496108403970678</v>
      </c>
    </row>
    <row r="246" spans="1:16" x14ac:dyDescent="0.3">
      <c r="A246">
        <v>484</v>
      </c>
      <c r="B246">
        <v>163</v>
      </c>
      <c r="C246">
        <v>220</v>
      </c>
      <c r="D246">
        <v>5400</v>
      </c>
      <c r="E246">
        <v>1</v>
      </c>
      <c r="F246" s="6" t="s">
        <v>89</v>
      </c>
      <c r="G246" s="6">
        <f t="shared" si="32"/>
        <v>0</v>
      </c>
      <c r="H246" s="6">
        <f t="shared" si="33"/>
        <v>0</v>
      </c>
      <c r="I246" s="6">
        <f t="shared" si="34"/>
        <v>1</v>
      </c>
      <c r="J246" s="6">
        <f>$V$5+$W$5*penguins[[#This Row],[Culmen Length (mm)]]+penguins[[#This Row],[Culmen Depth (mm)]]*$X$5+$Y$5*penguins[[#This Row],[Flipper Length (mm)]]+penguins[[#This Row],[Body mass (g)]]*$Z$5+$AA$5*penguins[[#This Row],[Gender]]</f>
        <v>-347.57455301227236</v>
      </c>
      <c r="K246" s="6">
        <f>$V$6+$W$6*penguins[[#This Row],[Culmen Length (mm)]]+penguins[[#This Row],[Culmen Depth (mm)]]*$X$6+$Y$6*penguins[[#This Row],[Flipper Length (mm)]]+penguins[[#This Row],[Body mass (g)]]*$Z$6+$AA$6*penguins[[#This Row],[Gender]]</f>
        <v>-348.46761380703526</v>
      </c>
      <c r="L246" s="6">
        <f>$V$7+$W$7*penguins[[#This Row],[Culmen Length (mm)]]+penguins[[#This Row],[Culmen Depth (mm)]]*$X$7+$Y$7*penguins[[#This Row],[Flipper Length (mm)]]+penguins[[#This Row],[Body mass (g)]]*$Z$7+$AA$7*penguins[[#This Row],[Gender]]</f>
        <v>-346.39251529910132</v>
      </c>
      <c r="M246" s="6">
        <f t="shared" si="35"/>
        <v>0.21411381820940453</v>
      </c>
      <c r="N246" s="6">
        <f t="shared" si="36"/>
        <v>8.7658355923371734E-2</v>
      </c>
      <c r="O246" s="6">
        <f t="shared" si="37"/>
        <v>0.69822782586722376</v>
      </c>
      <c r="P246" s="6">
        <f t="shared" si="38"/>
        <v>-0.3592098313854547</v>
      </c>
    </row>
    <row r="247" spans="1:16" x14ac:dyDescent="0.3">
      <c r="A247">
        <v>426</v>
      </c>
      <c r="B247">
        <v>137</v>
      </c>
      <c r="C247">
        <v>213</v>
      </c>
      <c r="D247">
        <v>4950</v>
      </c>
      <c r="E247">
        <v>0</v>
      </c>
      <c r="F247" s="6" t="s">
        <v>89</v>
      </c>
      <c r="G247" s="6">
        <f t="shared" si="32"/>
        <v>0</v>
      </c>
      <c r="H247" s="6">
        <f t="shared" si="33"/>
        <v>0</v>
      </c>
      <c r="I247" s="6">
        <f t="shared" si="34"/>
        <v>1</v>
      </c>
      <c r="J247" s="6">
        <f>$V$5+$W$5*penguins[[#This Row],[Culmen Length (mm)]]+penguins[[#This Row],[Culmen Depth (mm)]]*$X$5+$Y$5*penguins[[#This Row],[Flipper Length (mm)]]+penguins[[#This Row],[Body mass (g)]]*$Z$5+$AA$5*penguins[[#This Row],[Gender]]</f>
        <v>-318.94752630487153</v>
      </c>
      <c r="K247" s="6">
        <f>$V$6+$W$6*penguins[[#This Row],[Culmen Length (mm)]]+penguins[[#This Row],[Culmen Depth (mm)]]*$X$6+$Y$6*penguins[[#This Row],[Flipper Length (mm)]]+penguins[[#This Row],[Body mass (g)]]*$Z$6+$AA$6*penguins[[#This Row],[Gender]]</f>
        <v>-319.43344932847549</v>
      </c>
      <c r="L247" s="6">
        <f>$V$7+$W$7*penguins[[#This Row],[Culmen Length (mm)]]+penguins[[#This Row],[Culmen Depth (mm)]]*$X$7+$Y$7*penguins[[#This Row],[Flipper Length (mm)]]+penguins[[#This Row],[Body mass (g)]]*$Z$7+$AA$7*penguins[[#This Row],[Gender]]</f>
        <v>-317.73180134262367</v>
      </c>
      <c r="M247" s="6">
        <f t="shared" si="35"/>
        <v>0.20048648277303155</v>
      </c>
      <c r="N247" s="6">
        <f t="shared" si="36"/>
        <v>0.12332508092087585</v>
      </c>
      <c r="O247" s="6">
        <f t="shared" si="37"/>
        <v>0.6761884363060926</v>
      </c>
      <c r="P247" s="6">
        <f t="shared" si="38"/>
        <v>-0.39128348985118472</v>
      </c>
    </row>
    <row r="248" spans="1:16" x14ac:dyDescent="0.3">
      <c r="A248">
        <v>444</v>
      </c>
      <c r="B248">
        <v>173</v>
      </c>
      <c r="C248">
        <v>219</v>
      </c>
      <c r="D248">
        <v>5250</v>
      </c>
      <c r="E248">
        <v>1</v>
      </c>
      <c r="F248" s="6" t="s">
        <v>89</v>
      </c>
      <c r="G248" s="6">
        <f t="shared" si="32"/>
        <v>0</v>
      </c>
      <c r="H248" s="6">
        <f t="shared" si="33"/>
        <v>0</v>
      </c>
      <c r="I248" s="6">
        <f t="shared" si="34"/>
        <v>1</v>
      </c>
      <c r="J248" s="6">
        <f>$V$5+$W$5*penguins[[#This Row],[Culmen Length (mm)]]+penguins[[#This Row],[Culmen Depth (mm)]]*$X$5+$Y$5*penguins[[#This Row],[Flipper Length (mm)]]+penguins[[#This Row],[Body mass (g)]]*$Z$5+$AA$5*penguins[[#This Row],[Gender]]</f>
        <v>-337.86901951267282</v>
      </c>
      <c r="K248" s="6">
        <f>$V$6+$W$6*penguins[[#This Row],[Culmen Length (mm)]]+penguins[[#This Row],[Culmen Depth (mm)]]*$X$6+$Y$6*penguins[[#This Row],[Flipper Length (mm)]]+penguins[[#This Row],[Body mass (g)]]*$Z$6+$AA$6*penguins[[#This Row],[Gender]]</f>
        <v>-338.75007995303719</v>
      </c>
      <c r="L248" s="6">
        <f>$V$7+$W$7*penguins[[#This Row],[Culmen Length (mm)]]+penguins[[#This Row],[Culmen Depth (mm)]]*$X$7+$Y$7*penguins[[#This Row],[Flipper Length (mm)]]+penguins[[#This Row],[Body mass (g)]]*$Z$7+$AA$7*penguins[[#This Row],[Gender]]</f>
        <v>-337.01130362073758</v>
      </c>
      <c r="M248" s="6">
        <f t="shared" si="35"/>
        <v>0.26510344487156778</v>
      </c>
      <c r="N248" s="6">
        <f t="shared" si="36"/>
        <v>0.1098438341417584</v>
      </c>
      <c r="O248" s="6">
        <f t="shared" si="37"/>
        <v>0.62505272098667375</v>
      </c>
      <c r="P248" s="6">
        <f t="shared" si="38"/>
        <v>-0.46991927922462062</v>
      </c>
    </row>
    <row r="249" spans="1:16" x14ac:dyDescent="0.3">
      <c r="A249">
        <v>44</v>
      </c>
      <c r="B249">
        <v>136</v>
      </c>
      <c r="C249">
        <v>208</v>
      </c>
      <c r="D249">
        <v>4350</v>
      </c>
      <c r="E249">
        <v>0</v>
      </c>
      <c r="F249" s="6" t="s">
        <v>89</v>
      </c>
      <c r="G249" s="6">
        <f t="shared" si="32"/>
        <v>0</v>
      </c>
      <c r="H249" s="6">
        <f t="shared" si="33"/>
        <v>0</v>
      </c>
      <c r="I249" s="6">
        <f t="shared" si="34"/>
        <v>1</v>
      </c>
      <c r="J249" s="6">
        <f>$V$5+$W$5*penguins[[#This Row],[Culmen Length (mm)]]+penguins[[#This Row],[Culmen Depth (mm)]]*$X$5+$Y$5*penguins[[#This Row],[Flipper Length (mm)]]+penguins[[#This Row],[Body mass (g)]]*$Z$5+$AA$5*penguins[[#This Row],[Gender]]</f>
        <v>-282.72430039837212</v>
      </c>
      <c r="K249" s="6">
        <f>$V$6+$W$6*penguins[[#This Row],[Culmen Length (mm)]]+penguins[[#This Row],[Culmen Depth (mm)]]*$X$6+$Y$6*penguins[[#This Row],[Flipper Length (mm)]]+penguins[[#This Row],[Body mass (g)]]*$Z$6+$AA$6*penguins[[#This Row],[Gender]]</f>
        <v>-282.88763254849084</v>
      </c>
      <c r="L249" s="6">
        <f>$V$7+$W$7*penguins[[#This Row],[Culmen Length (mm)]]+penguins[[#This Row],[Culmen Depth (mm)]]*$X$7+$Y$7*penguins[[#This Row],[Flipper Length (mm)]]+penguins[[#This Row],[Body mass (g)]]*$Z$7+$AA$7*penguins[[#This Row],[Gender]]</f>
        <v>-282.66196489180095</v>
      </c>
      <c r="M249" s="6">
        <f t="shared" si="35"/>
        <v>0.34321466493308911</v>
      </c>
      <c r="N249" s="6">
        <f t="shared" si="36"/>
        <v>0.29149531877587925</v>
      </c>
      <c r="O249" s="6">
        <f t="shared" si="37"/>
        <v>0.36529001629103158</v>
      </c>
      <c r="P249" s="6">
        <f t="shared" si="38"/>
        <v>-1.0070636757185381</v>
      </c>
    </row>
    <row r="250" spans="1:16" x14ac:dyDescent="0.3">
      <c r="A250">
        <v>487</v>
      </c>
      <c r="B250">
        <v>157</v>
      </c>
      <c r="C250">
        <v>208</v>
      </c>
      <c r="D250">
        <v>5350</v>
      </c>
      <c r="E250">
        <v>1</v>
      </c>
      <c r="F250" s="6" t="s">
        <v>89</v>
      </c>
      <c r="G250" s="6">
        <f t="shared" si="32"/>
        <v>0</v>
      </c>
      <c r="H250" s="6">
        <f t="shared" si="33"/>
        <v>0</v>
      </c>
      <c r="I250" s="6">
        <f t="shared" si="34"/>
        <v>1</v>
      </c>
      <c r="J250" s="6">
        <f>$V$5+$W$5*penguins[[#This Row],[Culmen Length (mm)]]+penguins[[#This Row],[Culmen Depth (mm)]]*$X$5+$Y$5*penguins[[#This Row],[Flipper Length (mm)]]+penguins[[#This Row],[Body mass (g)]]*$Z$5+$AA$5*penguins[[#This Row],[Gender]]</f>
        <v>-344.41292596709906</v>
      </c>
      <c r="K250" s="6">
        <f>$V$6+$W$6*penguins[[#This Row],[Culmen Length (mm)]]+penguins[[#This Row],[Culmen Depth (mm)]]*$X$6+$Y$6*penguins[[#This Row],[Flipper Length (mm)]]+penguins[[#This Row],[Body mass (g)]]*$Z$6+$AA$6*penguins[[#This Row],[Gender]]</f>
        <v>-345.50773241081896</v>
      </c>
      <c r="L250" s="6">
        <f>$V$7+$W$7*penguins[[#This Row],[Culmen Length (mm)]]+penguins[[#This Row],[Culmen Depth (mm)]]*$X$7+$Y$7*penguins[[#This Row],[Flipper Length (mm)]]+penguins[[#This Row],[Body mass (g)]]*$Z$7+$AA$7*penguins[[#This Row],[Gender]]</f>
        <v>-343.08014790196415</v>
      </c>
      <c r="M250" s="6">
        <f t="shared" si="35"/>
        <v>0.19507755568893345</v>
      </c>
      <c r="N250" s="6">
        <f t="shared" si="36"/>
        <v>6.5273801736291673E-2</v>
      </c>
      <c r="O250" s="6">
        <f t="shared" si="37"/>
        <v>0.73964864257477492</v>
      </c>
      <c r="P250" s="6">
        <f t="shared" si="38"/>
        <v>-0.30158001287200104</v>
      </c>
    </row>
    <row r="251" spans="1:16" x14ac:dyDescent="0.3">
      <c r="A251">
        <v>427</v>
      </c>
      <c r="B251">
        <v>137</v>
      </c>
      <c r="C251">
        <v>208</v>
      </c>
      <c r="D251">
        <v>3950</v>
      </c>
      <c r="E251">
        <v>0</v>
      </c>
      <c r="F251" s="6" t="s">
        <v>89</v>
      </c>
      <c r="G251" s="6">
        <f t="shared" si="32"/>
        <v>0</v>
      </c>
      <c r="H251" s="6">
        <f t="shared" si="33"/>
        <v>0</v>
      </c>
      <c r="I251" s="6">
        <f t="shared" si="34"/>
        <v>1</v>
      </c>
      <c r="J251" s="6">
        <f>$V$5+$W$5*penguins[[#This Row],[Culmen Length (mm)]]+penguins[[#This Row],[Culmen Depth (mm)]]*$X$5+$Y$5*penguins[[#This Row],[Flipper Length (mm)]]+penguins[[#This Row],[Body mass (g)]]*$Z$5+$AA$5*penguins[[#This Row],[Gender]]</f>
        <v>-253.12075426281993</v>
      </c>
      <c r="K251" s="6">
        <f>$V$6+$W$6*penguins[[#This Row],[Culmen Length (mm)]]+penguins[[#This Row],[Culmen Depth (mm)]]*$X$6+$Y$6*penguins[[#This Row],[Flipper Length (mm)]]+penguins[[#This Row],[Body mass (g)]]*$Z$6+$AA$6*penguins[[#This Row],[Gender]]</f>
        <v>-252.76846378794991</v>
      </c>
      <c r="L251" s="6">
        <f>$V$7+$W$7*penguins[[#This Row],[Culmen Length (mm)]]+penguins[[#This Row],[Culmen Depth (mm)]]*$X$7+$Y$7*penguins[[#This Row],[Flipper Length (mm)]]+penguins[[#This Row],[Body mass (g)]]*$Z$7+$AA$7*penguins[[#This Row],[Gender]]</f>
        <v>-252.72078207226809</v>
      </c>
      <c r="M251" s="6">
        <f t="shared" si="35"/>
        <v>0.25548625931502422</v>
      </c>
      <c r="N251" s="6">
        <f t="shared" si="36"/>
        <v>0.36338362829632276</v>
      </c>
      <c r="O251" s="6">
        <f t="shared" si="37"/>
        <v>0.38113011238865302</v>
      </c>
      <c r="P251" s="6">
        <f t="shared" si="38"/>
        <v>-0.96461445982166261</v>
      </c>
    </row>
    <row r="252" spans="1:16" x14ac:dyDescent="0.3">
      <c r="A252">
        <v>496</v>
      </c>
      <c r="B252">
        <v>16</v>
      </c>
      <c r="C252">
        <v>225</v>
      </c>
      <c r="D252">
        <v>5700</v>
      </c>
      <c r="E252">
        <v>1</v>
      </c>
      <c r="F252" s="6" t="s">
        <v>89</v>
      </c>
      <c r="G252" s="6">
        <f t="shared" si="32"/>
        <v>0</v>
      </c>
      <c r="H252" s="6">
        <f t="shared" si="33"/>
        <v>0</v>
      </c>
      <c r="I252" s="6">
        <f t="shared" si="34"/>
        <v>1</v>
      </c>
      <c r="J252" s="6">
        <f>$V$5+$W$5*penguins[[#This Row],[Culmen Length (mm)]]+penguins[[#This Row],[Culmen Depth (mm)]]*$X$5+$Y$5*penguins[[#This Row],[Flipper Length (mm)]]+penguins[[#This Row],[Body mass (g)]]*$Z$5+$AA$5*penguins[[#This Row],[Gender]]</f>
        <v>-369.75093778364766</v>
      </c>
      <c r="K252" s="6">
        <f>$V$6+$W$6*penguins[[#This Row],[Culmen Length (mm)]]+penguins[[#This Row],[Culmen Depth (mm)]]*$X$6+$Y$6*penguins[[#This Row],[Flipper Length (mm)]]+penguins[[#This Row],[Body mass (g)]]*$Z$6+$AA$6*penguins[[#This Row],[Gender]]</f>
        <v>-369.43725777629226</v>
      </c>
      <c r="L252" s="6">
        <f>$V$7+$W$7*penguins[[#This Row],[Culmen Length (mm)]]+penguins[[#This Row],[Culmen Depth (mm)]]*$X$7+$Y$7*penguins[[#This Row],[Flipper Length (mm)]]+penguins[[#This Row],[Body mass (g)]]*$Z$7+$AA$7*penguins[[#This Row],[Gender]]</f>
        <v>-366.40407713179371</v>
      </c>
      <c r="M252" s="6">
        <f t="shared" si="35"/>
        <v>3.2486680919622896E-2</v>
      </c>
      <c r="N252" s="6">
        <f t="shared" si="36"/>
        <v>4.4456456070105177E-2</v>
      </c>
      <c r="O252" s="6">
        <f t="shared" si="37"/>
        <v>0.9230568630102719</v>
      </c>
      <c r="P252" s="6">
        <f t="shared" si="38"/>
        <v>-8.006443964854619E-2</v>
      </c>
    </row>
    <row r="253" spans="1:16" x14ac:dyDescent="0.3">
      <c r="A253">
        <v>453</v>
      </c>
      <c r="B253">
        <v>137</v>
      </c>
      <c r="C253">
        <v>210</v>
      </c>
      <c r="D253">
        <v>4300</v>
      </c>
      <c r="E253">
        <v>0</v>
      </c>
      <c r="F253" s="6" t="s">
        <v>89</v>
      </c>
      <c r="G253" s="6">
        <f t="shared" si="32"/>
        <v>0</v>
      </c>
      <c r="H253" s="6">
        <f t="shared" si="33"/>
        <v>0</v>
      </c>
      <c r="I253" s="6">
        <f t="shared" si="34"/>
        <v>1</v>
      </c>
      <c r="J253" s="6">
        <f>$V$5+$W$5*penguins[[#This Row],[Culmen Length (mm)]]+penguins[[#This Row],[Culmen Depth (mm)]]*$X$5+$Y$5*penguins[[#This Row],[Flipper Length (mm)]]+penguins[[#This Row],[Body mass (g)]]*$Z$5+$AA$5*penguins[[#This Row],[Gender]]</f>
        <v>-275.93543009175409</v>
      </c>
      <c r="K253" s="6">
        <f>$V$6+$W$6*penguins[[#This Row],[Culmen Length (mm)]]+penguins[[#This Row],[Culmen Depth (mm)]]*$X$6+$Y$6*penguins[[#This Row],[Flipper Length (mm)]]+penguins[[#This Row],[Body mass (g)]]*$Z$6+$AA$6*penguins[[#This Row],[Gender]]</f>
        <v>-275.86058511326394</v>
      </c>
      <c r="L253" s="6">
        <f>$V$7+$W$7*penguins[[#This Row],[Culmen Length (mm)]]+penguins[[#This Row],[Culmen Depth (mm)]]*$X$7+$Y$7*penguins[[#This Row],[Flipper Length (mm)]]+penguins[[#This Row],[Body mass (g)]]*$Z$7+$AA$7*penguins[[#This Row],[Gender]]</f>
        <v>-275.20434045604202</v>
      </c>
      <c r="M253" s="6">
        <f t="shared" si="35"/>
        <v>0.24067041204608935</v>
      </c>
      <c r="N253" s="6">
        <f t="shared" si="36"/>
        <v>0.25937461097078013</v>
      </c>
      <c r="O253" s="6">
        <f t="shared" si="37"/>
        <v>0.49995497698313063</v>
      </c>
      <c r="P253" s="6">
        <f t="shared" si="38"/>
        <v>-0.69323723064807152</v>
      </c>
    </row>
    <row r="254" spans="1:16" x14ac:dyDescent="0.3">
      <c r="A254">
        <v>496</v>
      </c>
      <c r="B254">
        <v>15</v>
      </c>
      <c r="C254">
        <v>216</v>
      </c>
      <c r="D254">
        <v>4750</v>
      </c>
      <c r="E254">
        <v>1</v>
      </c>
      <c r="F254" s="6" t="s">
        <v>89</v>
      </c>
      <c r="G254" s="6">
        <f t="shared" si="32"/>
        <v>0</v>
      </c>
      <c r="H254" s="6">
        <f t="shared" si="33"/>
        <v>0</v>
      </c>
      <c r="I254" s="6">
        <f t="shared" si="34"/>
        <v>1</v>
      </c>
      <c r="J254" s="6">
        <f>$V$5+$W$5*penguins[[#This Row],[Culmen Length (mm)]]+penguins[[#This Row],[Culmen Depth (mm)]]*$X$5+$Y$5*penguins[[#This Row],[Flipper Length (mm)]]+penguins[[#This Row],[Body mass (g)]]*$Z$5+$AA$5*penguins[[#This Row],[Gender]]</f>
        <v>-307.25925586486323</v>
      </c>
      <c r="K254" s="6">
        <f>$V$6+$W$6*penguins[[#This Row],[Culmen Length (mm)]]+penguins[[#This Row],[Culmen Depth (mm)]]*$X$6+$Y$6*penguins[[#This Row],[Flipper Length (mm)]]+penguins[[#This Row],[Body mass (g)]]*$Z$6+$AA$6*penguins[[#This Row],[Gender]]</f>
        <v>-306.24899456413652</v>
      </c>
      <c r="L254" s="6">
        <f>$V$7+$W$7*penguins[[#This Row],[Culmen Length (mm)]]+penguins[[#This Row],[Culmen Depth (mm)]]*$X$7+$Y$7*penguins[[#This Row],[Flipper Length (mm)]]+penguins[[#This Row],[Body mass (g)]]*$Z$7+$AA$7*penguins[[#This Row],[Gender]]</f>
        <v>-304.63711195444409</v>
      </c>
      <c r="M254" s="6">
        <f t="shared" si="35"/>
        <v>5.7105259457829308E-2</v>
      </c>
      <c r="N254" s="6">
        <f t="shared" si="36"/>
        <v>0.15682923256912804</v>
      </c>
      <c r="O254" s="6">
        <f t="shared" si="37"/>
        <v>0.78606550797304264</v>
      </c>
      <c r="P254" s="6">
        <f t="shared" si="38"/>
        <v>-0.24071514654865164</v>
      </c>
    </row>
    <row r="255" spans="1:16" x14ac:dyDescent="0.3">
      <c r="A255">
        <v>505</v>
      </c>
      <c r="B255">
        <v>159</v>
      </c>
      <c r="C255">
        <v>222</v>
      </c>
      <c r="D255">
        <v>5550</v>
      </c>
      <c r="E255">
        <v>1</v>
      </c>
      <c r="F255" s="6" t="s">
        <v>89</v>
      </c>
      <c r="G255" s="6">
        <f t="shared" si="32"/>
        <v>0</v>
      </c>
      <c r="H255" s="6">
        <f t="shared" si="33"/>
        <v>0</v>
      </c>
      <c r="I255" s="6">
        <f t="shared" si="34"/>
        <v>1</v>
      </c>
      <c r="J255" s="6">
        <f>$V$5+$W$5*penguins[[#This Row],[Culmen Length (mm)]]+penguins[[#This Row],[Culmen Depth (mm)]]*$X$5+$Y$5*penguins[[#This Row],[Flipper Length (mm)]]+penguins[[#This Row],[Body mass (g)]]*$Z$5+$AA$5*penguins[[#This Row],[Gender]]</f>
        <v>-357.33301328481463</v>
      </c>
      <c r="K255" s="6">
        <f>$V$6+$W$6*penguins[[#This Row],[Culmen Length (mm)]]+penguins[[#This Row],[Culmen Depth (mm)]]*$X$6+$Y$6*penguins[[#This Row],[Flipper Length (mm)]]+penguins[[#This Row],[Body mass (g)]]*$Z$6+$AA$6*penguins[[#This Row],[Gender]]</f>
        <v>-358.27506938816788</v>
      </c>
      <c r="L255" s="6">
        <f>$V$7+$W$7*penguins[[#This Row],[Culmen Length (mm)]]+penguins[[#This Row],[Culmen Depth (mm)]]*$X$7+$Y$7*penguins[[#This Row],[Flipper Length (mm)]]+penguins[[#This Row],[Body mass (g)]]*$Z$7+$AA$7*penguins[[#This Row],[Gender]]</f>
        <v>-355.94909008115616</v>
      </c>
      <c r="M255" s="6">
        <f t="shared" si="35"/>
        <v>0.18586144220304865</v>
      </c>
      <c r="N255" s="6">
        <f t="shared" si="36"/>
        <v>7.2453527647366567E-2</v>
      </c>
      <c r="O255" s="6">
        <f t="shared" si="37"/>
        <v>0.74168503014958476</v>
      </c>
      <c r="P255" s="6">
        <f t="shared" si="38"/>
        <v>-0.29883061360417468</v>
      </c>
    </row>
    <row r="256" spans="1:16" x14ac:dyDescent="0.3">
      <c r="A256">
        <v>436</v>
      </c>
      <c r="B256">
        <v>139</v>
      </c>
      <c r="C256">
        <v>217</v>
      </c>
      <c r="D256">
        <v>4900</v>
      </c>
      <c r="E256">
        <v>0</v>
      </c>
      <c r="F256" s="6" t="s">
        <v>89</v>
      </c>
      <c r="G256" s="6">
        <f t="shared" si="32"/>
        <v>0</v>
      </c>
      <c r="H256" s="6">
        <f t="shared" si="33"/>
        <v>0</v>
      </c>
      <c r="I256" s="6">
        <f t="shared" si="34"/>
        <v>1</v>
      </c>
      <c r="J256" s="6">
        <f>$V$5+$W$5*penguins[[#This Row],[Culmen Length (mm)]]+penguins[[#This Row],[Culmen Depth (mm)]]*$X$5+$Y$5*penguins[[#This Row],[Flipper Length (mm)]]+penguins[[#This Row],[Body mass (g)]]*$Z$5+$AA$5*penguins[[#This Row],[Gender]]</f>
        <v>-315.51872696448754</v>
      </c>
      <c r="K256" s="6">
        <f>$V$6+$W$6*penguins[[#This Row],[Culmen Length (mm)]]+penguins[[#This Row],[Culmen Depth (mm)]]*$X$6+$Y$6*penguins[[#This Row],[Flipper Length (mm)]]+penguins[[#This Row],[Body mass (g)]]*$Z$6+$AA$6*penguins[[#This Row],[Gender]]</f>
        <v>-315.86904091764046</v>
      </c>
      <c r="L256" s="6">
        <f>$V$7+$W$7*penguins[[#This Row],[Culmen Length (mm)]]+penguins[[#This Row],[Culmen Depth (mm)]]*$X$7+$Y$7*penguins[[#This Row],[Flipper Length (mm)]]+penguins[[#This Row],[Body mass (g)]]*$Z$7+$AA$7*penguins[[#This Row],[Gender]]</f>
        <v>-314.39080866461131</v>
      </c>
      <c r="M256" s="6">
        <f t="shared" si="35"/>
        <v>0.20860774553056163</v>
      </c>
      <c r="N256" s="6">
        <f t="shared" si="36"/>
        <v>0.14695724876357033</v>
      </c>
      <c r="O256" s="6">
        <f t="shared" si="37"/>
        <v>0.64443500570586809</v>
      </c>
      <c r="P256" s="6">
        <f t="shared" si="38"/>
        <v>-0.43938130620958465</v>
      </c>
    </row>
    <row r="257" spans="1:16" x14ac:dyDescent="0.3">
      <c r="A257">
        <v>455</v>
      </c>
      <c r="B257">
        <v>139</v>
      </c>
      <c r="C257">
        <v>210</v>
      </c>
      <c r="D257">
        <v>4200</v>
      </c>
      <c r="E257">
        <v>0</v>
      </c>
      <c r="F257" s="6" t="s">
        <v>89</v>
      </c>
      <c r="G257" s="6">
        <f t="shared" si="32"/>
        <v>0</v>
      </c>
      <c r="H257" s="6">
        <f t="shared" si="33"/>
        <v>0</v>
      </c>
      <c r="I257" s="6">
        <f t="shared" si="34"/>
        <v>1</v>
      </c>
      <c r="J257" s="6">
        <f>$V$5+$W$5*penguins[[#This Row],[Culmen Length (mm)]]+penguins[[#This Row],[Culmen Depth (mm)]]*$X$5+$Y$5*penguins[[#This Row],[Flipper Length (mm)]]+penguins[[#This Row],[Body mass (g)]]*$Z$5+$AA$5*penguins[[#This Row],[Gender]]</f>
        <v>-269.29980454818246</v>
      </c>
      <c r="K257" s="6">
        <f>$V$6+$W$6*penguins[[#This Row],[Culmen Length (mm)]]+penguins[[#This Row],[Culmen Depth (mm)]]*$X$6+$Y$6*penguins[[#This Row],[Flipper Length (mm)]]+penguins[[#This Row],[Body mass (g)]]*$Z$6+$AA$6*penguins[[#This Row],[Gender]]</f>
        <v>-269.14622864751357</v>
      </c>
      <c r="L257" s="6">
        <f>$V$7+$W$7*penguins[[#This Row],[Culmen Length (mm)]]+penguins[[#This Row],[Culmen Depth (mm)]]*$X$7+$Y$7*penguins[[#This Row],[Flipper Length (mm)]]+penguins[[#This Row],[Body mass (g)]]*$Z$7+$AA$7*penguins[[#This Row],[Gender]]</f>
        <v>-268.6776622736752</v>
      </c>
      <c r="M257" s="6">
        <f t="shared" si="35"/>
        <v>0.24820603328969729</v>
      </c>
      <c r="N257" s="6">
        <f t="shared" si="36"/>
        <v>0.28940731239813933</v>
      </c>
      <c r="O257" s="6">
        <f t="shared" si="37"/>
        <v>0.46238665431216336</v>
      </c>
      <c r="P257" s="6">
        <f t="shared" si="38"/>
        <v>-0.77135382382213225</v>
      </c>
    </row>
    <row r="258" spans="1:16" x14ac:dyDescent="0.3">
      <c r="A258">
        <v>505</v>
      </c>
      <c r="B258">
        <v>159</v>
      </c>
      <c r="C258">
        <v>225</v>
      </c>
      <c r="D258">
        <v>5400</v>
      </c>
      <c r="E258">
        <v>1</v>
      </c>
      <c r="F258" s="6" t="s">
        <v>89</v>
      </c>
      <c r="G258" s="6">
        <f t="shared" si="32"/>
        <v>0</v>
      </c>
      <c r="H258" s="6">
        <f t="shared" si="33"/>
        <v>0</v>
      </c>
      <c r="I258" s="6">
        <f t="shared" si="34"/>
        <v>1</v>
      </c>
      <c r="J258" s="6">
        <f>$V$5+$W$5*penguins[[#This Row],[Culmen Length (mm)]]+penguins[[#This Row],[Culmen Depth (mm)]]*$X$5+$Y$5*penguins[[#This Row],[Flipper Length (mm)]]+penguins[[#This Row],[Body mass (g)]]*$Z$5+$AA$5*penguins[[#This Row],[Gender]]</f>
        <v>-347.44407290960305</v>
      </c>
      <c r="K258" s="6">
        <f>$V$6+$W$6*penguins[[#This Row],[Culmen Length (mm)]]+penguins[[#This Row],[Culmen Depth (mm)]]*$X$6+$Y$6*penguins[[#This Row],[Flipper Length (mm)]]+penguins[[#This Row],[Body mass (g)]]*$Z$6+$AA$6*penguins[[#This Row],[Gender]]</f>
        <v>-348.16457620916367</v>
      </c>
      <c r="L258" s="6">
        <f>$V$7+$W$7*penguins[[#This Row],[Culmen Length (mm)]]+penguins[[#This Row],[Culmen Depth (mm)]]*$X$7+$Y$7*penguins[[#This Row],[Flipper Length (mm)]]+penguins[[#This Row],[Body mass (g)]]*$Z$7+$AA$7*penguins[[#This Row],[Gender]]</f>
        <v>-346.21706243810144</v>
      </c>
      <c r="M258" s="6">
        <f t="shared" si="35"/>
        <v>0.20418479675013834</v>
      </c>
      <c r="N258" s="6">
        <f t="shared" si="36"/>
        <v>9.9337401396670327E-2</v>
      </c>
      <c r="O258" s="6">
        <f t="shared" si="37"/>
        <v>0.69647780185319119</v>
      </c>
      <c r="P258" s="6">
        <f t="shared" si="38"/>
        <v>-0.36171935726343218</v>
      </c>
    </row>
    <row r="259" spans="1:16" x14ac:dyDescent="0.3">
      <c r="A259">
        <v>449</v>
      </c>
      <c r="B259">
        <v>133</v>
      </c>
      <c r="C259">
        <v>213</v>
      </c>
      <c r="D259">
        <v>5100</v>
      </c>
      <c r="E259">
        <v>0</v>
      </c>
      <c r="F259" s="6" t="s">
        <v>89</v>
      </c>
      <c r="G259" s="6">
        <f t="shared" si="32"/>
        <v>0</v>
      </c>
      <c r="H259" s="6">
        <f t="shared" si="33"/>
        <v>0</v>
      </c>
      <c r="I259" s="6">
        <f t="shared" si="34"/>
        <v>1</v>
      </c>
      <c r="J259" s="6">
        <f>$V$5+$W$5*penguins[[#This Row],[Culmen Length (mm)]]+penguins[[#This Row],[Culmen Depth (mm)]]*$X$5+$Y$5*penguins[[#This Row],[Flipper Length (mm)]]+penguins[[#This Row],[Body mass (g)]]*$Z$5+$AA$5*penguins[[#This Row],[Gender]]</f>
        <v>-328.69765261168834</v>
      </c>
      <c r="K259" s="6">
        <f>$V$6+$W$6*penguins[[#This Row],[Culmen Length (mm)]]+penguins[[#This Row],[Culmen Depth (mm)]]*$X$6+$Y$6*penguins[[#This Row],[Flipper Length (mm)]]+penguins[[#This Row],[Body mass (g)]]*$Z$6+$AA$6*penguins[[#This Row],[Gender]]</f>
        <v>-329.28298040267612</v>
      </c>
      <c r="L259" s="6">
        <f>$V$7+$W$7*penguins[[#This Row],[Culmen Length (mm)]]+penguins[[#This Row],[Culmen Depth (mm)]]*$X$7+$Y$7*penguins[[#This Row],[Flipper Length (mm)]]+penguins[[#This Row],[Body mass (g)]]*$Z$7+$AA$7*penguins[[#This Row],[Gender]]</f>
        <v>-327.25812613616012</v>
      </c>
      <c r="M259" s="6">
        <f t="shared" si="35"/>
        <v>0.17314155587629401</v>
      </c>
      <c r="N259" s="6">
        <f t="shared" si="36"/>
        <v>9.6426562762772353E-2</v>
      </c>
      <c r="O259" s="6">
        <f t="shared" si="37"/>
        <v>0.73043188136093351</v>
      </c>
      <c r="P259" s="6">
        <f t="shared" si="38"/>
        <v>-0.31411930147416567</v>
      </c>
    </row>
    <row r="260" spans="1:16" x14ac:dyDescent="0.3">
      <c r="A260">
        <v>452</v>
      </c>
      <c r="B260">
        <v>158</v>
      </c>
      <c r="C260">
        <v>215</v>
      </c>
      <c r="D260">
        <v>5300</v>
      </c>
      <c r="E260">
        <v>1</v>
      </c>
      <c r="F260" s="6" t="s">
        <v>89</v>
      </c>
      <c r="G260" s="6">
        <f t="shared" ref="G260:G272" si="39">IF(F260="Emperor Penguin",1,0)</f>
        <v>0</v>
      </c>
      <c r="H260" s="6">
        <f t="shared" ref="H260:H272" si="40">IF(F260="King Penguin",1,0)</f>
        <v>0</v>
      </c>
      <c r="I260" s="6">
        <f t="shared" ref="I260:I272" si="41">IF(F260="Little Penguin",1,0)</f>
        <v>1</v>
      </c>
      <c r="J260" s="6">
        <f>$V$5+$W$5*penguins[[#This Row],[Culmen Length (mm)]]+penguins[[#This Row],[Culmen Depth (mm)]]*$X$5+$Y$5*penguins[[#This Row],[Flipper Length (mm)]]+penguins[[#This Row],[Body mass (g)]]*$Z$5+$AA$5*penguins[[#This Row],[Gender]]</f>
        <v>-341.3703853766113</v>
      </c>
      <c r="K260" s="6">
        <f>$V$6+$W$6*penguins[[#This Row],[Culmen Length (mm)]]+penguins[[#This Row],[Culmen Depth (mm)]]*$X$6+$Y$6*penguins[[#This Row],[Flipper Length (mm)]]+penguins[[#This Row],[Body mass (g)]]*$Z$6+$AA$6*penguins[[#This Row],[Gender]]</f>
        <v>-342.25988999505779</v>
      </c>
      <c r="L260" s="6">
        <f>$V$7+$W$7*penguins[[#This Row],[Culmen Length (mm)]]+penguins[[#This Row],[Culmen Depth (mm)]]*$X$7+$Y$7*penguins[[#This Row],[Flipper Length (mm)]]+penguins[[#This Row],[Body mass (g)]]*$Z$7+$AA$7*penguins[[#This Row],[Gender]]</f>
        <v>-340.22149236732628</v>
      </c>
      <c r="M260" s="6">
        <f t="shared" ref="M260:M272" si="42">EXP(J260)/(EXP(J260)+EXP(K260)+EXP(L260))</f>
        <v>0.21903127779193399</v>
      </c>
      <c r="N260" s="6">
        <f t="shared" ref="N260:N272" si="43">EXP(K260)/(EXP(J260)+EXP(K260)+EXP(L260))</f>
        <v>8.9991023110579632E-2</v>
      </c>
      <c r="O260" s="6">
        <f t="shared" ref="O260:O272" si="44">EXP(L260)/(EXP(J260)+EXP(K260)+EXP(L260))</f>
        <v>0.6909776990974863</v>
      </c>
      <c r="P260" s="6">
        <f t="shared" ref="P260:P272" si="45">(1-H260-I260)*LN(M260)+I260*LN(O260)+H260*LN(N260)</f>
        <v>-0.36964772911082627</v>
      </c>
    </row>
    <row r="261" spans="1:16" x14ac:dyDescent="0.3">
      <c r="A261">
        <v>466</v>
      </c>
      <c r="B261">
        <v>142</v>
      </c>
      <c r="C261">
        <v>210</v>
      </c>
      <c r="D261">
        <v>4850</v>
      </c>
      <c r="E261">
        <v>0</v>
      </c>
      <c r="F261" s="6" t="s">
        <v>89</v>
      </c>
      <c r="G261" s="6">
        <f t="shared" si="39"/>
        <v>0</v>
      </c>
      <c r="H261" s="6">
        <f t="shared" si="40"/>
        <v>0</v>
      </c>
      <c r="I261" s="6">
        <f t="shared" si="41"/>
        <v>1</v>
      </c>
      <c r="J261" s="6">
        <f>$V$5+$W$5*penguins[[#This Row],[Culmen Length (mm)]]+penguins[[#This Row],[Culmen Depth (mm)]]*$X$5+$Y$5*penguins[[#This Row],[Flipper Length (mm)]]+penguins[[#This Row],[Body mass (g)]]*$Z$5+$AA$5*penguins[[#This Row],[Gender]]</f>
        <v>-311.95038159549682</v>
      </c>
      <c r="K261" s="6">
        <f>$V$6+$W$6*penguins[[#This Row],[Culmen Length (mm)]]+penguins[[#This Row],[Culmen Depth (mm)]]*$X$6+$Y$6*penguins[[#This Row],[Flipper Length (mm)]]+penguins[[#This Row],[Body mass (g)]]*$Z$6+$AA$6*penguins[[#This Row],[Gender]]</f>
        <v>-312.44836163621386</v>
      </c>
      <c r="L261" s="6">
        <f>$V$7+$W$7*penguins[[#This Row],[Culmen Length (mm)]]+penguins[[#This Row],[Culmen Depth (mm)]]*$X$7+$Y$7*penguins[[#This Row],[Flipper Length (mm)]]+penguins[[#This Row],[Body mass (g)]]*$Z$7+$AA$7*penguins[[#This Row],[Gender]]</f>
        <v>-310.7865024647412</v>
      </c>
      <c r="M261" s="6">
        <f t="shared" si="42"/>
        <v>0.20789638100133598</v>
      </c>
      <c r="N261" s="6">
        <f t="shared" si="43"/>
        <v>0.12635049437822268</v>
      </c>
      <c r="O261" s="6">
        <f t="shared" si="44"/>
        <v>0.66575312462044134</v>
      </c>
      <c r="P261" s="6">
        <f t="shared" si="45"/>
        <v>-0.40683636091504422</v>
      </c>
    </row>
    <row r="262" spans="1:16" x14ac:dyDescent="0.3">
      <c r="A262">
        <v>485</v>
      </c>
      <c r="B262">
        <v>141</v>
      </c>
      <c r="C262">
        <v>220</v>
      </c>
      <c r="D262">
        <v>5300</v>
      </c>
      <c r="E262">
        <v>1</v>
      </c>
      <c r="F262" s="6" t="s">
        <v>89</v>
      </c>
      <c r="G262" s="6">
        <f t="shared" si="39"/>
        <v>0</v>
      </c>
      <c r="H262" s="6">
        <f t="shared" si="40"/>
        <v>0</v>
      </c>
      <c r="I262" s="6">
        <f t="shared" si="41"/>
        <v>1</v>
      </c>
      <c r="J262" s="6">
        <f>$V$5+$W$5*penguins[[#This Row],[Culmen Length (mm)]]+penguins[[#This Row],[Culmen Depth (mm)]]*$X$5+$Y$5*penguins[[#This Row],[Flipper Length (mm)]]+penguins[[#This Row],[Body mass (g)]]*$Z$5+$AA$5*penguins[[#This Row],[Gender]]</f>
        <v>-341.36338972189475</v>
      </c>
      <c r="K262" s="6">
        <f>$V$6+$W$6*penguins[[#This Row],[Culmen Length (mm)]]+penguins[[#This Row],[Culmen Depth (mm)]]*$X$6+$Y$6*penguins[[#This Row],[Flipper Length (mm)]]+penguins[[#This Row],[Body mass (g)]]*$Z$6+$AA$6*penguins[[#This Row],[Gender]]</f>
        <v>-341.95534369241005</v>
      </c>
      <c r="L262" s="6">
        <f>$V$7+$W$7*penguins[[#This Row],[Culmen Length (mm)]]+penguins[[#This Row],[Culmen Depth (mm)]]*$X$7+$Y$7*penguins[[#This Row],[Flipper Length (mm)]]+penguins[[#This Row],[Body mass (g)]]*$Z$7+$AA$7*penguins[[#This Row],[Gender]]</f>
        <v>-339.9770580431919</v>
      </c>
      <c r="M262" s="6">
        <f t="shared" si="42"/>
        <v>0.18007004621858635</v>
      </c>
      <c r="N262" s="6">
        <f t="shared" si="43"/>
        <v>9.9622889289980421E-2</v>
      </c>
      <c r="O262" s="6">
        <f t="shared" si="44"/>
        <v>0.72030706449143322</v>
      </c>
      <c r="P262" s="6">
        <f t="shared" si="45"/>
        <v>-0.32807767942780247</v>
      </c>
    </row>
    <row r="263" spans="1:16" x14ac:dyDescent="0.3">
      <c r="A263">
        <v>451</v>
      </c>
      <c r="B263">
        <v>144</v>
      </c>
      <c r="C263">
        <v>210</v>
      </c>
      <c r="D263">
        <v>4400</v>
      </c>
      <c r="E263">
        <v>0</v>
      </c>
      <c r="F263" s="6" t="s">
        <v>89</v>
      </c>
      <c r="G263" s="6">
        <f t="shared" si="39"/>
        <v>0</v>
      </c>
      <c r="H263" s="6">
        <f t="shared" si="40"/>
        <v>0</v>
      </c>
      <c r="I263" s="6">
        <f t="shared" si="41"/>
        <v>1</v>
      </c>
      <c r="J263" s="6">
        <f>$V$5+$W$5*penguins[[#This Row],[Culmen Length (mm)]]+penguins[[#This Row],[Culmen Depth (mm)]]*$X$5+$Y$5*penguins[[#This Row],[Flipper Length (mm)]]+penguins[[#This Row],[Body mass (g)]]*$Z$5+$AA$5*penguins[[#This Row],[Gender]]</f>
        <v>-282.41506466065283</v>
      </c>
      <c r="K263" s="6">
        <f>$V$6+$W$6*penguins[[#This Row],[Culmen Length (mm)]]+penguins[[#This Row],[Culmen Depth (mm)]]*$X$6+$Y$6*penguins[[#This Row],[Flipper Length (mm)]]+penguins[[#This Row],[Body mass (g)]]*$Z$6+$AA$6*penguins[[#This Row],[Gender]]</f>
        <v>-282.5024773013447</v>
      </c>
      <c r="L263" s="6">
        <f>$V$7+$W$7*penguins[[#This Row],[Culmen Length (mm)]]+penguins[[#This Row],[Culmen Depth (mm)]]*$X$7+$Y$7*penguins[[#This Row],[Flipper Length (mm)]]+penguins[[#This Row],[Body mass (g)]]*$Z$7+$AA$7*penguins[[#This Row],[Gender]]</f>
        <v>-281.69317469525538</v>
      </c>
      <c r="M263" s="6">
        <f t="shared" si="42"/>
        <v>0.25159646731580471</v>
      </c>
      <c r="N263" s="6">
        <f t="shared" si="43"/>
        <v>0.23053757011839265</v>
      </c>
      <c r="O263" s="6">
        <f t="shared" si="44"/>
        <v>0.51786596256580264</v>
      </c>
      <c r="P263" s="6">
        <f t="shared" si="45"/>
        <v>-0.65803882973215388</v>
      </c>
    </row>
    <row r="264" spans="1:16" x14ac:dyDescent="0.3">
      <c r="A264">
        <v>501</v>
      </c>
      <c r="B264">
        <v>15</v>
      </c>
      <c r="C264">
        <v>225</v>
      </c>
      <c r="D264">
        <v>5000</v>
      </c>
      <c r="E264">
        <v>1</v>
      </c>
      <c r="F264" s="6" t="s">
        <v>89</v>
      </c>
      <c r="G264" s="6">
        <f t="shared" si="39"/>
        <v>0</v>
      </c>
      <c r="H264" s="6">
        <f t="shared" si="40"/>
        <v>0</v>
      </c>
      <c r="I264" s="6">
        <f t="shared" si="41"/>
        <v>1</v>
      </c>
      <c r="J264" s="6">
        <f>$V$5+$W$5*penguins[[#This Row],[Culmen Length (mm)]]+penguins[[#This Row],[Culmen Depth (mm)]]*$X$5+$Y$5*penguins[[#This Row],[Flipper Length (mm)]]+penguins[[#This Row],[Body mass (g)]]*$Z$5+$AA$5*penguins[[#This Row],[Gender]]</f>
        <v>-323.63792082303235</v>
      </c>
      <c r="K264" s="6">
        <f>$V$6+$W$6*penguins[[#This Row],[Culmen Length (mm)]]+penguins[[#This Row],[Culmen Depth (mm)]]*$X$6+$Y$6*penguins[[#This Row],[Flipper Length (mm)]]+penguins[[#This Row],[Body mass (g)]]*$Z$6+$AA$6*penguins[[#This Row],[Gender]]</f>
        <v>-322.63717080821334</v>
      </c>
      <c r="L264" s="6">
        <f>$V$7+$W$7*penguins[[#This Row],[Culmen Length (mm)]]+penguins[[#This Row],[Culmen Depth (mm)]]*$X$7+$Y$7*penguins[[#This Row],[Flipper Length (mm)]]+penguins[[#This Row],[Body mass (g)]]*$Z$7+$AA$7*penguins[[#This Row],[Gender]]</f>
        <v>-320.87313679624873</v>
      </c>
      <c r="M264" s="6">
        <f t="shared" si="42"/>
        <v>5.1030999026325151E-2</v>
      </c>
      <c r="N264" s="6">
        <f t="shared" si="43"/>
        <v>0.13882071590037134</v>
      </c>
      <c r="O264" s="6">
        <f t="shared" si="44"/>
        <v>0.81014828507330339</v>
      </c>
      <c r="P264" s="6">
        <f t="shared" si="45"/>
        <v>-0.21053798007881999</v>
      </c>
    </row>
    <row r="265" spans="1:16" x14ac:dyDescent="0.3">
      <c r="A265">
        <v>465</v>
      </c>
      <c r="B265">
        <v>144</v>
      </c>
      <c r="C265">
        <v>217</v>
      </c>
      <c r="D265">
        <v>4900</v>
      </c>
      <c r="E265">
        <v>0</v>
      </c>
      <c r="F265" s="6" t="s">
        <v>89</v>
      </c>
      <c r="G265" s="6">
        <f t="shared" si="39"/>
        <v>0</v>
      </c>
      <c r="H265" s="6">
        <f t="shared" si="40"/>
        <v>0</v>
      </c>
      <c r="I265" s="6">
        <f t="shared" si="41"/>
        <v>1</v>
      </c>
      <c r="J265" s="6">
        <f>$V$5+$W$5*penguins[[#This Row],[Culmen Length (mm)]]+penguins[[#This Row],[Culmen Depth (mm)]]*$X$5+$Y$5*penguins[[#This Row],[Flipper Length (mm)]]+penguins[[#This Row],[Body mass (g)]]*$Z$5+$AA$5*penguins[[#This Row],[Gender]]</f>
        <v>-315.18596201063258</v>
      </c>
      <c r="K265" s="6">
        <f>$V$6+$W$6*penguins[[#This Row],[Culmen Length (mm)]]+penguins[[#This Row],[Culmen Depth (mm)]]*$X$6+$Y$6*penguins[[#This Row],[Flipper Length (mm)]]+penguins[[#This Row],[Body mass (g)]]*$Z$6+$AA$6*penguins[[#This Row],[Gender]]</f>
        <v>-315.57218294275003</v>
      </c>
      <c r="L265" s="6">
        <f>$V$7+$W$7*penguins[[#This Row],[Culmen Length (mm)]]+penguins[[#This Row],[Culmen Depth (mm)]]*$X$7+$Y$7*penguins[[#This Row],[Flipper Length (mm)]]+penguins[[#This Row],[Body mass (g)]]*$Z$7+$AA$7*penguins[[#This Row],[Gender]]</f>
        <v>-314.07097565501726</v>
      </c>
      <c r="M265" s="6">
        <f t="shared" si="42"/>
        <v>0.21145462701612461</v>
      </c>
      <c r="N265" s="6">
        <f t="shared" si="43"/>
        <v>0.14370886955189519</v>
      </c>
      <c r="O265" s="6">
        <f t="shared" si="44"/>
        <v>0.64483650343198018</v>
      </c>
      <c r="P265" s="6">
        <f t="shared" si="45"/>
        <v>-0.43875847736981682</v>
      </c>
    </row>
    <row r="266" spans="1:16" x14ac:dyDescent="0.3">
      <c r="A266">
        <v>45</v>
      </c>
      <c r="B266">
        <v>154</v>
      </c>
      <c r="C266">
        <v>220</v>
      </c>
      <c r="D266">
        <v>5050</v>
      </c>
      <c r="E266">
        <v>1</v>
      </c>
      <c r="F266" s="6" t="s">
        <v>89</v>
      </c>
      <c r="G266" s="6">
        <f t="shared" si="39"/>
        <v>0</v>
      </c>
      <c r="H266" s="6">
        <f t="shared" si="40"/>
        <v>0</v>
      </c>
      <c r="I266" s="6">
        <f t="shared" si="41"/>
        <v>1</v>
      </c>
      <c r="J266" s="6">
        <f>$V$5+$W$5*penguins[[#This Row],[Culmen Length (mm)]]+penguins[[#This Row],[Culmen Depth (mm)]]*$X$5+$Y$5*penguins[[#This Row],[Flipper Length (mm)]]+penguins[[#This Row],[Body mass (g)]]*$Z$5+$AA$5*penguins[[#This Row],[Gender]]</f>
        <v>-328.4120799450273</v>
      </c>
      <c r="K266" s="6">
        <f>$V$6+$W$6*penguins[[#This Row],[Culmen Length (mm)]]+penguins[[#This Row],[Culmen Depth (mm)]]*$X$6+$Y$6*penguins[[#This Row],[Flipper Length (mm)]]+penguins[[#This Row],[Body mass (g)]]*$Z$6+$AA$6*penguins[[#This Row],[Gender]]</f>
        <v>-329.04252325294641</v>
      </c>
      <c r="L266" s="6">
        <f>$V$7+$W$7*penguins[[#This Row],[Culmen Length (mm)]]+penguins[[#This Row],[Culmen Depth (mm)]]*$X$7+$Y$7*penguins[[#This Row],[Flipper Length (mm)]]+penguins[[#This Row],[Body mass (g)]]*$Z$7+$AA$7*penguins[[#This Row],[Gender]]</f>
        <v>-328.21188992480819</v>
      </c>
      <c r="M266" s="6">
        <f t="shared" si="42"/>
        <v>0.3631094426368825</v>
      </c>
      <c r="N266" s="6">
        <f t="shared" si="43"/>
        <v>0.19330340009155283</v>
      </c>
      <c r="O266" s="6">
        <f t="shared" si="44"/>
        <v>0.44358715727156467</v>
      </c>
      <c r="P266" s="6">
        <f t="shared" si="45"/>
        <v>-0.81286097507117483</v>
      </c>
    </row>
    <row r="267" spans="1:16" x14ac:dyDescent="0.3">
      <c r="A267">
        <v>438</v>
      </c>
      <c r="B267">
        <v>139</v>
      </c>
      <c r="C267">
        <v>208</v>
      </c>
      <c r="D267">
        <v>4300</v>
      </c>
      <c r="E267">
        <v>0</v>
      </c>
      <c r="F267" s="6" t="s">
        <v>89</v>
      </c>
      <c r="G267" s="6">
        <f t="shared" si="39"/>
        <v>0</v>
      </c>
      <c r="H267" s="6">
        <f t="shared" si="40"/>
        <v>0</v>
      </c>
      <c r="I267" s="6">
        <f t="shared" si="41"/>
        <v>1</v>
      </c>
      <c r="J267" s="6">
        <f>$V$5+$W$5*penguins[[#This Row],[Culmen Length (mm)]]+penguins[[#This Row],[Culmen Depth (mm)]]*$X$5+$Y$5*penguins[[#This Row],[Flipper Length (mm)]]+penguins[[#This Row],[Body mass (g)]]*$Z$5+$AA$5*penguins[[#This Row],[Gender]]</f>
        <v>-276.03669891745238</v>
      </c>
      <c r="K267" s="6">
        <f>$V$6+$W$6*penguins[[#This Row],[Culmen Length (mm)]]+penguins[[#This Row],[Culmen Depth (mm)]]*$X$6+$Y$6*penguins[[#This Row],[Flipper Length (mm)]]+penguins[[#This Row],[Body mass (g)]]*$Z$6+$AA$6*penguins[[#This Row],[Gender]]</f>
        <v>-276.03697814829161</v>
      </c>
      <c r="L267" s="6">
        <f>$V$7+$W$7*penguins[[#This Row],[Culmen Length (mm)]]+penguins[[#This Row],[Culmen Depth (mm)]]*$X$7+$Y$7*penguins[[#This Row],[Flipper Length (mm)]]+penguins[[#This Row],[Body mass (g)]]*$Z$7+$AA$7*penguins[[#This Row],[Gender]]</f>
        <v>-275.34084436253102</v>
      </c>
      <c r="M267" s="6">
        <f t="shared" si="42"/>
        <v>0.24967898190544169</v>
      </c>
      <c r="N267" s="6">
        <f t="shared" si="43"/>
        <v>0.24960927356659907</v>
      </c>
      <c r="O267" s="6">
        <f t="shared" si="44"/>
        <v>0.50071174452795919</v>
      </c>
      <c r="P267" s="6">
        <f t="shared" si="45"/>
        <v>-0.69172470370411643</v>
      </c>
    </row>
    <row r="268" spans="1:16" x14ac:dyDescent="0.3">
      <c r="A268">
        <v>455</v>
      </c>
      <c r="B268">
        <v>15</v>
      </c>
      <c r="C268">
        <v>220</v>
      </c>
      <c r="D268">
        <v>5000</v>
      </c>
      <c r="E268">
        <v>1</v>
      </c>
      <c r="F268" s="6" t="s">
        <v>89</v>
      </c>
      <c r="G268" s="6">
        <f t="shared" si="39"/>
        <v>0</v>
      </c>
      <c r="H268" s="6">
        <f t="shared" si="40"/>
        <v>0</v>
      </c>
      <c r="I268" s="6">
        <f t="shared" si="41"/>
        <v>1</v>
      </c>
      <c r="J268" s="6">
        <f>$V$5+$W$5*penguins[[#This Row],[Culmen Length (mm)]]+penguins[[#This Row],[Culmen Depth (mm)]]*$X$5+$Y$5*penguins[[#This Row],[Flipper Length (mm)]]+penguins[[#This Row],[Body mass (g)]]*$Z$5+$AA$5*penguins[[#This Row],[Gender]]</f>
        <v>-324.0498882661052</v>
      </c>
      <c r="K268" s="6">
        <f>$V$6+$W$6*penguins[[#This Row],[Culmen Length (mm)]]+penguins[[#This Row],[Culmen Depth (mm)]]*$X$6+$Y$6*penguins[[#This Row],[Flipper Length (mm)]]+penguins[[#This Row],[Body mass (g)]]*$Z$6+$AA$6*penguins[[#This Row],[Gender]]</f>
        <v>-323.19362168520877</v>
      </c>
      <c r="L268" s="6">
        <f>$V$7+$W$7*penguins[[#This Row],[Culmen Length (mm)]]+penguins[[#This Row],[Culmen Depth (mm)]]*$X$7+$Y$7*penguins[[#This Row],[Flipper Length (mm)]]+penguins[[#This Row],[Body mass (g)]]*$Z$7+$AA$7*penguins[[#This Row],[Gender]]</f>
        <v>-321.32300280541062</v>
      </c>
      <c r="M268" s="6">
        <f t="shared" si="42"/>
        <v>5.3649332468180815E-2</v>
      </c>
      <c r="N268" s="6">
        <f t="shared" si="43"/>
        <v>0.12630954588664089</v>
      </c>
      <c r="O268" s="6">
        <f t="shared" si="44"/>
        <v>0.82004112164517828</v>
      </c>
      <c r="P268" s="6">
        <f t="shared" si="45"/>
        <v>-0.19840079163344621</v>
      </c>
    </row>
    <row r="269" spans="1:16" x14ac:dyDescent="0.3">
      <c r="A269">
        <v>432</v>
      </c>
      <c r="B269">
        <v>145</v>
      </c>
      <c r="C269">
        <v>208</v>
      </c>
      <c r="D269">
        <v>4450</v>
      </c>
      <c r="E269">
        <v>0</v>
      </c>
      <c r="F269" s="6" t="s">
        <v>89</v>
      </c>
      <c r="G269" s="6">
        <f t="shared" si="39"/>
        <v>0</v>
      </c>
      <c r="H269" s="6">
        <f t="shared" si="40"/>
        <v>0</v>
      </c>
      <c r="I269" s="6">
        <f t="shared" si="41"/>
        <v>1</v>
      </c>
      <c r="J269" s="6">
        <f>$V$5+$W$5*penguins[[#This Row],[Culmen Length (mm)]]+penguins[[#This Row],[Culmen Depth (mm)]]*$X$5+$Y$5*penguins[[#This Row],[Flipper Length (mm)]]+penguins[[#This Row],[Body mass (g)]]*$Z$5+$AA$5*penguins[[#This Row],[Gender]]</f>
        <v>-285.85960522033611</v>
      </c>
      <c r="K269" s="6">
        <f>$V$6+$W$6*penguins[[#This Row],[Culmen Length (mm)]]+penguins[[#This Row],[Culmen Depth (mm)]]*$X$6+$Y$6*penguins[[#This Row],[Flipper Length (mm)]]+penguins[[#This Row],[Body mass (g)]]*$Z$6+$AA$6*penguins[[#This Row],[Gender]]</f>
        <v>-286.06259340126672</v>
      </c>
      <c r="L269" s="6">
        <f>$V$7+$W$7*penguins[[#This Row],[Culmen Length (mm)]]+penguins[[#This Row],[Culmen Depth (mm)]]*$X$7+$Y$7*penguins[[#This Row],[Flipper Length (mm)]]+penguins[[#This Row],[Body mass (g)]]*$Z$7+$AA$7*penguins[[#This Row],[Gender]]</f>
        <v>-285.12392892707243</v>
      </c>
      <c r="M269" s="6">
        <f t="shared" si="42"/>
        <v>0.25620130413896569</v>
      </c>
      <c r="N269" s="6">
        <f t="shared" si="43"/>
        <v>0.20913402174840906</v>
      </c>
      <c r="O269" s="6">
        <f t="shared" si="44"/>
        <v>0.5346646741126253</v>
      </c>
      <c r="P269" s="6">
        <f t="shared" si="45"/>
        <v>-0.62611550595275367</v>
      </c>
    </row>
    <row r="270" spans="1:16" x14ac:dyDescent="0.3">
      <c r="A270">
        <v>504</v>
      </c>
      <c r="B270">
        <v>153</v>
      </c>
      <c r="C270">
        <v>224</v>
      </c>
      <c r="D270">
        <v>5550</v>
      </c>
      <c r="E270">
        <v>1</v>
      </c>
      <c r="F270" s="6" t="s">
        <v>89</v>
      </c>
      <c r="G270" s="6">
        <f t="shared" si="39"/>
        <v>0</v>
      </c>
      <c r="H270" s="6">
        <f t="shared" si="40"/>
        <v>0</v>
      </c>
      <c r="I270" s="6">
        <f t="shared" si="41"/>
        <v>1</v>
      </c>
      <c r="J270" s="6">
        <f>$V$5+$W$5*penguins[[#This Row],[Culmen Length (mm)]]+penguins[[#This Row],[Culmen Depth (mm)]]*$X$5+$Y$5*penguins[[#This Row],[Flipper Length (mm)]]+penguins[[#This Row],[Body mass (g)]]*$Z$5+$AA$5*penguins[[#This Row],[Gender]]</f>
        <v>-357.43685491292223</v>
      </c>
      <c r="K270" s="6">
        <f>$V$6+$W$6*penguins[[#This Row],[Culmen Length (mm)]]+penguins[[#This Row],[Culmen Depth (mm)]]*$X$6+$Y$6*penguins[[#This Row],[Flipper Length (mm)]]+penguins[[#This Row],[Body mass (g)]]*$Z$6+$AA$6*penguins[[#This Row],[Gender]]</f>
        <v>-358.27245513620653</v>
      </c>
      <c r="L270" s="6">
        <f>$V$7+$W$7*penguins[[#This Row],[Culmen Length (mm)]]+penguins[[#This Row],[Culmen Depth (mm)]]*$X$7+$Y$7*penguins[[#This Row],[Flipper Length (mm)]]+penguins[[#This Row],[Body mass (g)]]*$Z$7+$AA$7*penguins[[#This Row],[Gender]]</f>
        <v>-355.99426562039537</v>
      </c>
      <c r="M270" s="6">
        <f t="shared" si="42"/>
        <v>0.17651463179080334</v>
      </c>
      <c r="N270" s="6">
        <f t="shared" si="43"/>
        <v>7.6539239909535609E-2</v>
      </c>
      <c r="O270" s="6">
        <f t="shared" si="44"/>
        <v>0.74694612829966112</v>
      </c>
      <c r="P270" s="6">
        <f t="shared" si="45"/>
        <v>-0.29176221385330348</v>
      </c>
    </row>
    <row r="271" spans="1:16" x14ac:dyDescent="0.3">
      <c r="A271">
        <v>453</v>
      </c>
      <c r="B271">
        <v>138</v>
      </c>
      <c r="C271">
        <v>208</v>
      </c>
      <c r="D271">
        <v>4200</v>
      </c>
      <c r="E271">
        <v>0</v>
      </c>
      <c r="F271" s="6" t="s">
        <v>89</v>
      </c>
      <c r="G271" s="6">
        <f t="shared" si="39"/>
        <v>0</v>
      </c>
      <c r="H271" s="6">
        <f t="shared" si="40"/>
        <v>0</v>
      </c>
      <c r="I271" s="6">
        <f t="shared" si="41"/>
        <v>1</v>
      </c>
      <c r="J271" s="6">
        <f>$V$5+$W$5*penguins[[#This Row],[Culmen Length (mm)]]+penguins[[#This Row],[Culmen Depth (mm)]]*$X$5+$Y$5*penguins[[#This Row],[Flipper Length (mm)]]+penguins[[#This Row],[Body mass (g)]]*$Z$5+$AA$5*penguins[[#This Row],[Gender]]</f>
        <v>-269.34274819590854</v>
      </c>
      <c r="K271" s="6">
        <f>$V$6+$W$6*penguins[[#This Row],[Culmen Length (mm)]]+penguins[[#This Row],[Culmen Depth (mm)]]*$X$6+$Y$6*penguins[[#This Row],[Flipper Length (mm)]]+penguins[[#This Row],[Body mass (g)]]*$Z$6+$AA$6*penguins[[#This Row],[Gender]]</f>
        <v>-269.23174883634812</v>
      </c>
      <c r="L271" s="6">
        <f>$V$7+$W$7*penguins[[#This Row],[Culmen Length (mm)]]+penguins[[#This Row],[Culmen Depth (mm)]]*$X$7+$Y$7*penguins[[#This Row],[Flipper Length (mm)]]+penguins[[#This Row],[Body mass (g)]]*$Z$7+$AA$7*penguins[[#This Row],[Gender]]</f>
        <v>-268.69283214658884</v>
      </c>
      <c r="M271" s="6">
        <f t="shared" si="42"/>
        <v>0.24796825867981384</v>
      </c>
      <c r="N271" s="6">
        <f t="shared" si="43"/>
        <v>0.27707829185843214</v>
      </c>
      <c r="O271" s="6">
        <f t="shared" si="44"/>
        <v>0.474953449461754</v>
      </c>
      <c r="P271" s="6">
        <f t="shared" si="45"/>
        <v>-0.74453848088307018</v>
      </c>
    </row>
    <row r="272" spans="1:16" x14ac:dyDescent="0.3">
      <c r="A272">
        <v>462</v>
      </c>
      <c r="B272">
        <v>149</v>
      </c>
      <c r="C272">
        <v>221</v>
      </c>
      <c r="D272">
        <v>5300</v>
      </c>
      <c r="E272">
        <v>1</v>
      </c>
      <c r="F272" s="6" t="s">
        <v>89</v>
      </c>
      <c r="G272" s="6">
        <f t="shared" si="39"/>
        <v>0</v>
      </c>
      <c r="H272" s="6">
        <f t="shared" si="40"/>
        <v>0</v>
      </c>
      <c r="I272" s="6">
        <f t="shared" si="41"/>
        <v>1</v>
      </c>
      <c r="J272" s="6">
        <f>$V$5+$W$5*penguins[[#This Row],[Culmen Length (mm)]]+penguins[[#This Row],[Culmen Depth (mm)]]*$X$5+$Y$5*penguins[[#This Row],[Flipper Length (mm)]]+penguins[[#This Row],[Body mass (g)]]*$Z$5+$AA$5*penguins[[#This Row],[Gender]]</f>
        <v>-341.41559711673136</v>
      </c>
      <c r="K272" s="6">
        <f>$V$6+$W$6*penguins[[#This Row],[Culmen Length (mm)]]+penguins[[#This Row],[Culmen Depth (mm)]]*$X$6+$Y$6*penguins[[#This Row],[Flipper Length (mm)]]+penguins[[#This Row],[Body mass (g)]]*$Z$6+$AA$6*penguins[[#This Row],[Gender]]</f>
        <v>-342.06455535608808</v>
      </c>
      <c r="L272" s="6">
        <f>$V$7+$W$7*penguins[[#This Row],[Culmen Length (mm)]]+penguins[[#This Row],[Culmen Depth (mm)]]*$X$7+$Y$7*penguins[[#This Row],[Flipper Length (mm)]]+penguins[[#This Row],[Body mass (g)]]*$Z$7+$AA$7*penguins[[#This Row],[Gender]]</f>
        <v>-340.18522636059726</v>
      </c>
      <c r="M272" s="6">
        <f t="shared" si="42"/>
        <v>0.20222086557351404</v>
      </c>
      <c r="N272" s="6">
        <f t="shared" si="43"/>
        <v>0.10567858330980182</v>
      </c>
      <c r="O272" s="6">
        <f t="shared" si="44"/>
        <v>0.69210055111668412</v>
      </c>
      <c r="P272" s="6">
        <f t="shared" si="45"/>
        <v>-0.36802402883831492</v>
      </c>
    </row>
  </sheetData>
  <mergeCells count="18">
    <mergeCell ref="F1:F2"/>
    <mergeCell ref="G1:I1"/>
    <mergeCell ref="J1:L1"/>
    <mergeCell ref="M1:O1"/>
    <mergeCell ref="P1:P2"/>
    <mergeCell ref="AD15:AD16"/>
    <mergeCell ref="S14:AD14"/>
    <mergeCell ref="AA15:AC15"/>
    <mergeCell ref="W3:AA3"/>
    <mergeCell ref="S15:S16"/>
    <mergeCell ref="T15:T16"/>
    <mergeCell ref="U15:U16"/>
    <mergeCell ref="W15:W16"/>
    <mergeCell ref="S6:S8"/>
    <mergeCell ref="U3:U4"/>
    <mergeCell ref="V3:V4"/>
    <mergeCell ref="V15:V16"/>
    <mergeCell ref="X15:Z15"/>
  </mergeCells>
  <phoneticPr fontId="4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7D9FB-055B-4E90-BE8F-ED12E42458C8}">
  <sheetPr codeName="Sheet9"/>
  <dimension ref="A1:AC420"/>
  <sheetViews>
    <sheetView tabSelected="1" workbookViewId="0">
      <selection activeCell="R8" sqref="R8"/>
    </sheetView>
  </sheetViews>
  <sheetFormatPr defaultRowHeight="14.4" x14ac:dyDescent="0.3"/>
  <cols>
    <col min="2" max="2" width="10.109375" customWidth="1"/>
    <col min="3" max="3" width="11.6640625" customWidth="1"/>
    <col min="4" max="4" width="10.109375" customWidth="1"/>
    <col min="5" max="5" width="11.21875" customWidth="1"/>
    <col min="8" max="8" width="8.109375" customWidth="1"/>
    <col min="9" max="9" width="14.109375" customWidth="1"/>
    <col min="11" max="11" width="9.6640625" customWidth="1"/>
    <col min="12" max="12" width="10.6640625" customWidth="1"/>
    <col min="13" max="14" width="9.5546875" customWidth="1"/>
    <col min="15" max="15" width="10.21875" customWidth="1"/>
    <col min="16" max="16" width="11.33203125" customWidth="1"/>
    <col min="17" max="17" width="10.88671875" customWidth="1"/>
    <col min="19" max="19" width="27.6640625" bestFit="1" customWidth="1"/>
    <col min="20" max="20" width="11.6640625" bestFit="1" customWidth="1"/>
    <col min="21" max="21" width="12" bestFit="1" customWidth="1"/>
    <col min="22" max="22" width="18.6640625" bestFit="1" customWidth="1"/>
    <col min="23" max="23" width="14.5546875" bestFit="1" customWidth="1"/>
    <col min="24" max="24" width="16.6640625" bestFit="1" customWidth="1"/>
    <col min="25" max="25" width="14.5546875" bestFit="1" customWidth="1"/>
    <col min="26" max="27" width="12" bestFit="1" customWidth="1"/>
    <col min="28" max="28" width="17.6640625" customWidth="1"/>
    <col min="29" max="29" width="11" bestFit="1" customWidth="1"/>
    <col min="30" max="30" width="13.6640625" bestFit="1" customWidth="1"/>
    <col min="31" max="31" width="12" bestFit="1" customWidth="1"/>
  </cols>
  <sheetData>
    <row r="1" spans="1:29" x14ac:dyDescent="0.3">
      <c r="A1" t="s">
        <v>114</v>
      </c>
      <c r="B1" t="s">
        <v>115</v>
      </c>
      <c r="C1" t="s">
        <v>116</v>
      </c>
      <c r="D1" t="s">
        <v>122</v>
      </c>
      <c r="E1" t="s">
        <v>126</v>
      </c>
      <c r="F1" t="s">
        <v>125</v>
      </c>
      <c r="G1" t="s">
        <v>124</v>
      </c>
      <c r="H1" t="s">
        <v>127</v>
      </c>
      <c r="I1" t="s">
        <v>119</v>
      </c>
      <c r="J1" t="s">
        <v>129</v>
      </c>
      <c r="K1" t="s">
        <v>128</v>
      </c>
      <c r="L1" t="s">
        <v>123</v>
      </c>
      <c r="M1" t="s">
        <v>121</v>
      </c>
      <c r="N1" t="s">
        <v>120</v>
      </c>
      <c r="O1" t="s">
        <v>118</v>
      </c>
      <c r="P1" t="s">
        <v>117</v>
      </c>
      <c r="Q1" t="s">
        <v>130</v>
      </c>
    </row>
    <row r="2" spans="1:29" x14ac:dyDescent="0.3">
      <c r="A2">
        <v>0</v>
      </c>
      <c r="B2">
        <v>1</v>
      </c>
      <c r="C2">
        <v>0</v>
      </c>
      <c r="D2">
        <v>0</v>
      </c>
      <c r="E2">
        <v>1</v>
      </c>
      <c r="F2">
        <v>1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1</v>
      </c>
      <c r="P2">
        <v>1</v>
      </c>
      <c r="Q2">
        <v>1</v>
      </c>
    </row>
    <row r="3" spans="1:29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S3" s="71" t="s">
        <v>131</v>
      </c>
      <c r="T3" s="72"/>
    </row>
    <row r="4" spans="1:29" x14ac:dyDescent="0.3">
      <c r="A4">
        <v>1</v>
      </c>
      <c r="B4">
        <v>0</v>
      </c>
      <c r="C4">
        <v>1</v>
      </c>
      <c r="D4">
        <v>0</v>
      </c>
      <c r="E4">
        <v>0</v>
      </c>
      <c r="F4">
        <v>1</v>
      </c>
      <c r="G4">
        <v>0</v>
      </c>
      <c r="H4">
        <v>1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1</v>
      </c>
      <c r="P4">
        <v>1</v>
      </c>
      <c r="Q4">
        <v>1</v>
      </c>
      <c r="S4" s="73"/>
      <c r="T4" s="74"/>
    </row>
    <row r="5" spans="1:29" x14ac:dyDescent="0.3">
      <c r="A5">
        <v>0</v>
      </c>
      <c r="B5">
        <v>0</v>
      </c>
      <c r="C5">
        <v>1</v>
      </c>
      <c r="D5">
        <v>1</v>
      </c>
      <c r="E5">
        <v>0</v>
      </c>
      <c r="F5">
        <v>1</v>
      </c>
      <c r="G5">
        <v>0</v>
      </c>
      <c r="H5">
        <v>0</v>
      </c>
      <c r="I5">
        <v>0</v>
      </c>
      <c r="J5">
        <v>1</v>
      </c>
      <c r="K5">
        <v>1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V5" s="27" t="s">
        <v>98</v>
      </c>
      <c r="W5" s="6">
        <f>COUNT(MLHero[Saber])</f>
        <v>419</v>
      </c>
    </row>
    <row r="6" spans="1:29" x14ac:dyDescent="0.3">
      <c r="A6">
        <v>0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</row>
    <row r="7" spans="1:29" x14ac:dyDescent="0.3">
      <c r="A7">
        <v>1</v>
      </c>
      <c r="B7">
        <v>1</v>
      </c>
      <c r="C7">
        <v>1</v>
      </c>
      <c r="D7">
        <v>1</v>
      </c>
      <c r="E7">
        <v>0</v>
      </c>
      <c r="F7">
        <v>1</v>
      </c>
      <c r="G7">
        <v>0</v>
      </c>
      <c r="H7">
        <v>1</v>
      </c>
      <c r="I7">
        <v>0</v>
      </c>
      <c r="J7">
        <v>0</v>
      </c>
      <c r="K7">
        <v>1</v>
      </c>
      <c r="L7">
        <v>0</v>
      </c>
      <c r="M7">
        <v>0</v>
      </c>
      <c r="N7">
        <v>1</v>
      </c>
      <c r="O7">
        <v>1</v>
      </c>
      <c r="P7">
        <v>1</v>
      </c>
      <c r="Q7">
        <v>1</v>
      </c>
      <c r="S7" s="27" t="s">
        <v>99</v>
      </c>
      <c r="T7" s="27" t="s">
        <v>100</v>
      </c>
      <c r="V7" s="68" t="s">
        <v>101</v>
      </c>
      <c r="W7" s="69"/>
      <c r="X7" s="69"/>
      <c r="Y7" s="69"/>
      <c r="Z7" s="69"/>
      <c r="AA7" s="69"/>
      <c r="AB7" s="69"/>
      <c r="AC7" s="70"/>
    </row>
    <row r="8" spans="1:29" x14ac:dyDescent="0.3">
      <c r="A8">
        <v>0</v>
      </c>
      <c r="B8">
        <v>0</v>
      </c>
      <c r="C8">
        <v>1</v>
      </c>
      <c r="D8">
        <v>0</v>
      </c>
      <c r="E8">
        <v>0</v>
      </c>
      <c r="F8">
        <v>0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0</v>
      </c>
      <c r="N8">
        <v>0</v>
      </c>
      <c r="O8">
        <v>1</v>
      </c>
      <c r="P8">
        <v>0</v>
      </c>
      <c r="Q8">
        <v>0</v>
      </c>
      <c r="S8" s="6" t="s">
        <v>114</v>
      </c>
      <c r="T8" s="6" cm="1">
        <f t="array" aca="1" ref="T8" ca="1">SUM(INDIRECT("MLHero["&amp;S8&amp;"]")/$W$5)</f>
        <v>0.47971360381861478</v>
      </c>
      <c r="V8" s="6" t="s">
        <v>102</v>
      </c>
      <c r="W8" s="6" t="s">
        <v>103</v>
      </c>
      <c r="X8" s="6" t="s">
        <v>104</v>
      </c>
      <c r="Y8" s="6" t="s">
        <v>105</v>
      </c>
      <c r="Z8" s="6" t="s">
        <v>106</v>
      </c>
      <c r="AA8" s="6" t="s">
        <v>107</v>
      </c>
      <c r="AB8" s="6" t="s">
        <v>108</v>
      </c>
      <c r="AC8" s="6" t="s">
        <v>109</v>
      </c>
    </row>
    <row r="9" spans="1:29" x14ac:dyDescent="0.3">
      <c r="A9">
        <v>1</v>
      </c>
      <c r="B9">
        <v>0</v>
      </c>
      <c r="C9">
        <v>0</v>
      </c>
      <c r="D9">
        <v>1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1</v>
      </c>
      <c r="L9">
        <v>0</v>
      </c>
      <c r="M9">
        <v>1</v>
      </c>
      <c r="N9">
        <v>0</v>
      </c>
      <c r="O9">
        <v>1</v>
      </c>
      <c r="P9">
        <v>0</v>
      </c>
      <c r="Q9">
        <v>1</v>
      </c>
      <c r="S9" s="6" t="s">
        <v>115</v>
      </c>
      <c r="T9" s="6" cm="1">
        <f t="array" aca="1" ref="T9" ca="1">SUM(INDIRECT("MLHero["&amp;S9&amp;"]")/$W$5)</f>
        <v>0.37231503579952197</v>
      </c>
      <c r="V9" s="6" t="s">
        <v>114</v>
      </c>
      <c r="W9" s="6" t="s">
        <v>130</v>
      </c>
      <c r="X9" s="6" cm="1">
        <f t="array" aca="1" ref="X9" ca="1">SUM(INDIRECT("MLHero["&amp;V9&amp;"]")*INDIRECT("MLHero["&amp;W9&amp;"]"))</f>
        <v>99</v>
      </c>
      <c r="Y9" s="6">
        <f ca="1">T8</f>
        <v>0.47971360381861478</v>
      </c>
      <c r="Z9" s="6">
        <f ca="1">$T$24</f>
        <v>0.49403341288782715</v>
      </c>
      <c r="AA9" s="6">
        <f>$W$5</f>
        <v>419</v>
      </c>
      <c r="AB9" s="6">
        <f ca="1">Y9*Z9*AA9</f>
        <v>99.300715990453057</v>
      </c>
      <c r="AC9" s="6">
        <f ca="1">X9/AB9</f>
        <v>0.99697166342202437</v>
      </c>
    </row>
    <row r="10" spans="1:29" x14ac:dyDescent="0.3">
      <c r="A10">
        <v>0</v>
      </c>
      <c r="B10">
        <v>0</v>
      </c>
      <c r="C10">
        <v>0</v>
      </c>
      <c r="D10">
        <v>0</v>
      </c>
      <c r="E10">
        <v>1</v>
      </c>
      <c r="F10">
        <v>1</v>
      </c>
      <c r="G10">
        <v>1</v>
      </c>
      <c r="H10">
        <v>1</v>
      </c>
      <c r="I10">
        <v>0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0</v>
      </c>
      <c r="S10" s="6" t="s">
        <v>116</v>
      </c>
      <c r="T10" s="6" cm="1">
        <f t="array" aca="1" ref="T10" ca="1">SUM(INDIRECT("MLHero["&amp;S10&amp;"]")/$W$5)</f>
        <v>0.41527446300715909</v>
      </c>
      <c r="V10" s="6" t="s">
        <v>115</v>
      </c>
      <c r="W10" s="6" t="s">
        <v>130</v>
      </c>
      <c r="X10" s="6" cm="1">
        <f t="array" aca="1" ref="X10" ca="1">SUM(INDIRECT("MLHero["&amp;V10&amp;"]")*INDIRECT("MLHero["&amp;W10&amp;"]"))</f>
        <v>84</v>
      </c>
      <c r="Y10" s="6">
        <f t="shared" ref="Y10:Y24" ca="1" si="0">T9</f>
        <v>0.37231503579952197</v>
      </c>
      <c r="Z10" s="6">
        <f t="shared" ref="Z10:Z24" ca="1" si="1">$T$24</f>
        <v>0.49403341288782715</v>
      </c>
      <c r="AA10" s="6">
        <f t="shared" ref="AA10:AA24" si="2">$W$5</f>
        <v>419</v>
      </c>
      <c r="AB10" s="6">
        <f t="shared" ref="AB10:AB24" ca="1" si="3">Y10*Z10*AA10</f>
        <v>77.069212410500882</v>
      </c>
      <c r="AC10" s="6">
        <f t="shared" ref="AC10:AC24" ca="1" si="4">X10/AB10</f>
        <v>1.0899293942772248</v>
      </c>
    </row>
    <row r="11" spans="1:29" x14ac:dyDescent="0.3">
      <c r="A11">
        <v>1</v>
      </c>
      <c r="B11">
        <v>0</v>
      </c>
      <c r="C11">
        <v>0</v>
      </c>
      <c r="D11">
        <v>0</v>
      </c>
      <c r="E11">
        <v>0</v>
      </c>
      <c r="F11">
        <v>1</v>
      </c>
      <c r="G11">
        <v>1</v>
      </c>
      <c r="H11">
        <v>1</v>
      </c>
      <c r="I11">
        <v>0</v>
      </c>
      <c r="J11">
        <v>1</v>
      </c>
      <c r="K11">
        <v>0</v>
      </c>
      <c r="L11">
        <v>1</v>
      </c>
      <c r="M11">
        <v>1</v>
      </c>
      <c r="N11">
        <v>1</v>
      </c>
      <c r="O11">
        <v>0</v>
      </c>
      <c r="P11">
        <v>1</v>
      </c>
      <c r="Q11">
        <v>0</v>
      </c>
      <c r="S11" s="6" t="s">
        <v>122</v>
      </c>
      <c r="T11" s="6" cm="1">
        <f t="array" aca="1" ref="T11" ca="1">SUM(INDIRECT("MLHero["&amp;S11&amp;"]")/$W$5)</f>
        <v>0.41050119331742163</v>
      </c>
      <c r="V11" s="6" t="s">
        <v>116</v>
      </c>
      <c r="W11" s="6" t="s">
        <v>130</v>
      </c>
      <c r="X11" s="6" cm="1">
        <f t="array" aca="1" ref="X11" ca="1">SUM(INDIRECT("MLHero["&amp;V11&amp;"]")*INDIRECT("MLHero["&amp;W11&amp;"]"))</f>
        <v>92</v>
      </c>
      <c r="Y11" s="6">
        <f t="shared" ca="1" si="0"/>
        <v>0.41527446300715909</v>
      </c>
      <c r="Z11" s="6">
        <f t="shared" ca="1" si="1"/>
        <v>0.49403341288782715</v>
      </c>
      <c r="AA11" s="6">
        <f t="shared" si="2"/>
        <v>419</v>
      </c>
      <c r="AB11" s="6">
        <f t="shared" ca="1" si="3"/>
        <v>85.96181384248176</v>
      </c>
      <c r="AC11" s="6">
        <f t="shared" ca="1" si="4"/>
        <v>1.0702426564495573</v>
      </c>
    </row>
    <row r="12" spans="1:29" x14ac:dyDescent="0.3">
      <c r="A12">
        <v>1</v>
      </c>
      <c r="B12">
        <v>1</v>
      </c>
      <c r="C12">
        <v>0</v>
      </c>
      <c r="D12">
        <v>1</v>
      </c>
      <c r="E12">
        <v>0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>
        <v>1</v>
      </c>
      <c r="N12">
        <v>1</v>
      </c>
      <c r="O12">
        <v>0</v>
      </c>
      <c r="P12">
        <v>0</v>
      </c>
      <c r="Q12">
        <v>1</v>
      </c>
      <c r="S12" s="6" t="s">
        <v>126</v>
      </c>
      <c r="T12" s="6" cm="1">
        <f t="array" aca="1" ref="T12" ca="1">SUM(INDIRECT("MLHero["&amp;S12&amp;"]")/$W$5)</f>
        <v>0.42004773269689655</v>
      </c>
      <c r="V12" s="6" t="s">
        <v>122</v>
      </c>
      <c r="W12" s="6" t="s">
        <v>130</v>
      </c>
      <c r="X12" s="6" cm="1">
        <f t="array" aca="1" ref="X12" ca="1">SUM(INDIRECT("MLHero["&amp;V12&amp;"]")*INDIRECT("MLHero["&amp;W12&amp;"]"))</f>
        <v>92</v>
      </c>
      <c r="Y12" s="6">
        <f t="shared" ca="1" si="0"/>
        <v>0.41050119331742163</v>
      </c>
      <c r="Z12" s="6">
        <f t="shared" ca="1" si="1"/>
        <v>0.49403341288782715</v>
      </c>
      <c r="AA12" s="6">
        <f t="shared" si="2"/>
        <v>419</v>
      </c>
      <c r="AB12" s="6">
        <f t="shared" ca="1" si="3"/>
        <v>84.973747016706099</v>
      </c>
      <c r="AC12" s="6">
        <f t="shared" ca="1" si="4"/>
        <v>1.0826873385012963</v>
      </c>
    </row>
    <row r="13" spans="1:29" x14ac:dyDescent="0.3">
      <c r="A13">
        <v>1</v>
      </c>
      <c r="B13">
        <v>1</v>
      </c>
      <c r="C13">
        <v>0</v>
      </c>
      <c r="D13">
        <v>1</v>
      </c>
      <c r="E13">
        <v>0</v>
      </c>
      <c r="F13">
        <v>1</v>
      </c>
      <c r="G13">
        <v>1</v>
      </c>
      <c r="H13">
        <v>1</v>
      </c>
      <c r="I13">
        <v>1</v>
      </c>
      <c r="J13">
        <v>0</v>
      </c>
      <c r="K13">
        <v>1</v>
      </c>
      <c r="L13">
        <v>0</v>
      </c>
      <c r="M13">
        <v>1</v>
      </c>
      <c r="N13">
        <v>0</v>
      </c>
      <c r="O13">
        <v>1</v>
      </c>
      <c r="P13">
        <v>1</v>
      </c>
      <c r="Q13">
        <v>1</v>
      </c>
      <c r="S13" s="6" t="s">
        <v>125</v>
      </c>
      <c r="T13" s="6" cm="1">
        <f t="array" aca="1" ref="T13" ca="1">SUM(INDIRECT("MLHero["&amp;S13&amp;"]")/$W$5)</f>
        <v>0.38424821002386561</v>
      </c>
      <c r="V13" s="6" t="s">
        <v>126</v>
      </c>
      <c r="W13" s="6" t="s">
        <v>130</v>
      </c>
      <c r="X13" s="6" cm="1">
        <f t="array" aca="1" ref="X13" ca="1">SUM(INDIRECT("MLHero["&amp;V13&amp;"]")*INDIRECT("MLHero["&amp;W13&amp;"]"))</f>
        <v>88</v>
      </c>
      <c r="Y13" s="6">
        <f t="shared" ca="1" si="0"/>
        <v>0.42004773269689655</v>
      </c>
      <c r="Z13" s="6">
        <f t="shared" ca="1" si="1"/>
        <v>0.49403341288782715</v>
      </c>
      <c r="AA13" s="6">
        <f t="shared" si="2"/>
        <v>419</v>
      </c>
      <c r="AB13" s="6">
        <f t="shared" ca="1" si="3"/>
        <v>86.949880668257407</v>
      </c>
      <c r="AC13" s="6">
        <f t="shared" ca="1" si="4"/>
        <v>1.0120772946859944</v>
      </c>
    </row>
    <row r="14" spans="1:29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  <c r="N14">
        <v>1</v>
      </c>
      <c r="O14">
        <v>0</v>
      </c>
      <c r="P14">
        <v>1</v>
      </c>
      <c r="Q14">
        <v>1</v>
      </c>
      <c r="S14" s="6" t="s">
        <v>124</v>
      </c>
      <c r="T14" s="6" cm="1">
        <f t="array" aca="1" ref="T14" ca="1">SUM(INDIRECT("MLHero["&amp;S14&amp;"]")/$W$5)</f>
        <v>0.36754176610978451</v>
      </c>
      <c r="V14" s="6" t="s">
        <v>125</v>
      </c>
      <c r="W14" s="6" t="s">
        <v>130</v>
      </c>
      <c r="X14" s="6" cm="1">
        <f t="array" aca="1" ref="X14" ca="1">SUM(INDIRECT("MLHero["&amp;V14&amp;"]")*INDIRECT("MLHero["&amp;W14&amp;"]"))</f>
        <v>82</v>
      </c>
      <c r="Y14" s="6">
        <f t="shared" ca="1" si="0"/>
        <v>0.38424821002386561</v>
      </c>
      <c r="Z14" s="6">
        <f t="shared" ca="1" si="1"/>
        <v>0.49403341288782715</v>
      </c>
      <c r="AA14" s="6">
        <f t="shared" si="2"/>
        <v>419</v>
      </c>
      <c r="AB14" s="6">
        <f t="shared" ca="1" si="3"/>
        <v>79.53937947494002</v>
      </c>
      <c r="AC14" s="6">
        <f t="shared" ca="1" si="4"/>
        <v>1.0309358778167892</v>
      </c>
    </row>
    <row r="15" spans="1:29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  <c r="O15">
        <v>1</v>
      </c>
      <c r="P15">
        <v>0</v>
      </c>
      <c r="Q15">
        <v>0</v>
      </c>
      <c r="S15" s="6" t="s">
        <v>127</v>
      </c>
      <c r="T15" s="6" cm="1">
        <f t="array" aca="1" ref="T15" ca="1">SUM(INDIRECT("MLHero["&amp;S15&amp;"]")/$W$5)</f>
        <v>0.41050119331742163</v>
      </c>
      <c r="V15" s="6" t="s">
        <v>124</v>
      </c>
      <c r="W15" s="6" t="s">
        <v>130</v>
      </c>
      <c r="X15" s="6" cm="1">
        <f t="array" aca="1" ref="X15" ca="1">SUM(INDIRECT("MLHero["&amp;V15&amp;"]")*INDIRECT("MLHero["&amp;W15&amp;"]"))</f>
        <v>76</v>
      </c>
      <c r="Y15" s="6">
        <f t="shared" ca="1" si="0"/>
        <v>0.36754176610978451</v>
      </c>
      <c r="Z15" s="6">
        <f t="shared" ca="1" si="1"/>
        <v>0.49403341288782715</v>
      </c>
      <c r="AA15" s="6">
        <f t="shared" si="2"/>
        <v>419</v>
      </c>
      <c r="AB15" s="6">
        <f t="shared" ca="1" si="3"/>
        <v>76.081145584725235</v>
      </c>
      <c r="AC15" s="6">
        <f t="shared" ca="1" si="4"/>
        <v>0.99893343371604637</v>
      </c>
    </row>
    <row r="16" spans="1:29" x14ac:dyDescent="0.3">
      <c r="A16">
        <v>1</v>
      </c>
      <c r="B16">
        <v>0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S16" s="6" t="s">
        <v>119</v>
      </c>
      <c r="T16" s="6" cm="1">
        <f t="array" aca="1" ref="T16" ca="1">SUM(INDIRECT("MLHero["&amp;S16&amp;"]")/$W$5)</f>
        <v>0.39856801909307799</v>
      </c>
      <c r="V16" s="6" t="s">
        <v>127</v>
      </c>
      <c r="W16" s="6" t="s">
        <v>130</v>
      </c>
      <c r="X16" s="6" cm="1">
        <f t="array" aca="1" ref="X16" ca="1">SUM(INDIRECT("MLHero["&amp;V16&amp;"]")*INDIRECT("MLHero["&amp;W16&amp;"]"))</f>
        <v>90</v>
      </c>
      <c r="Y16" s="6">
        <f t="shared" ca="1" si="0"/>
        <v>0.41050119331742163</v>
      </c>
      <c r="Z16" s="6">
        <f t="shared" ca="1" si="1"/>
        <v>0.49403341288782715</v>
      </c>
      <c r="AA16" s="6">
        <f t="shared" si="2"/>
        <v>419</v>
      </c>
      <c r="AB16" s="6">
        <f t="shared" ca="1" si="3"/>
        <v>84.973747016706099</v>
      </c>
      <c r="AC16" s="6">
        <f t="shared" ca="1" si="4"/>
        <v>1.0591506572295291</v>
      </c>
    </row>
    <row r="17" spans="1:29" x14ac:dyDescent="0.3">
      <c r="A17">
        <v>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1</v>
      </c>
      <c r="S17" s="6" t="s">
        <v>129</v>
      </c>
      <c r="T17" s="6" cm="1">
        <f t="array" aca="1" ref="T17" ca="1">SUM(INDIRECT("MLHero["&amp;S17&amp;"]")/$W$5)</f>
        <v>0.38424821002386561</v>
      </c>
      <c r="V17" s="6" t="s">
        <v>119</v>
      </c>
      <c r="W17" s="6" t="s">
        <v>130</v>
      </c>
      <c r="X17" s="6" cm="1">
        <f t="array" aca="1" ref="X17" ca="1">SUM(INDIRECT("MLHero["&amp;V17&amp;"]")*INDIRECT("MLHero["&amp;W17&amp;"]"))</f>
        <v>77</v>
      </c>
      <c r="Y17" s="6">
        <f t="shared" ca="1" si="0"/>
        <v>0.39856801909307799</v>
      </c>
      <c r="Z17" s="6">
        <f t="shared" ca="1" si="1"/>
        <v>0.49403341288782715</v>
      </c>
      <c r="AA17" s="6">
        <f t="shared" si="2"/>
        <v>419</v>
      </c>
      <c r="AB17" s="6">
        <f t="shared" ca="1" si="3"/>
        <v>82.503579952266975</v>
      </c>
      <c r="AC17" s="6">
        <f t="shared" ca="1" si="4"/>
        <v>0.93329283462061752</v>
      </c>
    </row>
    <row r="18" spans="1:29" x14ac:dyDescent="0.3">
      <c r="A18">
        <v>0</v>
      </c>
      <c r="B18">
        <v>1</v>
      </c>
      <c r="C18">
        <v>1</v>
      </c>
      <c r="D18">
        <v>1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1</v>
      </c>
      <c r="L18">
        <v>0</v>
      </c>
      <c r="M18">
        <v>1</v>
      </c>
      <c r="N18">
        <v>0</v>
      </c>
      <c r="O18">
        <v>0</v>
      </c>
      <c r="P18">
        <v>0</v>
      </c>
      <c r="Q18">
        <v>1</v>
      </c>
      <c r="S18" s="6" t="s">
        <v>128</v>
      </c>
      <c r="T18" s="6" cm="1">
        <f t="array" aca="1" ref="T18" ca="1">SUM(INDIRECT("MLHero["&amp;S18&amp;"]")/$W$5)</f>
        <v>0.40572792362768417</v>
      </c>
      <c r="V18" s="6" t="s">
        <v>129</v>
      </c>
      <c r="W18" s="6" t="s">
        <v>130</v>
      </c>
      <c r="X18" s="6" cm="1">
        <f t="array" aca="1" ref="X18" ca="1">SUM(INDIRECT("MLHero["&amp;V18&amp;"]")*INDIRECT("MLHero["&amp;W18&amp;"]"))</f>
        <v>78</v>
      </c>
      <c r="Y18" s="6">
        <f t="shared" ca="1" si="0"/>
        <v>0.38424821002386561</v>
      </c>
      <c r="Z18" s="6">
        <f t="shared" ca="1" si="1"/>
        <v>0.49403341288782715</v>
      </c>
      <c r="AA18" s="6">
        <f t="shared" si="2"/>
        <v>419</v>
      </c>
      <c r="AB18" s="6">
        <f t="shared" ca="1" si="3"/>
        <v>79.53937947494002</v>
      </c>
      <c r="AC18" s="6">
        <f t="shared" ca="1" si="4"/>
        <v>0.98064632280133612</v>
      </c>
    </row>
    <row r="19" spans="1:29" x14ac:dyDescent="0.3">
      <c r="A19">
        <v>1</v>
      </c>
      <c r="B19">
        <v>0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1</v>
      </c>
      <c r="Q19">
        <v>0</v>
      </c>
      <c r="S19" s="6" t="s">
        <v>123</v>
      </c>
      <c r="T19" s="6" cm="1">
        <f t="array" aca="1" ref="T19" ca="1">SUM(INDIRECT("MLHero["&amp;S19&amp;"]")/$W$5)</f>
        <v>0.40572792362768417</v>
      </c>
      <c r="V19" s="6" t="s">
        <v>128</v>
      </c>
      <c r="W19" s="6" t="s">
        <v>130</v>
      </c>
      <c r="X19" s="6" cm="1">
        <f t="array" aca="1" ref="X19" ca="1">SUM(INDIRECT("MLHero["&amp;V19&amp;"]")*INDIRECT("MLHero["&amp;W19&amp;"]"))</f>
        <v>87</v>
      </c>
      <c r="Y19" s="6">
        <f t="shared" ca="1" si="0"/>
        <v>0.40572792362768417</v>
      </c>
      <c r="Z19" s="6">
        <f t="shared" ca="1" si="1"/>
        <v>0.49403341288782715</v>
      </c>
      <c r="AA19" s="6">
        <f t="shared" si="2"/>
        <v>419</v>
      </c>
      <c r="AB19" s="6">
        <f t="shared" ca="1" si="3"/>
        <v>83.985680190930452</v>
      </c>
      <c r="AC19" s="6">
        <f t="shared" ca="1" si="4"/>
        <v>1.0358908780903706</v>
      </c>
    </row>
    <row r="20" spans="1:29" x14ac:dyDescent="0.3">
      <c r="A20">
        <v>0</v>
      </c>
      <c r="B20">
        <v>1</v>
      </c>
      <c r="C20">
        <v>0</v>
      </c>
      <c r="D20">
        <v>1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S20" s="6" t="s">
        <v>121</v>
      </c>
      <c r="T20" s="6" cm="1">
        <f t="array" aca="1" ref="T20" ca="1">SUM(INDIRECT("MLHero["&amp;S20&amp;"]")/$W$5)</f>
        <v>0.41766109785202782</v>
      </c>
      <c r="V20" s="6" t="s">
        <v>123</v>
      </c>
      <c r="W20" s="6" t="s">
        <v>130</v>
      </c>
      <c r="X20" s="6" cm="1">
        <f t="array" aca="1" ref="X20" ca="1">SUM(INDIRECT("MLHero["&amp;V20&amp;"]")*INDIRECT("MLHero["&amp;W20&amp;"]"))</f>
        <v>84</v>
      </c>
      <c r="Y20" s="6">
        <f t="shared" ca="1" si="0"/>
        <v>0.40572792362768417</v>
      </c>
      <c r="Z20" s="6">
        <f t="shared" ca="1" si="1"/>
        <v>0.49403341288782715</v>
      </c>
      <c r="AA20" s="6">
        <f t="shared" si="2"/>
        <v>419</v>
      </c>
      <c r="AB20" s="6">
        <f t="shared" ca="1" si="3"/>
        <v>83.985680190930452</v>
      </c>
      <c r="AC20" s="6">
        <f t="shared" ca="1" si="4"/>
        <v>1.0001705029838062</v>
      </c>
    </row>
    <row r="21" spans="1:29" x14ac:dyDescent="0.3">
      <c r="A21">
        <v>0</v>
      </c>
      <c r="B21">
        <v>1</v>
      </c>
      <c r="C21">
        <v>0</v>
      </c>
      <c r="D21">
        <v>0</v>
      </c>
      <c r="E21">
        <v>1</v>
      </c>
      <c r="F21">
        <v>0</v>
      </c>
      <c r="G21">
        <v>0</v>
      </c>
      <c r="H21">
        <v>1</v>
      </c>
      <c r="I21">
        <v>1</v>
      </c>
      <c r="J21">
        <v>1</v>
      </c>
      <c r="K21">
        <v>1</v>
      </c>
      <c r="L21">
        <v>0</v>
      </c>
      <c r="M21">
        <v>1</v>
      </c>
      <c r="N21">
        <v>1</v>
      </c>
      <c r="O21">
        <v>0</v>
      </c>
      <c r="P21">
        <v>0</v>
      </c>
      <c r="Q21">
        <v>0</v>
      </c>
      <c r="S21" s="6" t="s">
        <v>120</v>
      </c>
      <c r="T21" s="6" cm="1">
        <f t="array" aca="1" ref="T21" ca="1">SUM(INDIRECT("MLHero["&amp;S21&amp;"]")/$W$5)</f>
        <v>0.4081145584725529</v>
      </c>
      <c r="V21" s="6" t="s">
        <v>121</v>
      </c>
      <c r="W21" s="6" t="s">
        <v>130</v>
      </c>
      <c r="X21" s="6" cm="1">
        <f t="array" aca="1" ref="X21" ca="1">SUM(INDIRECT("MLHero["&amp;V21&amp;"]")*INDIRECT("MLHero["&amp;W21&amp;"]"))</f>
        <v>94</v>
      </c>
      <c r="Y21" s="6">
        <f t="shared" ca="1" si="0"/>
        <v>0.41766109785202782</v>
      </c>
      <c r="Z21" s="6">
        <f t="shared" ca="1" si="1"/>
        <v>0.49403341288782715</v>
      </c>
      <c r="AA21" s="6">
        <f t="shared" si="2"/>
        <v>419</v>
      </c>
      <c r="AB21" s="6">
        <f t="shared" ca="1" si="3"/>
        <v>86.455847255369591</v>
      </c>
      <c r="AC21" s="6">
        <f t="shared" ca="1" si="4"/>
        <v>1.0872601794340968</v>
      </c>
    </row>
    <row r="22" spans="1:29" x14ac:dyDescent="0.3">
      <c r="A22">
        <v>1</v>
      </c>
      <c r="B22">
        <v>0</v>
      </c>
      <c r="C22">
        <v>0</v>
      </c>
      <c r="D22">
        <v>1</v>
      </c>
      <c r="E22">
        <v>0</v>
      </c>
      <c r="F22">
        <v>0</v>
      </c>
      <c r="G22">
        <v>0</v>
      </c>
      <c r="H22">
        <v>1</v>
      </c>
      <c r="I22">
        <v>0</v>
      </c>
      <c r="J22">
        <v>0</v>
      </c>
      <c r="K22">
        <v>0</v>
      </c>
      <c r="L22">
        <v>0</v>
      </c>
      <c r="M22">
        <v>1</v>
      </c>
      <c r="N22">
        <v>1</v>
      </c>
      <c r="O22">
        <v>0</v>
      </c>
      <c r="P22">
        <v>0</v>
      </c>
      <c r="Q22">
        <v>1</v>
      </c>
      <c r="S22" s="6" t="s">
        <v>118</v>
      </c>
      <c r="T22" s="6" cm="1">
        <f t="array" aca="1" ref="T22" ca="1">SUM(INDIRECT("MLHero["&amp;S22&amp;"]")/$W$5)</f>
        <v>0.45346062052505876</v>
      </c>
      <c r="V22" s="6" t="s">
        <v>120</v>
      </c>
      <c r="W22" s="6" t="s">
        <v>130</v>
      </c>
      <c r="X22" s="6" cm="1">
        <f t="array" aca="1" ref="X22" ca="1">SUM(INDIRECT("MLHero["&amp;V22&amp;"]")*INDIRECT("MLHero["&amp;W22&amp;"]"))</f>
        <v>96</v>
      </c>
      <c r="Y22" s="6">
        <f t="shared" ca="1" si="0"/>
        <v>0.4081145584725529</v>
      </c>
      <c r="Z22" s="6">
        <f t="shared" ca="1" si="1"/>
        <v>0.49403341288782715</v>
      </c>
      <c r="AA22" s="6">
        <f t="shared" si="2"/>
        <v>419</v>
      </c>
      <c r="AB22" s="6">
        <f t="shared" ca="1" si="3"/>
        <v>84.479713603818283</v>
      </c>
      <c r="AC22" s="6">
        <f ca="1">X22/AB22</f>
        <v>1.1363674887702393</v>
      </c>
    </row>
    <row r="23" spans="1:29" x14ac:dyDescent="0.3">
      <c r="A23">
        <v>0</v>
      </c>
      <c r="B23">
        <v>0</v>
      </c>
      <c r="C23">
        <v>1</v>
      </c>
      <c r="D23">
        <v>1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1</v>
      </c>
      <c r="O23">
        <v>1</v>
      </c>
      <c r="P23">
        <v>0</v>
      </c>
      <c r="Q23">
        <v>0</v>
      </c>
      <c r="S23" s="6" t="s">
        <v>117</v>
      </c>
      <c r="T23" s="6" cm="1">
        <f t="array" aca="1" ref="T23" ca="1">SUM(INDIRECT("MLHero["&amp;S23&amp;"]")/$W$5)</f>
        <v>0.42720763723150273</v>
      </c>
      <c r="V23" s="6" t="s">
        <v>118</v>
      </c>
      <c r="W23" s="6" t="s">
        <v>130</v>
      </c>
      <c r="X23" s="6" cm="1">
        <f t="array" aca="1" ref="X23" ca="1">SUM(INDIRECT("MLHero["&amp;V23&amp;"]")*INDIRECT("MLHero["&amp;W23&amp;"]"))</f>
        <v>100</v>
      </c>
      <c r="Y23" s="6">
        <f t="shared" ca="1" si="0"/>
        <v>0.45346062052505876</v>
      </c>
      <c r="Z23" s="6">
        <f t="shared" ca="1" si="1"/>
        <v>0.49403341288782715</v>
      </c>
      <c r="AA23" s="6">
        <f t="shared" si="2"/>
        <v>419</v>
      </c>
      <c r="AB23" s="6">
        <f t="shared" ca="1" si="3"/>
        <v>93.866348448686978</v>
      </c>
      <c r="AC23" s="6">
        <f t="shared" ca="1" si="4"/>
        <v>1.0653445207220993</v>
      </c>
    </row>
    <row r="24" spans="1:29" x14ac:dyDescent="0.3">
      <c r="A24">
        <v>1</v>
      </c>
      <c r="B24">
        <v>1</v>
      </c>
      <c r="C24">
        <v>0</v>
      </c>
      <c r="D24">
        <v>1</v>
      </c>
      <c r="E24">
        <v>0</v>
      </c>
      <c r="F24">
        <v>1</v>
      </c>
      <c r="G24">
        <v>1</v>
      </c>
      <c r="H24">
        <v>1</v>
      </c>
      <c r="I24">
        <v>1</v>
      </c>
      <c r="J24">
        <v>1</v>
      </c>
      <c r="K24">
        <v>0</v>
      </c>
      <c r="L24">
        <v>0</v>
      </c>
      <c r="M24">
        <v>0</v>
      </c>
      <c r="N24">
        <v>1</v>
      </c>
      <c r="O24">
        <v>1</v>
      </c>
      <c r="P24">
        <v>1</v>
      </c>
      <c r="Q24">
        <v>0</v>
      </c>
      <c r="S24" s="6" t="s">
        <v>130</v>
      </c>
      <c r="T24" s="6" cm="1">
        <f t="array" aca="1" ref="T24" ca="1">SUM(INDIRECT("MLHero["&amp;S24&amp;"]")/$W$5)</f>
        <v>0.49403341288782715</v>
      </c>
      <c r="V24" s="6" t="s">
        <v>117</v>
      </c>
      <c r="W24" s="6" t="s">
        <v>130</v>
      </c>
      <c r="X24" s="6" cm="1">
        <f t="array" aca="1" ref="X24" ca="1">SUM(INDIRECT("MLHero["&amp;V24&amp;"]")*INDIRECT("MLHero["&amp;W24&amp;"]"))</f>
        <v>95</v>
      </c>
      <c r="Y24" s="6">
        <f t="shared" ca="1" si="0"/>
        <v>0.42720763723150273</v>
      </c>
      <c r="Z24" s="6">
        <f t="shared" ca="1" si="1"/>
        <v>0.49403341288782715</v>
      </c>
      <c r="AA24" s="6">
        <f t="shared" si="2"/>
        <v>419</v>
      </c>
      <c r="AB24" s="6">
        <f t="shared" ca="1" si="3"/>
        <v>88.431980906920884</v>
      </c>
      <c r="AC24" s="6">
        <f t="shared" ca="1" si="4"/>
        <v>1.0742719887728431</v>
      </c>
    </row>
    <row r="25" spans="1:29" x14ac:dyDescent="0.3">
      <c r="A25">
        <v>0</v>
      </c>
      <c r="B25">
        <v>1</v>
      </c>
      <c r="C25">
        <v>1</v>
      </c>
      <c r="D25">
        <v>1</v>
      </c>
      <c r="E25">
        <v>0</v>
      </c>
      <c r="F25">
        <v>0</v>
      </c>
      <c r="G25">
        <v>1</v>
      </c>
      <c r="H25">
        <v>1</v>
      </c>
      <c r="I25">
        <v>1</v>
      </c>
      <c r="J25">
        <v>0</v>
      </c>
      <c r="K25">
        <v>0</v>
      </c>
      <c r="L25">
        <v>0</v>
      </c>
      <c r="M25">
        <v>1</v>
      </c>
      <c r="N25">
        <v>1</v>
      </c>
      <c r="O25">
        <v>0</v>
      </c>
      <c r="P25">
        <v>1</v>
      </c>
      <c r="Q25">
        <v>1</v>
      </c>
      <c r="V25" s="75" t="s">
        <v>135</v>
      </c>
      <c r="W25" s="75"/>
      <c r="X25" s="75"/>
      <c r="Y25" s="75"/>
      <c r="Z25" s="75"/>
      <c r="AA25" s="75"/>
      <c r="AB25" s="75"/>
      <c r="AC25" s="26">
        <f ca="1">MAX(AC9:AC24)</f>
        <v>1.1363674887702393</v>
      </c>
    </row>
    <row r="26" spans="1:29" x14ac:dyDescent="0.3">
      <c r="A26">
        <v>1</v>
      </c>
      <c r="B26">
        <v>1</v>
      </c>
      <c r="C26">
        <v>0</v>
      </c>
      <c r="D26">
        <v>0</v>
      </c>
      <c r="E26">
        <v>1</v>
      </c>
      <c r="F26">
        <v>0</v>
      </c>
      <c r="G26">
        <v>1</v>
      </c>
      <c r="H26">
        <v>0</v>
      </c>
      <c r="I26">
        <v>1</v>
      </c>
      <c r="J26">
        <v>1</v>
      </c>
      <c r="K26">
        <v>1</v>
      </c>
      <c r="L26">
        <v>1</v>
      </c>
      <c r="M26">
        <v>0</v>
      </c>
      <c r="N26">
        <v>1</v>
      </c>
      <c r="O26">
        <v>1</v>
      </c>
      <c r="P26">
        <v>0</v>
      </c>
      <c r="Q26">
        <v>1</v>
      </c>
    </row>
    <row r="27" spans="1:29" x14ac:dyDescent="0.3">
      <c r="A27">
        <v>0</v>
      </c>
      <c r="B27">
        <v>1</v>
      </c>
      <c r="C27">
        <v>1</v>
      </c>
      <c r="D27">
        <v>0</v>
      </c>
      <c r="E27">
        <v>0</v>
      </c>
      <c r="F27">
        <v>0</v>
      </c>
      <c r="G27">
        <v>1</v>
      </c>
      <c r="H27">
        <v>0</v>
      </c>
      <c r="I27">
        <v>0</v>
      </c>
      <c r="J27">
        <v>1</v>
      </c>
      <c r="K27">
        <v>0</v>
      </c>
      <c r="L27">
        <v>0</v>
      </c>
      <c r="M27">
        <v>0</v>
      </c>
      <c r="N27">
        <v>0</v>
      </c>
      <c r="O27">
        <v>1</v>
      </c>
      <c r="P27">
        <v>1</v>
      </c>
      <c r="Q27">
        <v>1</v>
      </c>
      <c r="V27" s="68" t="s">
        <v>110</v>
      </c>
      <c r="W27" s="69"/>
      <c r="X27" s="69"/>
      <c r="Y27" s="69"/>
      <c r="Z27" s="69"/>
      <c r="AA27" s="69"/>
      <c r="AB27" s="70"/>
    </row>
    <row r="28" spans="1:29" x14ac:dyDescent="0.3">
      <c r="A28">
        <v>0</v>
      </c>
      <c r="B28">
        <v>1</v>
      </c>
      <c r="C28">
        <v>1</v>
      </c>
      <c r="D28">
        <v>1</v>
      </c>
      <c r="E28">
        <v>1</v>
      </c>
      <c r="F28">
        <v>0</v>
      </c>
      <c r="G28">
        <v>0</v>
      </c>
      <c r="H28">
        <v>0</v>
      </c>
      <c r="I28">
        <v>1</v>
      </c>
      <c r="J28">
        <v>1</v>
      </c>
      <c r="K28">
        <v>0</v>
      </c>
      <c r="L28">
        <v>0</v>
      </c>
      <c r="M28">
        <v>0</v>
      </c>
      <c r="N28">
        <v>1</v>
      </c>
      <c r="O28">
        <v>0</v>
      </c>
      <c r="P28">
        <v>1</v>
      </c>
      <c r="Q28">
        <v>0</v>
      </c>
      <c r="V28" s="52" t="s">
        <v>102</v>
      </c>
      <c r="W28" s="53"/>
      <c r="X28" s="6" t="s">
        <v>103</v>
      </c>
      <c r="Y28" s="6" t="s">
        <v>111</v>
      </c>
      <c r="Z28" s="6" t="s">
        <v>105</v>
      </c>
      <c r="AA28" s="6" t="s">
        <v>106</v>
      </c>
      <c r="AB28" s="6" t="s">
        <v>109</v>
      </c>
    </row>
    <row r="29" spans="1:29" x14ac:dyDescent="0.3">
      <c r="A29">
        <v>1</v>
      </c>
      <c r="B29">
        <v>1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V29" s="6" t="s">
        <v>114</v>
      </c>
      <c r="W29" s="6" t="s">
        <v>125</v>
      </c>
      <c r="X29" s="6" t="s">
        <v>130</v>
      </c>
      <c r="Y29" s="6" cm="1">
        <f t="array" aca="1" ref="Y29" ca="1">SUM(INDIRECT("MLHero["&amp;V29&amp;"]")*INDIRECT("MLHero["&amp;W29&amp;"]")*INDIRECT("MLHero["&amp;X29&amp;"]"))/$W$5</f>
        <v>9.3078758949880672E-2</v>
      </c>
      <c r="Z29" s="6" cm="1">
        <f t="array" aca="1" ref="Z29" ca="1">SUM(INDIRECT("MLHero["&amp;V29&amp;"]")*INDIRECT("MLHero["&amp;W29&amp;"]"))/$W$5</f>
        <v>0.18138424821002386</v>
      </c>
      <c r="AA29" s="6">
        <f ca="1">$T$24</f>
        <v>0.49403341288782715</v>
      </c>
      <c r="AB29" s="6">
        <f ca="1">Y29/(Z29*AA29)</f>
        <v>1.0387109077040448</v>
      </c>
    </row>
    <row r="30" spans="1:29" x14ac:dyDescent="0.3">
      <c r="A30">
        <v>1</v>
      </c>
      <c r="B30">
        <v>1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1</v>
      </c>
      <c r="J30">
        <v>1</v>
      </c>
      <c r="K30">
        <v>1</v>
      </c>
      <c r="L30">
        <v>0</v>
      </c>
      <c r="M30">
        <v>0</v>
      </c>
      <c r="N30">
        <v>1</v>
      </c>
      <c r="O30">
        <v>1</v>
      </c>
      <c r="P30">
        <v>1</v>
      </c>
      <c r="Q30">
        <v>0</v>
      </c>
      <c r="V30" s="6" t="s">
        <v>115</v>
      </c>
      <c r="W30" s="6" t="s">
        <v>124</v>
      </c>
      <c r="X30" s="6" t="s">
        <v>130</v>
      </c>
      <c r="Y30" s="6" cm="1">
        <f t="array" aca="1" ref="Y30" ca="1">SUM(INDIRECT("MLHero["&amp;V30&amp;"]")*INDIRECT("MLHero["&amp;W30&amp;"]")*INDIRECT("MLHero["&amp;X30&amp;"]"))/$W$5</f>
        <v>9.3078758949880672E-2</v>
      </c>
      <c r="Z30" s="6" cm="1">
        <f t="array" aca="1" ref="Z30" ca="1">SUM(INDIRECT("MLHero["&amp;V30&amp;"]")*INDIRECT("MLHero["&amp;W30&amp;"]"))/$W$5</f>
        <v>0.15990453460620524</v>
      </c>
      <c r="AA30" s="6">
        <f t="shared" ref="AA30:AA33" ca="1" si="5">$T$24</f>
        <v>0.49403341288782715</v>
      </c>
      <c r="AB30" s="6">
        <f t="shared" ref="AB30:AB33" ca="1" si="6">Y30/(Z30*AA30)</f>
        <v>1.178239238589663</v>
      </c>
    </row>
    <row r="31" spans="1:29" x14ac:dyDescent="0.3">
      <c r="A31">
        <v>1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1</v>
      </c>
      <c r="I31">
        <v>0</v>
      </c>
      <c r="J31">
        <v>0</v>
      </c>
      <c r="K31">
        <v>0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V31" s="6" t="s">
        <v>116</v>
      </c>
      <c r="W31" s="6" t="s">
        <v>127</v>
      </c>
      <c r="X31" s="6" t="s">
        <v>130</v>
      </c>
      <c r="Y31" s="6" cm="1">
        <f t="array" aca="1" ref="Y31" ca="1">SUM(INDIRECT("MLHero["&amp;V31&amp;"]")*INDIRECT("MLHero["&amp;W31&amp;"]")*INDIRECT("MLHero["&amp;X31&amp;"]"))/$W$5</f>
        <v>0.10739856801909307</v>
      </c>
      <c r="Z31" s="6" cm="1">
        <f t="array" aca="1" ref="Z31" ca="1">SUM(INDIRECT("MLHero["&amp;V31&amp;"]")*INDIRECT("MLHero["&amp;W31&amp;"]"))/$W$5</f>
        <v>0.20047732696897375</v>
      </c>
      <c r="AA31" s="6">
        <f t="shared" ca="1" si="5"/>
        <v>0.49403341288782715</v>
      </c>
      <c r="AB31" s="6">
        <f t="shared" ca="1" si="6"/>
        <v>1.0843685300207062</v>
      </c>
    </row>
    <row r="32" spans="1:29" x14ac:dyDescent="0.3">
      <c r="A32">
        <v>1</v>
      </c>
      <c r="B32">
        <v>0</v>
      </c>
      <c r="C32">
        <v>0</v>
      </c>
      <c r="D32">
        <v>0</v>
      </c>
      <c r="E32">
        <v>1</v>
      </c>
      <c r="F32">
        <v>1</v>
      </c>
      <c r="G32">
        <v>0</v>
      </c>
      <c r="H32">
        <v>0</v>
      </c>
      <c r="I32">
        <v>0</v>
      </c>
      <c r="J32">
        <v>1</v>
      </c>
      <c r="K32">
        <v>0</v>
      </c>
      <c r="L32">
        <v>0</v>
      </c>
      <c r="M32">
        <v>0</v>
      </c>
      <c r="N32">
        <v>1</v>
      </c>
      <c r="O32">
        <v>0</v>
      </c>
      <c r="P32">
        <v>1</v>
      </c>
      <c r="Q32">
        <v>1</v>
      </c>
      <c r="V32" s="6" t="s">
        <v>122</v>
      </c>
      <c r="W32" s="6" t="s">
        <v>119</v>
      </c>
      <c r="X32" s="6" t="s">
        <v>130</v>
      </c>
      <c r="Y32" s="6" cm="1">
        <f t="array" aca="1" ref="Y32" ca="1">SUM(INDIRECT("MLHero["&amp;V32&amp;"]")*INDIRECT("MLHero["&amp;W32&amp;"]")*INDIRECT("MLHero["&amp;X32&amp;"]"))/$W$5</f>
        <v>0.10501193317422435</v>
      </c>
      <c r="Z32" s="6" cm="1">
        <f t="array" aca="1" ref="Z32" ca="1">SUM(INDIRECT("MLHero["&amp;V32&amp;"]")*INDIRECT("MLHero["&amp;W32&amp;"]"))/$W$5</f>
        <v>0.20286396181384247</v>
      </c>
      <c r="AA32" s="6">
        <f t="shared" ca="1" si="5"/>
        <v>0.49403341288782715</v>
      </c>
      <c r="AB32" s="6">
        <f t="shared" ca="1" si="6"/>
        <v>1.0477976697925568</v>
      </c>
    </row>
    <row r="33" spans="1:28" x14ac:dyDescent="0.3">
      <c r="A33">
        <v>0</v>
      </c>
      <c r="B33">
        <v>1</v>
      </c>
      <c r="C33">
        <v>1</v>
      </c>
      <c r="D33">
        <v>0</v>
      </c>
      <c r="E33">
        <v>0</v>
      </c>
      <c r="F33">
        <v>1</v>
      </c>
      <c r="G33">
        <v>0</v>
      </c>
      <c r="H33">
        <v>0</v>
      </c>
      <c r="I33">
        <v>0</v>
      </c>
      <c r="J33">
        <v>1</v>
      </c>
      <c r="K33">
        <v>0</v>
      </c>
      <c r="L33">
        <v>0</v>
      </c>
      <c r="M33">
        <v>0</v>
      </c>
      <c r="N33">
        <v>1</v>
      </c>
      <c r="O33">
        <v>1</v>
      </c>
      <c r="P33">
        <v>0</v>
      </c>
      <c r="Q33">
        <v>1</v>
      </c>
      <c r="V33" s="6" t="s">
        <v>126</v>
      </c>
      <c r="W33" s="6" t="s">
        <v>129</v>
      </c>
      <c r="X33" s="6" t="s">
        <v>130</v>
      </c>
      <c r="Y33" s="6" cm="1">
        <f t="array" aca="1" ref="Y33" ca="1">SUM(INDIRECT("MLHero["&amp;V33&amp;"]")*INDIRECT("MLHero["&amp;W33&amp;"]")*INDIRECT("MLHero["&amp;X33&amp;"]"))/$W$5</f>
        <v>9.7852028639618144E-2</v>
      </c>
      <c r="Z33" s="6" cm="1">
        <f t="array" aca="1" ref="Z33" ca="1">SUM(INDIRECT("MLHero["&amp;V33&amp;"]")*INDIRECT("MLHero["&amp;W33&amp;"]"))/$W$5</f>
        <v>0.18854415274463007</v>
      </c>
      <c r="AA33" s="6">
        <f t="shared" ca="1" si="5"/>
        <v>0.49403341288782715</v>
      </c>
      <c r="AB33" s="6">
        <f t="shared" ca="1" si="6"/>
        <v>1.050510609674068</v>
      </c>
    </row>
    <row r="34" spans="1:28" x14ac:dyDescent="0.3">
      <c r="A34">
        <v>1</v>
      </c>
      <c r="B34">
        <v>0</v>
      </c>
      <c r="C34">
        <v>0</v>
      </c>
      <c r="D34">
        <v>1</v>
      </c>
      <c r="E34">
        <v>0</v>
      </c>
      <c r="F34">
        <v>0</v>
      </c>
      <c r="G34">
        <v>1</v>
      </c>
      <c r="H34">
        <v>0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V34" s="65" t="s">
        <v>136</v>
      </c>
      <c r="W34" s="66"/>
      <c r="X34" s="66"/>
      <c r="Y34" s="66"/>
      <c r="Z34" s="66"/>
      <c r="AA34" s="67"/>
      <c r="AB34" s="26">
        <f ca="1">MAX(AB29:AB33)</f>
        <v>1.178239238589663</v>
      </c>
    </row>
    <row r="35" spans="1:28" x14ac:dyDescent="0.3">
      <c r="A35">
        <v>0</v>
      </c>
      <c r="B35">
        <v>0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1</v>
      </c>
      <c r="K35">
        <v>1</v>
      </c>
      <c r="L35">
        <v>0</v>
      </c>
      <c r="M35">
        <v>1</v>
      </c>
      <c r="N35">
        <v>0</v>
      </c>
      <c r="O35">
        <v>0</v>
      </c>
      <c r="P35">
        <v>0</v>
      </c>
      <c r="Q35">
        <v>0</v>
      </c>
    </row>
    <row r="36" spans="1:28" x14ac:dyDescent="0.3">
      <c r="A36">
        <v>1</v>
      </c>
      <c r="B36">
        <v>1</v>
      </c>
      <c r="C36">
        <v>0</v>
      </c>
      <c r="D36">
        <v>0</v>
      </c>
      <c r="E36">
        <v>0</v>
      </c>
      <c r="F36">
        <v>1</v>
      </c>
      <c r="G36">
        <v>0</v>
      </c>
      <c r="H36">
        <v>1</v>
      </c>
      <c r="I36">
        <v>0</v>
      </c>
      <c r="J36">
        <v>0</v>
      </c>
      <c r="K36">
        <v>0</v>
      </c>
      <c r="L36">
        <v>1</v>
      </c>
      <c r="M36">
        <v>0</v>
      </c>
      <c r="N36">
        <v>0</v>
      </c>
      <c r="O36">
        <v>0</v>
      </c>
      <c r="P36">
        <v>1</v>
      </c>
      <c r="Q36">
        <v>0</v>
      </c>
    </row>
    <row r="37" spans="1:28" x14ac:dyDescent="0.3">
      <c r="A37">
        <v>0</v>
      </c>
      <c r="B37">
        <v>0</v>
      </c>
      <c r="C37">
        <v>0</v>
      </c>
      <c r="D37">
        <v>1</v>
      </c>
      <c r="E37">
        <v>0</v>
      </c>
      <c r="F37">
        <v>1</v>
      </c>
      <c r="G37">
        <v>1</v>
      </c>
      <c r="H37">
        <v>0</v>
      </c>
      <c r="I37">
        <v>0</v>
      </c>
      <c r="J37">
        <v>0</v>
      </c>
      <c r="K37">
        <v>0</v>
      </c>
      <c r="L37">
        <v>1</v>
      </c>
      <c r="M37">
        <v>0</v>
      </c>
      <c r="N37">
        <v>1</v>
      </c>
      <c r="O37">
        <v>0</v>
      </c>
      <c r="P37">
        <v>1</v>
      </c>
      <c r="Q37">
        <v>0</v>
      </c>
    </row>
    <row r="38" spans="1:28" x14ac:dyDescent="0.3">
      <c r="A38">
        <v>0</v>
      </c>
      <c r="B38">
        <v>0</v>
      </c>
      <c r="C38">
        <v>0</v>
      </c>
      <c r="D38">
        <v>1</v>
      </c>
      <c r="E38">
        <v>1</v>
      </c>
      <c r="F38">
        <v>1</v>
      </c>
      <c r="G38">
        <v>0</v>
      </c>
      <c r="H38">
        <v>1</v>
      </c>
      <c r="I38">
        <v>1</v>
      </c>
      <c r="J38">
        <v>0</v>
      </c>
      <c r="K38">
        <v>1</v>
      </c>
      <c r="L38">
        <v>1</v>
      </c>
      <c r="M38">
        <v>0</v>
      </c>
      <c r="N38">
        <v>1</v>
      </c>
      <c r="O38">
        <v>1</v>
      </c>
      <c r="P38">
        <v>1</v>
      </c>
      <c r="Q38">
        <v>1</v>
      </c>
    </row>
    <row r="39" spans="1:28" x14ac:dyDescent="0.3">
      <c r="A39">
        <v>1</v>
      </c>
      <c r="B39">
        <v>0</v>
      </c>
      <c r="C39">
        <v>0</v>
      </c>
      <c r="D39">
        <v>0</v>
      </c>
      <c r="E39">
        <v>1</v>
      </c>
      <c r="F39">
        <v>0</v>
      </c>
      <c r="G39">
        <v>1</v>
      </c>
      <c r="H39">
        <v>1</v>
      </c>
      <c r="I39">
        <v>0</v>
      </c>
      <c r="J39">
        <v>1</v>
      </c>
      <c r="K39">
        <v>1</v>
      </c>
      <c r="L39">
        <v>0</v>
      </c>
      <c r="M39">
        <v>0</v>
      </c>
      <c r="N39">
        <v>0</v>
      </c>
      <c r="O39">
        <v>0</v>
      </c>
      <c r="P39">
        <v>1</v>
      </c>
      <c r="Q39">
        <v>0</v>
      </c>
    </row>
    <row r="40" spans="1:28" x14ac:dyDescent="0.3">
      <c r="A40">
        <v>1</v>
      </c>
      <c r="B40">
        <v>0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1</v>
      </c>
      <c r="J40">
        <v>0</v>
      </c>
      <c r="K40">
        <v>0</v>
      </c>
      <c r="L40">
        <v>0</v>
      </c>
      <c r="M40">
        <v>1</v>
      </c>
      <c r="N40">
        <v>0</v>
      </c>
      <c r="O40">
        <v>0</v>
      </c>
      <c r="P40">
        <v>0</v>
      </c>
      <c r="Q40">
        <v>1</v>
      </c>
    </row>
    <row r="41" spans="1:28" x14ac:dyDescent="0.3">
      <c r="A41">
        <v>0</v>
      </c>
      <c r="B41">
        <v>1</v>
      </c>
      <c r="C41">
        <v>0</v>
      </c>
      <c r="D41">
        <v>1</v>
      </c>
      <c r="E41">
        <v>1</v>
      </c>
      <c r="F41">
        <v>0</v>
      </c>
      <c r="G41">
        <v>1</v>
      </c>
      <c r="H41">
        <v>1</v>
      </c>
      <c r="I41">
        <v>0</v>
      </c>
      <c r="J41">
        <v>0</v>
      </c>
      <c r="K41">
        <v>1</v>
      </c>
      <c r="L41">
        <v>0</v>
      </c>
      <c r="M41">
        <v>0</v>
      </c>
      <c r="N41">
        <v>0</v>
      </c>
      <c r="O41">
        <v>1</v>
      </c>
      <c r="P41">
        <v>0</v>
      </c>
      <c r="Q41">
        <v>1</v>
      </c>
    </row>
    <row r="42" spans="1:28" x14ac:dyDescent="0.3">
      <c r="A42">
        <v>1</v>
      </c>
      <c r="B42">
        <v>1</v>
      </c>
      <c r="C42">
        <v>1</v>
      </c>
      <c r="D42">
        <v>1</v>
      </c>
      <c r="E42">
        <v>1</v>
      </c>
      <c r="F42">
        <v>0</v>
      </c>
      <c r="G42">
        <v>1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1</v>
      </c>
      <c r="Q42">
        <v>0</v>
      </c>
    </row>
    <row r="43" spans="1:28" x14ac:dyDescent="0.3">
      <c r="A43">
        <v>1</v>
      </c>
      <c r="B43">
        <v>1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1</v>
      </c>
      <c r="Q43">
        <v>0</v>
      </c>
    </row>
    <row r="44" spans="1:28" x14ac:dyDescent="0.3">
      <c r="A44">
        <v>0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</v>
      </c>
      <c r="M44">
        <v>0</v>
      </c>
      <c r="N44">
        <v>0</v>
      </c>
      <c r="O44">
        <v>0</v>
      </c>
      <c r="P44">
        <v>0</v>
      </c>
      <c r="Q44">
        <v>0</v>
      </c>
    </row>
    <row r="45" spans="1:28" x14ac:dyDescent="0.3">
      <c r="A45">
        <v>0</v>
      </c>
      <c r="B45">
        <v>1</v>
      </c>
      <c r="C45">
        <v>0</v>
      </c>
      <c r="D45">
        <v>0</v>
      </c>
      <c r="E45">
        <v>1</v>
      </c>
      <c r="F45">
        <v>1</v>
      </c>
      <c r="G45">
        <v>0</v>
      </c>
      <c r="H45">
        <v>1</v>
      </c>
      <c r="I45">
        <v>1</v>
      </c>
      <c r="J45">
        <v>1</v>
      </c>
      <c r="K45">
        <v>0</v>
      </c>
      <c r="L45">
        <v>1</v>
      </c>
      <c r="M45">
        <v>0</v>
      </c>
      <c r="N45">
        <v>0</v>
      </c>
      <c r="O45">
        <v>0</v>
      </c>
      <c r="P45">
        <v>1</v>
      </c>
      <c r="Q45">
        <v>0</v>
      </c>
    </row>
    <row r="46" spans="1:28" x14ac:dyDescent="0.3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1</v>
      </c>
      <c r="I46">
        <v>0</v>
      </c>
      <c r="J46">
        <v>0</v>
      </c>
      <c r="K46">
        <v>0</v>
      </c>
      <c r="L46">
        <v>0</v>
      </c>
      <c r="M46">
        <v>1</v>
      </c>
      <c r="N46">
        <v>0</v>
      </c>
      <c r="O46">
        <v>0</v>
      </c>
      <c r="P46">
        <v>0</v>
      </c>
      <c r="Q46">
        <v>0</v>
      </c>
    </row>
    <row r="47" spans="1:28" x14ac:dyDescent="0.3">
      <c r="A47">
        <v>0</v>
      </c>
      <c r="B47">
        <v>1</v>
      </c>
      <c r="C47">
        <v>0</v>
      </c>
      <c r="D47">
        <v>0</v>
      </c>
      <c r="E47">
        <v>1</v>
      </c>
      <c r="F47">
        <v>1</v>
      </c>
      <c r="G47">
        <v>1</v>
      </c>
      <c r="H47">
        <v>1</v>
      </c>
      <c r="I47">
        <v>0</v>
      </c>
      <c r="J47">
        <v>1</v>
      </c>
      <c r="K47">
        <v>0</v>
      </c>
      <c r="L47">
        <v>0</v>
      </c>
      <c r="M47">
        <v>0</v>
      </c>
      <c r="N47">
        <v>1</v>
      </c>
      <c r="O47">
        <v>0</v>
      </c>
      <c r="P47">
        <v>0</v>
      </c>
      <c r="Q47">
        <v>1</v>
      </c>
    </row>
    <row r="48" spans="1:28" x14ac:dyDescent="0.3">
      <c r="A48">
        <v>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</v>
      </c>
      <c r="M48">
        <v>0</v>
      </c>
      <c r="N48">
        <v>0</v>
      </c>
      <c r="O48">
        <v>0</v>
      </c>
      <c r="P48">
        <v>0</v>
      </c>
      <c r="Q48">
        <v>0</v>
      </c>
    </row>
    <row r="49" spans="1:17" x14ac:dyDescent="0.3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</v>
      </c>
      <c r="M49">
        <v>0</v>
      </c>
      <c r="N49">
        <v>0</v>
      </c>
      <c r="O49">
        <v>0</v>
      </c>
      <c r="P49">
        <v>1</v>
      </c>
      <c r="Q49">
        <v>0</v>
      </c>
    </row>
    <row r="50" spans="1:17" x14ac:dyDescent="0.3">
      <c r="A50">
        <v>0</v>
      </c>
      <c r="B50">
        <v>1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</v>
      </c>
      <c r="N50">
        <v>0</v>
      </c>
      <c r="O50">
        <v>1</v>
      </c>
      <c r="P50">
        <v>1</v>
      </c>
      <c r="Q50">
        <v>1</v>
      </c>
    </row>
    <row r="51" spans="1:17" x14ac:dyDescent="0.3">
      <c r="A51">
        <v>1</v>
      </c>
      <c r="B51">
        <v>1</v>
      </c>
      <c r="C51">
        <v>1</v>
      </c>
      <c r="D51">
        <v>1</v>
      </c>
      <c r="E51">
        <v>0</v>
      </c>
      <c r="F51">
        <v>1</v>
      </c>
      <c r="G51">
        <v>1</v>
      </c>
      <c r="H51">
        <v>0</v>
      </c>
      <c r="I51">
        <v>0</v>
      </c>
      <c r="J51">
        <v>0</v>
      </c>
      <c r="K51">
        <v>1</v>
      </c>
      <c r="L51">
        <v>1</v>
      </c>
      <c r="M51">
        <v>1</v>
      </c>
      <c r="N51">
        <v>0</v>
      </c>
      <c r="O51">
        <v>0</v>
      </c>
      <c r="P51">
        <v>0</v>
      </c>
      <c r="Q51">
        <v>1</v>
      </c>
    </row>
    <row r="52" spans="1:17" x14ac:dyDescent="0.3">
      <c r="A52">
        <v>1</v>
      </c>
      <c r="B52">
        <v>0</v>
      </c>
      <c r="C52">
        <v>1</v>
      </c>
      <c r="D52">
        <v>1</v>
      </c>
      <c r="E52">
        <v>1</v>
      </c>
      <c r="F52">
        <v>1</v>
      </c>
      <c r="G52">
        <v>0</v>
      </c>
      <c r="H52">
        <v>0</v>
      </c>
      <c r="I52">
        <v>1</v>
      </c>
      <c r="J52">
        <v>1</v>
      </c>
      <c r="K52">
        <v>0</v>
      </c>
      <c r="L52">
        <v>0</v>
      </c>
      <c r="M52">
        <v>0</v>
      </c>
      <c r="N52">
        <v>1</v>
      </c>
      <c r="O52">
        <v>0</v>
      </c>
      <c r="P52">
        <v>1</v>
      </c>
      <c r="Q52">
        <v>1</v>
      </c>
    </row>
    <row r="53" spans="1:17" x14ac:dyDescent="0.3">
      <c r="A53">
        <v>0</v>
      </c>
      <c r="B53">
        <v>1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</v>
      </c>
      <c r="M53">
        <v>1</v>
      </c>
      <c r="N53">
        <v>1</v>
      </c>
      <c r="O53">
        <v>0</v>
      </c>
      <c r="P53">
        <v>1</v>
      </c>
      <c r="Q53">
        <v>1</v>
      </c>
    </row>
    <row r="54" spans="1:17" x14ac:dyDescent="0.3">
      <c r="A54">
        <v>1</v>
      </c>
      <c r="B54">
        <v>0</v>
      </c>
      <c r="C54">
        <v>0</v>
      </c>
      <c r="D54">
        <v>0</v>
      </c>
      <c r="E54">
        <v>1</v>
      </c>
      <c r="F54">
        <v>0</v>
      </c>
      <c r="G54">
        <v>1</v>
      </c>
      <c r="H54">
        <v>1</v>
      </c>
      <c r="I54">
        <v>1</v>
      </c>
      <c r="J54">
        <v>0</v>
      </c>
      <c r="K54">
        <v>1</v>
      </c>
      <c r="L54">
        <v>0</v>
      </c>
      <c r="M54">
        <v>1</v>
      </c>
      <c r="N54">
        <v>1</v>
      </c>
      <c r="O54">
        <v>0</v>
      </c>
      <c r="P54">
        <v>0</v>
      </c>
      <c r="Q54">
        <v>0</v>
      </c>
    </row>
    <row r="55" spans="1:17" x14ac:dyDescent="0.3">
      <c r="A55">
        <v>0</v>
      </c>
      <c r="B55">
        <v>0</v>
      </c>
      <c r="C55">
        <v>0</v>
      </c>
      <c r="D55">
        <v>0</v>
      </c>
      <c r="E55">
        <v>0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</v>
      </c>
      <c r="N55">
        <v>1</v>
      </c>
      <c r="O55">
        <v>0</v>
      </c>
      <c r="P55">
        <v>0</v>
      </c>
      <c r="Q55">
        <v>0</v>
      </c>
    </row>
    <row r="56" spans="1:17" x14ac:dyDescent="0.3">
      <c r="A56">
        <v>1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</row>
    <row r="57" spans="1:17" x14ac:dyDescent="0.3">
      <c r="A57">
        <v>0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1</v>
      </c>
      <c r="I57">
        <v>0</v>
      </c>
      <c r="J57">
        <v>0</v>
      </c>
      <c r="K57">
        <v>1</v>
      </c>
      <c r="L57">
        <v>0</v>
      </c>
      <c r="M57">
        <v>0</v>
      </c>
      <c r="N57">
        <v>1</v>
      </c>
      <c r="O57">
        <v>0</v>
      </c>
      <c r="P57">
        <v>0</v>
      </c>
      <c r="Q57">
        <v>0</v>
      </c>
    </row>
    <row r="58" spans="1:17" x14ac:dyDescent="0.3">
      <c r="A58">
        <v>1</v>
      </c>
      <c r="B58">
        <v>1</v>
      </c>
      <c r="C58">
        <v>0</v>
      </c>
      <c r="D58">
        <v>0</v>
      </c>
      <c r="E58">
        <v>1</v>
      </c>
      <c r="F58">
        <v>1</v>
      </c>
      <c r="G58">
        <v>0</v>
      </c>
      <c r="H58">
        <v>0</v>
      </c>
      <c r="I58">
        <v>1</v>
      </c>
      <c r="J58">
        <v>1</v>
      </c>
      <c r="K58">
        <v>1</v>
      </c>
      <c r="L58">
        <v>0</v>
      </c>
      <c r="M58">
        <v>0</v>
      </c>
      <c r="N58">
        <v>0</v>
      </c>
      <c r="O58">
        <v>1</v>
      </c>
      <c r="P58">
        <v>1</v>
      </c>
      <c r="Q58">
        <v>1</v>
      </c>
    </row>
    <row r="59" spans="1:17" x14ac:dyDescent="0.3">
      <c r="A59">
        <v>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1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1</v>
      </c>
      <c r="P59">
        <v>0</v>
      </c>
      <c r="Q59">
        <v>0</v>
      </c>
    </row>
    <row r="60" spans="1:17" x14ac:dyDescent="0.3">
      <c r="A60">
        <v>1</v>
      </c>
      <c r="B60">
        <v>0</v>
      </c>
      <c r="C60">
        <v>0</v>
      </c>
      <c r="D60">
        <v>1</v>
      </c>
      <c r="E60">
        <v>0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>
        <v>0</v>
      </c>
      <c r="M60">
        <v>0</v>
      </c>
      <c r="N60">
        <v>0</v>
      </c>
      <c r="O60">
        <v>0</v>
      </c>
      <c r="P60">
        <v>0</v>
      </c>
      <c r="Q60">
        <v>1</v>
      </c>
    </row>
    <row r="61" spans="1:17" x14ac:dyDescent="0.3">
      <c r="A61">
        <v>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1</v>
      </c>
      <c r="Q61">
        <v>1</v>
      </c>
    </row>
    <row r="62" spans="1:17" x14ac:dyDescent="0.3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1</v>
      </c>
      <c r="K62">
        <v>0</v>
      </c>
      <c r="L62">
        <v>1</v>
      </c>
      <c r="M62">
        <v>0</v>
      </c>
      <c r="N62">
        <v>0</v>
      </c>
      <c r="O62">
        <v>0</v>
      </c>
      <c r="P62">
        <v>1</v>
      </c>
      <c r="Q62">
        <v>0</v>
      </c>
    </row>
    <row r="63" spans="1:17" x14ac:dyDescent="0.3">
      <c r="A63">
        <v>0</v>
      </c>
      <c r="B63">
        <v>1</v>
      </c>
      <c r="C63">
        <v>0</v>
      </c>
      <c r="D63">
        <v>1</v>
      </c>
      <c r="E63">
        <v>0</v>
      </c>
      <c r="F63">
        <v>0</v>
      </c>
      <c r="G63">
        <v>0</v>
      </c>
      <c r="H63">
        <v>0</v>
      </c>
      <c r="I63">
        <v>1</v>
      </c>
      <c r="J63">
        <v>1</v>
      </c>
      <c r="K63">
        <v>1</v>
      </c>
      <c r="L63">
        <v>0</v>
      </c>
      <c r="M63">
        <v>1</v>
      </c>
      <c r="N63">
        <v>0</v>
      </c>
      <c r="O63">
        <v>1</v>
      </c>
      <c r="P63">
        <v>0</v>
      </c>
      <c r="Q63">
        <v>0</v>
      </c>
    </row>
    <row r="64" spans="1:17" x14ac:dyDescent="0.3">
      <c r="A64">
        <v>1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0</v>
      </c>
      <c r="I64">
        <v>0</v>
      </c>
      <c r="J64">
        <v>1</v>
      </c>
      <c r="K64">
        <v>1</v>
      </c>
      <c r="L64">
        <v>0</v>
      </c>
      <c r="M64">
        <v>0</v>
      </c>
      <c r="N64">
        <v>0</v>
      </c>
      <c r="O64">
        <v>1</v>
      </c>
      <c r="P64">
        <v>1</v>
      </c>
      <c r="Q64">
        <v>1</v>
      </c>
    </row>
    <row r="65" spans="1:17" x14ac:dyDescent="0.3">
      <c r="A65">
        <v>1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  <c r="P65">
        <v>0</v>
      </c>
      <c r="Q65">
        <v>0</v>
      </c>
    </row>
    <row r="66" spans="1:17" x14ac:dyDescent="0.3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1</v>
      </c>
      <c r="I66">
        <v>0</v>
      </c>
      <c r="J66">
        <v>1</v>
      </c>
      <c r="K66">
        <v>0</v>
      </c>
      <c r="L66">
        <v>1</v>
      </c>
      <c r="M66">
        <v>1</v>
      </c>
      <c r="N66">
        <v>1</v>
      </c>
      <c r="O66">
        <v>0</v>
      </c>
      <c r="P66">
        <v>1</v>
      </c>
      <c r="Q66">
        <v>1</v>
      </c>
    </row>
    <row r="67" spans="1:17" x14ac:dyDescent="0.3">
      <c r="A67">
        <v>1</v>
      </c>
      <c r="B67">
        <v>1</v>
      </c>
      <c r="C67">
        <v>0</v>
      </c>
      <c r="D67">
        <v>0</v>
      </c>
      <c r="E67">
        <v>1</v>
      </c>
      <c r="F67">
        <v>1</v>
      </c>
      <c r="G67">
        <v>1</v>
      </c>
      <c r="H67">
        <v>1</v>
      </c>
      <c r="I67">
        <v>0</v>
      </c>
      <c r="J67">
        <v>1</v>
      </c>
      <c r="K67">
        <v>0</v>
      </c>
      <c r="L67">
        <v>1</v>
      </c>
      <c r="M67">
        <v>1</v>
      </c>
      <c r="N67">
        <v>1</v>
      </c>
      <c r="O67">
        <v>1</v>
      </c>
      <c r="P67">
        <v>0</v>
      </c>
      <c r="Q67">
        <v>1</v>
      </c>
    </row>
    <row r="68" spans="1:17" x14ac:dyDescent="0.3">
      <c r="A68">
        <v>1</v>
      </c>
      <c r="B68">
        <v>0</v>
      </c>
      <c r="C68">
        <v>1</v>
      </c>
      <c r="D68">
        <v>0</v>
      </c>
      <c r="E68">
        <v>1</v>
      </c>
      <c r="F68">
        <v>0</v>
      </c>
      <c r="G68">
        <v>0</v>
      </c>
      <c r="H68">
        <v>1</v>
      </c>
      <c r="I68">
        <v>1</v>
      </c>
      <c r="J68">
        <v>0</v>
      </c>
      <c r="K68">
        <v>1</v>
      </c>
      <c r="L68">
        <v>1</v>
      </c>
      <c r="M68">
        <v>1</v>
      </c>
      <c r="N68">
        <v>0</v>
      </c>
      <c r="O68">
        <v>1</v>
      </c>
      <c r="P68">
        <v>1</v>
      </c>
      <c r="Q68">
        <v>1</v>
      </c>
    </row>
    <row r="69" spans="1:17" x14ac:dyDescent="0.3">
      <c r="A69">
        <v>0</v>
      </c>
      <c r="B69">
        <v>1</v>
      </c>
      <c r="C69">
        <v>0</v>
      </c>
      <c r="D69">
        <v>1</v>
      </c>
      <c r="E69">
        <v>0</v>
      </c>
      <c r="F69">
        <v>1</v>
      </c>
      <c r="G69">
        <v>0</v>
      </c>
      <c r="H69">
        <v>1</v>
      </c>
      <c r="I69">
        <v>1</v>
      </c>
      <c r="J69">
        <v>1</v>
      </c>
      <c r="K69">
        <v>0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</row>
    <row r="70" spans="1:17" x14ac:dyDescent="0.3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1</v>
      </c>
      <c r="O70">
        <v>0</v>
      </c>
      <c r="P70">
        <v>0</v>
      </c>
      <c r="Q70">
        <v>1</v>
      </c>
    </row>
    <row r="71" spans="1:17" x14ac:dyDescent="0.3">
      <c r="A71">
        <v>1</v>
      </c>
      <c r="B71">
        <v>1</v>
      </c>
      <c r="C71">
        <v>0</v>
      </c>
      <c r="D71">
        <v>1</v>
      </c>
      <c r="E71">
        <v>1</v>
      </c>
      <c r="F71">
        <v>1</v>
      </c>
      <c r="G71">
        <v>1</v>
      </c>
      <c r="H71">
        <v>0</v>
      </c>
      <c r="I71">
        <v>0</v>
      </c>
      <c r="J71">
        <v>1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</row>
    <row r="72" spans="1:17" x14ac:dyDescent="0.3">
      <c r="A72">
        <v>0</v>
      </c>
      <c r="B72">
        <v>0</v>
      </c>
      <c r="C72">
        <v>0</v>
      </c>
      <c r="D72">
        <v>0</v>
      </c>
      <c r="E72">
        <v>0</v>
      </c>
      <c r="F72">
        <v>1</v>
      </c>
      <c r="G72">
        <v>0</v>
      </c>
      <c r="H72">
        <v>1</v>
      </c>
      <c r="I72">
        <v>0</v>
      </c>
      <c r="J72">
        <v>0</v>
      </c>
      <c r="K72">
        <v>0</v>
      </c>
      <c r="L72">
        <v>0</v>
      </c>
      <c r="M72">
        <v>1</v>
      </c>
      <c r="N72">
        <v>1</v>
      </c>
      <c r="O72">
        <v>0</v>
      </c>
      <c r="P72">
        <v>1</v>
      </c>
      <c r="Q72">
        <v>1</v>
      </c>
    </row>
    <row r="73" spans="1:17" x14ac:dyDescent="0.3">
      <c r="A73">
        <v>0</v>
      </c>
      <c r="B73">
        <v>1</v>
      </c>
      <c r="C73">
        <v>0</v>
      </c>
      <c r="D73">
        <v>0</v>
      </c>
      <c r="E73">
        <v>0</v>
      </c>
      <c r="F73">
        <v>1</v>
      </c>
      <c r="G73">
        <v>1</v>
      </c>
      <c r="H73">
        <v>1</v>
      </c>
      <c r="I73">
        <v>1</v>
      </c>
      <c r="J73">
        <v>0</v>
      </c>
      <c r="K73">
        <v>0</v>
      </c>
      <c r="L73">
        <v>0</v>
      </c>
      <c r="M73">
        <v>0</v>
      </c>
      <c r="N73">
        <v>0</v>
      </c>
      <c r="O73">
        <v>1</v>
      </c>
      <c r="P73">
        <v>1</v>
      </c>
      <c r="Q73">
        <v>0</v>
      </c>
    </row>
    <row r="74" spans="1:17" x14ac:dyDescent="0.3">
      <c r="A74">
        <v>1</v>
      </c>
      <c r="B74">
        <v>0</v>
      </c>
      <c r="C74">
        <v>0</v>
      </c>
      <c r="D74">
        <v>0</v>
      </c>
      <c r="E74">
        <v>1</v>
      </c>
      <c r="F74">
        <v>0</v>
      </c>
      <c r="G74">
        <v>1</v>
      </c>
      <c r="H74">
        <v>0</v>
      </c>
      <c r="I74">
        <v>1</v>
      </c>
      <c r="J74">
        <v>0</v>
      </c>
      <c r="K74">
        <v>1</v>
      </c>
      <c r="L74">
        <v>0</v>
      </c>
      <c r="M74">
        <v>1</v>
      </c>
      <c r="N74">
        <v>0</v>
      </c>
      <c r="O74">
        <v>0</v>
      </c>
      <c r="P74">
        <v>1</v>
      </c>
      <c r="Q74">
        <v>1</v>
      </c>
    </row>
    <row r="75" spans="1:17" x14ac:dyDescent="0.3">
      <c r="A75">
        <v>1</v>
      </c>
      <c r="B75">
        <v>0</v>
      </c>
      <c r="C75">
        <v>1</v>
      </c>
      <c r="D75">
        <v>0</v>
      </c>
      <c r="E75">
        <v>1</v>
      </c>
      <c r="F75">
        <v>0</v>
      </c>
      <c r="G75">
        <v>0</v>
      </c>
      <c r="H75">
        <v>1</v>
      </c>
      <c r="I75">
        <v>0</v>
      </c>
      <c r="J75">
        <v>0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0</v>
      </c>
    </row>
    <row r="76" spans="1:17" x14ac:dyDescent="0.3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</row>
    <row r="77" spans="1:17" x14ac:dyDescent="0.3">
      <c r="A77">
        <v>0</v>
      </c>
      <c r="B77">
        <v>1</v>
      </c>
      <c r="C77">
        <v>0</v>
      </c>
      <c r="D77">
        <v>1</v>
      </c>
      <c r="E77">
        <v>1</v>
      </c>
      <c r="F77">
        <v>1</v>
      </c>
      <c r="G77">
        <v>0</v>
      </c>
      <c r="H77">
        <v>1</v>
      </c>
      <c r="I77">
        <v>0</v>
      </c>
      <c r="J77">
        <v>1</v>
      </c>
      <c r="K77">
        <v>0</v>
      </c>
      <c r="L77">
        <v>0</v>
      </c>
      <c r="M77">
        <v>0</v>
      </c>
      <c r="N77">
        <v>1</v>
      </c>
      <c r="O77">
        <v>0</v>
      </c>
      <c r="P77">
        <v>1</v>
      </c>
      <c r="Q77">
        <v>0</v>
      </c>
    </row>
    <row r="78" spans="1:17" x14ac:dyDescent="0.3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1</v>
      </c>
      <c r="H78">
        <v>1</v>
      </c>
      <c r="I78">
        <v>0</v>
      </c>
      <c r="J78">
        <v>0</v>
      </c>
      <c r="K78">
        <v>1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</row>
    <row r="79" spans="1:17" x14ac:dyDescent="0.3">
      <c r="A79">
        <v>0</v>
      </c>
      <c r="B79">
        <v>1</v>
      </c>
      <c r="C79">
        <v>1</v>
      </c>
      <c r="D79">
        <v>0</v>
      </c>
      <c r="E79">
        <v>0</v>
      </c>
      <c r="F79">
        <v>1</v>
      </c>
      <c r="G79">
        <v>0</v>
      </c>
      <c r="H79">
        <v>0</v>
      </c>
      <c r="I79">
        <v>0</v>
      </c>
      <c r="J79">
        <v>0</v>
      </c>
      <c r="K79">
        <v>1</v>
      </c>
      <c r="L79">
        <v>1</v>
      </c>
      <c r="M79">
        <v>0</v>
      </c>
      <c r="N79">
        <v>0</v>
      </c>
      <c r="O79">
        <v>1</v>
      </c>
      <c r="P79">
        <v>1</v>
      </c>
      <c r="Q79">
        <v>1</v>
      </c>
    </row>
    <row r="80" spans="1:17" x14ac:dyDescent="0.3">
      <c r="A80">
        <v>1</v>
      </c>
      <c r="B80">
        <v>0</v>
      </c>
      <c r="C80">
        <v>0</v>
      </c>
      <c r="D80">
        <v>1</v>
      </c>
      <c r="E80">
        <v>0</v>
      </c>
      <c r="F80">
        <v>1</v>
      </c>
      <c r="G80">
        <v>0</v>
      </c>
      <c r="H80">
        <v>1</v>
      </c>
      <c r="I80">
        <v>1</v>
      </c>
      <c r="J80">
        <v>0</v>
      </c>
      <c r="K80">
        <v>1</v>
      </c>
      <c r="L80">
        <v>1</v>
      </c>
      <c r="M80">
        <v>1</v>
      </c>
      <c r="N80">
        <v>0</v>
      </c>
      <c r="O80">
        <v>0</v>
      </c>
      <c r="P80">
        <v>1</v>
      </c>
      <c r="Q80">
        <v>1</v>
      </c>
    </row>
    <row r="81" spans="1:17" x14ac:dyDescent="0.3">
      <c r="A81">
        <v>0</v>
      </c>
      <c r="B81">
        <v>0</v>
      </c>
      <c r="C81">
        <v>1</v>
      </c>
      <c r="D81">
        <v>1</v>
      </c>
      <c r="E81">
        <v>0</v>
      </c>
      <c r="F81">
        <v>0</v>
      </c>
      <c r="G81">
        <v>0</v>
      </c>
      <c r="H81">
        <v>1</v>
      </c>
      <c r="I81">
        <v>0</v>
      </c>
      <c r="J81">
        <v>0</v>
      </c>
      <c r="K81">
        <v>1</v>
      </c>
      <c r="L81">
        <v>0</v>
      </c>
      <c r="M81">
        <v>0</v>
      </c>
      <c r="N81">
        <v>0</v>
      </c>
      <c r="O81">
        <v>0</v>
      </c>
      <c r="P81">
        <v>0</v>
      </c>
      <c r="Q81">
        <v>1</v>
      </c>
    </row>
    <row r="82" spans="1:17" x14ac:dyDescent="0.3">
      <c r="A82">
        <v>1</v>
      </c>
      <c r="B82">
        <v>0</v>
      </c>
      <c r="C82">
        <v>0</v>
      </c>
      <c r="D82">
        <v>1</v>
      </c>
      <c r="E82">
        <v>0</v>
      </c>
      <c r="F82">
        <v>0</v>
      </c>
      <c r="G82">
        <v>1</v>
      </c>
      <c r="H82">
        <v>0</v>
      </c>
      <c r="I82">
        <v>0</v>
      </c>
      <c r="J82">
        <v>0</v>
      </c>
      <c r="K82">
        <v>0</v>
      </c>
      <c r="L82">
        <v>1</v>
      </c>
      <c r="M82">
        <v>0</v>
      </c>
      <c r="N82">
        <v>1</v>
      </c>
      <c r="O82">
        <v>1</v>
      </c>
      <c r="P82">
        <v>0</v>
      </c>
      <c r="Q82">
        <v>1</v>
      </c>
    </row>
    <row r="83" spans="1:17" x14ac:dyDescent="0.3">
      <c r="A83">
        <v>0</v>
      </c>
      <c r="B83">
        <v>1</v>
      </c>
      <c r="C83">
        <v>1</v>
      </c>
      <c r="D83">
        <v>1</v>
      </c>
      <c r="E83">
        <v>0</v>
      </c>
      <c r="F83">
        <v>1</v>
      </c>
      <c r="G83">
        <v>1</v>
      </c>
      <c r="H83">
        <v>0</v>
      </c>
      <c r="I83">
        <v>0</v>
      </c>
      <c r="J83">
        <v>0</v>
      </c>
      <c r="K83">
        <v>0</v>
      </c>
      <c r="L83">
        <v>1</v>
      </c>
      <c r="M83">
        <v>0</v>
      </c>
      <c r="N83">
        <v>1</v>
      </c>
      <c r="O83">
        <v>1</v>
      </c>
      <c r="P83">
        <v>0</v>
      </c>
      <c r="Q83">
        <v>0</v>
      </c>
    </row>
    <row r="84" spans="1:17" x14ac:dyDescent="0.3">
      <c r="A84">
        <v>1</v>
      </c>
      <c r="B84">
        <v>0</v>
      </c>
      <c r="C84">
        <v>1</v>
      </c>
      <c r="D84">
        <v>0</v>
      </c>
      <c r="E84">
        <v>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1</v>
      </c>
      <c r="N84">
        <v>0</v>
      </c>
      <c r="O84">
        <v>0</v>
      </c>
      <c r="P84">
        <v>0</v>
      </c>
      <c r="Q84">
        <v>0</v>
      </c>
    </row>
    <row r="85" spans="1:17" x14ac:dyDescent="0.3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</row>
    <row r="86" spans="1:17" x14ac:dyDescent="0.3">
      <c r="A86">
        <v>1</v>
      </c>
      <c r="B86">
        <v>1</v>
      </c>
      <c r="C86">
        <v>1</v>
      </c>
      <c r="D86">
        <v>1</v>
      </c>
      <c r="E86">
        <v>1</v>
      </c>
      <c r="F86">
        <v>0</v>
      </c>
      <c r="G86">
        <v>0</v>
      </c>
      <c r="H86">
        <v>1</v>
      </c>
      <c r="I86">
        <v>1</v>
      </c>
      <c r="J86">
        <v>1</v>
      </c>
      <c r="K86">
        <v>1</v>
      </c>
      <c r="L86">
        <v>0</v>
      </c>
      <c r="M86">
        <v>0</v>
      </c>
      <c r="N86">
        <v>1</v>
      </c>
      <c r="O86">
        <v>1</v>
      </c>
      <c r="P86">
        <v>0</v>
      </c>
      <c r="Q86">
        <v>0</v>
      </c>
    </row>
    <row r="87" spans="1:17" x14ac:dyDescent="0.3">
      <c r="A87">
        <v>0</v>
      </c>
      <c r="B87">
        <v>0</v>
      </c>
      <c r="C87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1</v>
      </c>
      <c r="K87">
        <v>0</v>
      </c>
      <c r="L87">
        <v>1</v>
      </c>
      <c r="M87">
        <v>1</v>
      </c>
      <c r="N87">
        <v>0</v>
      </c>
      <c r="O87">
        <v>1</v>
      </c>
      <c r="P87">
        <v>1</v>
      </c>
      <c r="Q87">
        <v>0</v>
      </c>
    </row>
    <row r="88" spans="1:17" x14ac:dyDescent="0.3">
      <c r="A88">
        <v>0</v>
      </c>
      <c r="B88">
        <v>0</v>
      </c>
      <c r="C88">
        <v>0</v>
      </c>
      <c r="D88">
        <v>0</v>
      </c>
      <c r="E88">
        <v>1</v>
      </c>
      <c r="F88">
        <v>1</v>
      </c>
      <c r="G88">
        <v>0</v>
      </c>
      <c r="H88">
        <v>0</v>
      </c>
      <c r="I88">
        <v>1</v>
      </c>
      <c r="J88">
        <v>1</v>
      </c>
      <c r="K88">
        <v>1</v>
      </c>
      <c r="L88">
        <v>0</v>
      </c>
      <c r="M88">
        <v>0</v>
      </c>
      <c r="N88">
        <v>0</v>
      </c>
      <c r="O88">
        <v>0</v>
      </c>
      <c r="P88">
        <v>1</v>
      </c>
      <c r="Q88">
        <v>0</v>
      </c>
    </row>
    <row r="89" spans="1:17" x14ac:dyDescent="0.3">
      <c r="A89">
        <v>1</v>
      </c>
      <c r="B89">
        <v>0</v>
      </c>
      <c r="C89">
        <v>1</v>
      </c>
      <c r="D89">
        <v>0</v>
      </c>
      <c r="E89">
        <v>0</v>
      </c>
      <c r="F89">
        <v>0</v>
      </c>
      <c r="G89">
        <v>1</v>
      </c>
      <c r="H89">
        <v>0</v>
      </c>
      <c r="I89">
        <v>1</v>
      </c>
      <c r="J89">
        <v>0</v>
      </c>
      <c r="K89">
        <v>1</v>
      </c>
      <c r="L89">
        <v>1</v>
      </c>
      <c r="M89">
        <v>1</v>
      </c>
      <c r="N89">
        <v>1</v>
      </c>
      <c r="O89">
        <v>1</v>
      </c>
      <c r="P89">
        <v>0</v>
      </c>
      <c r="Q89">
        <v>0</v>
      </c>
    </row>
    <row r="90" spans="1:17" x14ac:dyDescent="0.3">
      <c r="A90">
        <v>1</v>
      </c>
      <c r="B90">
        <v>0</v>
      </c>
      <c r="C90">
        <v>0</v>
      </c>
      <c r="D90">
        <v>1</v>
      </c>
      <c r="E90">
        <v>0</v>
      </c>
      <c r="F90">
        <v>1</v>
      </c>
      <c r="G90">
        <v>0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</v>
      </c>
      <c r="Q90">
        <v>0</v>
      </c>
    </row>
    <row r="91" spans="1:17" x14ac:dyDescent="0.3">
      <c r="A91">
        <v>0</v>
      </c>
      <c r="B91">
        <v>0</v>
      </c>
      <c r="C91">
        <v>0</v>
      </c>
      <c r="D91">
        <v>1</v>
      </c>
      <c r="E91">
        <v>1</v>
      </c>
      <c r="F91">
        <v>1</v>
      </c>
      <c r="G91">
        <v>1</v>
      </c>
      <c r="H91">
        <v>0</v>
      </c>
      <c r="I91">
        <v>1</v>
      </c>
      <c r="J91">
        <v>0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</row>
    <row r="92" spans="1:17" x14ac:dyDescent="0.3">
      <c r="A92">
        <v>1</v>
      </c>
      <c r="B92">
        <v>1</v>
      </c>
      <c r="C92">
        <v>1</v>
      </c>
      <c r="D92">
        <v>0</v>
      </c>
      <c r="E92">
        <v>1</v>
      </c>
      <c r="F92">
        <v>1</v>
      </c>
      <c r="G92">
        <v>0</v>
      </c>
      <c r="H92">
        <v>0</v>
      </c>
      <c r="I92">
        <v>1</v>
      </c>
      <c r="J92">
        <v>0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</row>
    <row r="93" spans="1:17" x14ac:dyDescent="0.3">
      <c r="A93">
        <v>0</v>
      </c>
      <c r="B93">
        <v>0</v>
      </c>
      <c r="C93">
        <v>0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0</v>
      </c>
      <c r="N93">
        <v>0</v>
      </c>
      <c r="O93">
        <v>1</v>
      </c>
      <c r="P93">
        <v>1</v>
      </c>
      <c r="Q93">
        <v>0</v>
      </c>
    </row>
    <row r="94" spans="1:17" x14ac:dyDescent="0.3">
      <c r="A94">
        <v>0</v>
      </c>
      <c r="B94">
        <v>0</v>
      </c>
      <c r="C94">
        <v>1</v>
      </c>
      <c r="D94">
        <v>0</v>
      </c>
      <c r="E94">
        <v>1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  <c r="L94">
        <v>1</v>
      </c>
      <c r="M94">
        <v>1</v>
      </c>
      <c r="N94">
        <v>1</v>
      </c>
      <c r="O94">
        <v>1</v>
      </c>
      <c r="P94">
        <v>1</v>
      </c>
      <c r="Q94">
        <v>0</v>
      </c>
    </row>
    <row r="95" spans="1:17" x14ac:dyDescent="0.3">
      <c r="A95">
        <v>1</v>
      </c>
      <c r="B95">
        <v>1</v>
      </c>
      <c r="C95">
        <v>1</v>
      </c>
      <c r="D95">
        <v>1</v>
      </c>
      <c r="E95">
        <v>1</v>
      </c>
      <c r="F95">
        <v>0</v>
      </c>
      <c r="G95">
        <v>1</v>
      </c>
      <c r="H95">
        <v>1</v>
      </c>
      <c r="I95">
        <v>0</v>
      </c>
      <c r="J95">
        <v>0</v>
      </c>
      <c r="K95">
        <v>1</v>
      </c>
      <c r="L95">
        <v>1</v>
      </c>
      <c r="M95">
        <v>0</v>
      </c>
      <c r="N95">
        <v>0</v>
      </c>
      <c r="O95">
        <v>1</v>
      </c>
      <c r="P95">
        <v>1</v>
      </c>
      <c r="Q95">
        <v>0</v>
      </c>
    </row>
    <row r="96" spans="1:17" x14ac:dyDescent="0.3">
      <c r="A96">
        <v>0</v>
      </c>
      <c r="B96">
        <v>0</v>
      </c>
      <c r="C96">
        <v>0</v>
      </c>
      <c r="D96">
        <v>0</v>
      </c>
      <c r="E96">
        <v>0</v>
      </c>
      <c r="F96">
        <v>1</v>
      </c>
      <c r="G96">
        <v>0</v>
      </c>
      <c r="H96">
        <v>0</v>
      </c>
      <c r="I96">
        <v>0</v>
      </c>
      <c r="J96">
        <v>1</v>
      </c>
      <c r="K96">
        <v>1</v>
      </c>
      <c r="L96">
        <v>1</v>
      </c>
      <c r="M96">
        <v>0</v>
      </c>
      <c r="N96">
        <v>0</v>
      </c>
      <c r="O96">
        <v>1</v>
      </c>
      <c r="P96">
        <v>0</v>
      </c>
      <c r="Q96">
        <v>0</v>
      </c>
    </row>
    <row r="97" spans="1:17" x14ac:dyDescent="0.3">
      <c r="A97">
        <v>1</v>
      </c>
      <c r="B97">
        <v>1</v>
      </c>
      <c r="C97">
        <v>0</v>
      </c>
      <c r="D97">
        <v>0</v>
      </c>
      <c r="E97">
        <v>1</v>
      </c>
      <c r="F97">
        <v>1</v>
      </c>
      <c r="G97">
        <v>0</v>
      </c>
      <c r="H97">
        <v>0</v>
      </c>
      <c r="I97">
        <v>0</v>
      </c>
      <c r="J97">
        <v>1</v>
      </c>
      <c r="K97">
        <v>0</v>
      </c>
      <c r="L97">
        <v>1</v>
      </c>
      <c r="M97">
        <v>0</v>
      </c>
      <c r="N97">
        <v>0</v>
      </c>
      <c r="O97">
        <v>0</v>
      </c>
      <c r="P97">
        <v>0</v>
      </c>
      <c r="Q97">
        <v>0</v>
      </c>
    </row>
    <row r="98" spans="1:17" x14ac:dyDescent="0.3">
      <c r="A98">
        <v>1</v>
      </c>
      <c r="B98">
        <v>0</v>
      </c>
      <c r="C98">
        <v>1</v>
      </c>
      <c r="D98">
        <v>0</v>
      </c>
      <c r="E98">
        <v>1</v>
      </c>
      <c r="F98">
        <v>1</v>
      </c>
      <c r="G98">
        <v>0</v>
      </c>
      <c r="H98">
        <v>0</v>
      </c>
      <c r="I98">
        <v>1</v>
      </c>
      <c r="J98">
        <v>0</v>
      </c>
      <c r="K98">
        <v>1</v>
      </c>
      <c r="L98">
        <v>0</v>
      </c>
      <c r="M98">
        <v>0</v>
      </c>
      <c r="N98">
        <v>0</v>
      </c>
      <c r="O98">
        <v>1</v>
      </c>
      <c r="P98">
        <v>0</v>
      </c>
      <c r="Q98">
        <v>1</v>
      </c>
    </row>
    <row r="99" spans="1:17" x14ac:dyDescent="0.3">
      <c r="A99">
        <v>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1</v>
      </c>
      <c r="P99">
        <v>0</v>
      </c>
      <c r="Q99">
        <v>1</v>
      </c>
    </row>
    <row r="100" spans="1:17" x14ac:dyDescent="0.3">
      <c r="A100">
        <v>1</v>
      </c>
      <c r="B100">
        <v>0</v>
      </c>
      <c r="C100">
        <v>1</v>
      </c>
      <c r="D100">
        <v>0</v>
      </c>
      <c r="E100">
        <v>1</v>
      </c>
      <c r="F100">
        <v>0</v>
      </c>
      <c r="G100">
        <v>1</v>
      </c>
      <c r="H100">
        <v>0</v>
      </c>
      <c r="I100">
        <v>1</v>
      </c>
      <c r="J100">
        <v>1</v>
      </c>
      <c r="K100">
        <v>0</v>
      </c>
      <c r="L100">
        <v>1</v>
      </c>
      <c r="M100">
        <v>1</v>
      </c>
      <c r="N100">
        <v>1</v>
      </c>
      <c r="O100">
        <v>1</v>
      </c>
      <c r="P100">
        <v>0</v>
      </c>
      <c r="Q100">
        <v>1</v>
      </c>
    </row>
    <row r="101" spans="1:17" x14ac:dyDescent="0.3">
      <c r="A101">
        <v>1</v>
      </c>
      <c r="B101">
        <v>1</v>
      </c>
      <c r="C101">
        <v>1</v>
      </c>
      <c r="D101">
        <v>1</v>
      </c>
      <c r="E101">
        <v>1</v>
      </c>
      <c r="F101">
        <v>0</v>
      </c>
      <c r="G101">
        <v>1</v>
      </c>
      <c r="H101">
        <v>0</v>
      </c>
      <c r="I101">
        <v>1</v>
      </c>
      <c r="J101">
        <v>1</v>
      </c>
      <c r="K101">
        <v>0</v>
      </c>
      <c r="L101">
        <v>1</v>
      </c>
      <c r="M101">
        <v>1</v>
      </c>
      <c r="N101">
        <v>0</v>
      </c>
      <c r="O101">
        <v>1</v>
      </c>
      <c r="P101">
        <v>1</v>
      </c>
      <c r="Q101">
        <v>0</v>
      </c>
    </row>
    <row r="102" spans="1:17" x14ac:dyDescent="0.3">
      <c r="A102">
        <v>0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</row>
    <row r="103" spans="1:17" x14ac:dyDescent="0.3">
      <c r="A103">
        <v>0</v>
      </c>
      <c r="B103">
        <v>1</v>
      </c>
      <c r="C103">
        <v>1</v>
      </c>
      <c r="D103">
        <v>1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1</v>
      </c>
      <c r="K103">
        <v>0</v>
      </c>
      <c r="L103">
        <v>0</v>
      </c>
      <c r="M103">
        <v>1</v>
      </c>
      <c r="N103">
        <v>0</v>
      </c>
      <c r="O103">
        <v>0</v>
      </c>
      <c r="P103">
        <v>1</v>
      </c>
      <c r="Q103">
        <v>0</v>
      </c>
    </row>
    <row r="104" spans="1:17" x14ac:dyDescent="0.3">
      <c r="A104">
        <v>1</v>
      </c>
      <c r="B104">
        <v>0</v>
      </c>
      <c r="C104">
        <v>0</v>
      </c>
      <c r="D104">
        <v>1</v>
      </c>
      <c r="E104">
        <v>0</v>
      </c>
      <c r="F104">
        <v>0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</v>
      </c>
      <c r="N104">
        <v>0</v>
      </c>
      <c r="O104">
        <v>1</v>
      </c>
      <c r="P104">
        <v>1</v>
      </c>
      <c r="Q104">
        <v>0</v>
      </c>
    </row>
    <row r="105" spans="1:17" x14ac:dyDescent="0.3">
      <c r="A105">
        <v>0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1</v>
      </c>
      <c r="O105">
        <v>0</v>
      </c>
      <c r="P105">
        <v>0</v>
      </c>
      <c r="Q105">
        <v>0</v>
      </c>
    </row>
    <row r="106" spans="1:17" x14ac:dyDescent="0.3">
      <c r="A106">
        <v>0</v>
      </c>
      <c r="B106">
        <v>1</v>
      </c>
      <c r="C106">
        <v>0</v>
      </c>
      <c r="D106">
        <v>1</v>
      </c>
      <c r="E106">
        <v>0</v>
      </c>
      <c r="F106">
        <v>0</v>
      </c>
      <c r="G106">
        <v>1</v>
      </c>
      <c r="H106">
        <v>1</v>
      </c>
      <c r="I106">
        <v>0</v>
      </c>
      <c r="J106">
        <v>0</v>
      </c>
      <c r="K106">
        <v>1</v>
      </c>
      <c r="L106">
        <v>1</v>
      </c>
      <c r="M106">
        <v>1</v>
      </c>
      <c r="N106">
        <v>1</v>
      </c>
      <c r="O106">
        <v>0</v>
      </c>
      <c r="P106">
        <v>0</v>
      </c>
      <c r="Q106">
        <v>1</v>
      </c>
    </row>
    <row r="107" spans="1:17" x14ac:dyDescent="0.3">
      <c r="A107">
        <v>0</v>
      </c>
      <c r="B107">
        <v>0</v>
      </c>
      <c r="C107">
        <v>0</v>
      </c>
      <c r="D107">
        <v>0</v>
      </c>
      <c r="E107">
        <v>1</v>
      </c>
      <c r="F107">
        <v>0</v>
      </c>
      <c r="G107">
        <v>1</v>
      </c>
      <c r="H107">
        <v>0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</row>
    <row r="108" spans="1:17" x14ac:dyDescent="0.3">
      <c r="A108">
        <v>0</v>
      </c>
      <c r="B108">
        <v>0</v>
      </c>
      <c r="C108">
        <v>0</v>
      </c>
      <c r="D108">
        <v>1</v>
      </c>
      <c r="E108">
        <v>0</v>
      </c>
      <c r="F108">
        <v>1</v>
      </c>
      <c r="G108">
        <v>1</v>
      </c>
      <c r="H108">
        <v>0</v>
      </c>
      <c r="I108">
        <v>1</v>
      </c>
      <c r="J108">
        <v>0</v>
      </c>
      <c r="K108">
        <v>0</v>
      </c>
      <c r="L108">
        <v>1</v>
      </c>
      <c r="M108">
        <v>0</v>
      </c>
      <c r="N108">
        <v>1</v>
      </c>
      <c r="O108">
        <v>0</v>
      </c>
      <c r="P108">
        <v>1</v>
      </c>
      <c r="Q108">
        <v>0</v>
      </c>
    </row>
    <row r="109" spans="1:17" x14ac:dyDescent="0.3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1</v>
      </c>
      <c r="O109">
        <v>1</v>
      </c>
      <c r="P109">
        <v>0</v>
      </c>
      <c r="Q109">
        <v>0</v>
      </c>
    </row>
    <row r="110" spans="1:17" x14ac:dyDescent="0.3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</v>
      </c>
      <c r="P110">
        <v>0</v>
      </c>
      <c r="Q110">
        <v>1</v>
      </c>
    </row>
    <row r="111" spans="1:17" x14ac:dyDescent="0.3">
      <c r="A111">
        <v>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</v>
      </c>
    </row>
    <row r="112" spans="1:17" x14ac:dyDescent="0.3">
      <c r="A112">
        <v>0</v>
      </c>
      <c r="B112">
        <v>0</v>
      </c>
      <c r="C112">
        <v>0</v>
      </c>
      <c r="D112">
        <v>1</v>
      </c>
      <c r="E112">
        <v>1</v>
      </c>
      <c r="F112">
        <v>1</v>
      </c>
      <c r="G112">
        <v>0</v>
      </c>
      <c r="H112">
        <v>0</v>
      </c>
      <c r="I112">
        <v>0</v>
      </c>
      <c r="J112">
        <v>1</v>
      </c>
      <c r="K112">
        <v>1</v>
      </c>
      <c r="L112">
        <v>1</v>
      </c>
      <c r="M112">
        <v>0</v>
      </c>
      <c r="N112">
        <v>0</v>
      </c>
      <c r="O112">
        <v>1</v>
      </c>
      <c r="P112">
        <v>0</v>
      </c>
      <c r="Q112">
        <v>0</v>
      </c>
    </row>
    <row r="113" spans="1:17" x14ac:dyDescent="0.3">
      <c r="A113">
        <v>0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</row>
    <row r="114" spans="1:17" x14ac:dyDescent="0.3">
      <c r="A114">
        <v>1</v>
      </c>
      <c r="B114">
        <v>1</v>
      </c>
      <c r="C114">
        <v>0</v>
      </c>
      <c r="D114">
        <v>0</v>
      </c>
      <c r="E114">
        <v>1</v>
      </c>
      <c r="F114">
        <v>0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0</v>
      </c>
      <c r="M114">
        <v>0</v>
      </c>
      <c r="N114">
        <v>0</v>
      </c>
      <c r="O114">
        <v>0</v>
      </c>
      <c r="P114">
        <v>1</v>
      </c>
      <c r="Q114">
        <v>0</v>
      </c>
    </row>
    <row r="115" spans="1:17" x14ac:dyDescent="0.3">
      <c r="A115">
        <v>1</v>
      </c>
      <c r="B115">
        <v>0</v>
      </c>
      <c r="C115">
        <v>1</v>
      </c>
      <c r="D115">
        <v>0</v>
      </c>
      <c r="E115">
        <v>0</v>
      </c>
      <c r="F115">
        <v>0</v>
      </c>
      <c r="G115">
        <v>1</v>
      </c>
      <c r="H115">
        <v>0</v>
      </c>
      <c r="I115">
        <v>1</v>
      </c>
      <c r="J115">
        <v>1</v>
      </c>
      <c r="K115">
        <v>1</v>
      </c>
      <c r="L115">
        <v>1</v>
      </c>
      <c r="M115">
        <v>0</v>
      </c>
      <c r="N115">
        <v>0</v>
      </c>
      <c r="O115">
        <v>0</v>
      </c>
      <c r="P115">
        <v>0</v>
      </c>
      <c r="Q115">
        <v>0</v>
      </c>
    </row>
    <row r="116" spans="1:17" x14ac:dyDescent="0.3">
      <c r="A116">
        <v>1</v>
      </c>
      <c r="B116">
        <v>1</v>
      </c>
      <c r="C116">
        <v>0</v>
      </c>
      <c r="D116">
        <v>1</v>
      </c>
      <c r="E116">
        <v>0</v>
      </c>
      <c r="F116">
        <v>1</v>
      </c>
      <c r="G116">
        <v>1</v>
      </c>
      <c r="H116">
        <v>0</v>
      </c>
      <c r="I116">
        <v>0</v>
      </c>
      <c r="J116">
        <v>0</v>
      </c>
      <c r="K116">
        <v>1</v>
      </c>
      <c r="L116">
        <v>1</v>
      </c>
      <c r="M116">
        <v>1</v>
      </c>
      <c r="N116">
        <v>0</v>
      </c>
      <c r="O116">
        <v>1</v>
      </c>
      <c r="P116">
        <v>0</v>
      </c>
      <c r="Q116">
        <v>0</v>
      </c>
    </row>
    <row r="117" spans="1:17" x14ac:dyDescent="0.3">
      <c r="A117">
        <v>1</v>
      </c>
      <c r="B117">
        <v>0</v>
      </c>
      <c r="C117">
        <v>0</v>
      </c>
      <c r="D117">
        <v>1</v>
      </c>
      <c r="E117">
        <v>0</v>
      </c>
      <c r="F117">
        <v>0</v>
      </c>
      <c r="G117">
        <v>1</v>
      </c>
      <c r="H117">
        <v>0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</v>
      </c>
    </row>
    <row r="118" spans="1:17" x14ac:dyDescent="0.3">
      <c r="A118">
        <v>1</v>
      </c>
      <c r="B118">
        <v>1</v>
      </c>
      <c r="C118">
        <v>1</v>
      </c>
      <c r="D118">
        <v>0</v>
      </c>
      <c r="E118">
        <v>1</v>
      </c>
      <c r="F118">
        <v>0</v>
      </c>
      <c r="G118">
        <v>1</v>
      </c>
      <c r="H118">
        <v>1</v>
      </c>
      <c r="I118">
        <v>0</v>
      </c>
      <c r="J118">
        <v>0</v>
      </c>
      <c r="K118">
        <v>0</v>
      </c>
      <c r="L118">
        <v>1</v>
      </c>
      <c r="M118">
        <v>1</v>
      </c>
      <c r="N118">
        <v>1</v>
      </c>
      <c r="O118">
        <v>0</v>
      </c>
      <c r="P118">
        <v>0</v>
      </c>
      <c r="Q118">
        <v>0</v>
      </c>
    </row>
    <row r="119" spans="1:17" x14ac:dyDescent="0.3">
      <c r="A119">
        <v>1</v>
      </c>
      <c r="B119">
        <v>1</v>
      </c>
      <c r="C119">
        <v>1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1</v>
      </c>
      <c r="K119">
        <v>0</v>
      </c>
      <c r="L119">
        <v>1</v>
      </c>
      <c r="M119">
        <v>1</v>
      </c>
      <c r="N119">
        <v>0</v>
      </c>
      <c r="O119">
        <v>0</v>
      </c>
      <c r="P119">
        <v>1</v>
      </c>
      <c r="Q119">
        <v>1</v>
      </c>
    </row>
    <row r="120" spans="1:17" x14ac:dyDescent="0.3">
      <c r="A120">
        <v>0</v>
      </c>
      <c r="B120">
        <v>0</v>
      </c>
      <c r="C120">
        <v>0</v>
      </c>
      <c r="D120">
        <v>1</v>
      </c>
      <c r="E120">
        <v>1</v>
      </c>
      <c r="F120">
        <v>1</v>
      </c>
      <c r="G120">
        <v>0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1</v>
      </c>
      <c r="N120">
        <v>0</v>
      </c>
      <c r="O120">
        <v>1</v>
      </c>
      <c r="P120">
        <v>0</v>
      </c>
      <c r="Q120">
        <v>1</v>
      </c>
    </row>
    <row r="121" spans="1:17" x14ac:dyDescent="0.3">
      <c r="A121">
        <v>0</v>
      </c>
      <c r="B121">
        <v>0</v>
      </c>
      <c r="C121">
        <v>0</v>
      </c>
      <c r="D121">
        <v>0</v>
      </c>
      <c r="E121">
        <v>1</v>
      </c>
      <c r="F121">
        <v>0</v>
      </c>
      <c r="G121">
        <v>1</v>
      </c>
      <c r="H121">
        <v>0</v>
      </c>
      <c r="I121">
        <v>0</v>
      </c>
      <c r="J121">
        <v>0</v>
      </c>
      <c r="K121">
        <v>1</v>
      </c>
      <c r="L121">
        <v>1</v>
      </c>
      <c r="M121">
        <v>0</v>
      </c>
      <c r="N121">
        <v>1</v>
      </c>
      <c r="O121">
        <v>1</v>
      </c>
      <c r="P121">
        <v>1</v>
      </c>
      <c r="Q121">
        <v>1</v>
      </c>
    </row>
    <row r="122" spans="1:17" x14ac:dyDescent="0.3">
      <c r="A122">
        <v>1</v>
      </c>
      <c r="B122">
        <v>0</v>
      </c>
      <c r="C122">
        <v>1</v>
      </c>
      <c r="D122">
        <v>1</v>
      </c>
      <c r="E122">
        <v>0</v>
      </c>
      <c r="F122">
        <v>1</v>
      </c>
      <c r="G122">
        <v>0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1</v>
      </c>
      <c r="N122">
        <v>0</v>
      </c>
      <c r="O122">
        <v>0</v>
      </c>
      <c r="P122">
        <v>0</v>
      </c>
      <c r="Q122">
        <v>0</v>
      </c>
    </row>
    <row r="123" spans="1:17" x14ac:dyDescent="0.3">
      <c r="A123">
        <v>0</v>
      </c>
      <c r="B123">
        <v>0</v>
      </c>
      <c r="C123">
        <v>0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</v>
      </c>
      <c r="L123">
        <v>1</v>
      </c>
      <c r="M123">
        <v>0</v>
      </c>
      <c r="N123">
        <v>0</v>
      </c>
      <c r="O123">
        <v>1</v>
      </c>
      <c r="P123">
        <v>0</v>
      </c>
      <c r="Q123">
        <v>1</v>
      </c>
    </row>
    <row r="124" spans="1:17" x14ac:dyDescent="0.3">
      <c r="A124">
        <v>0</v>
      </c>
      <c r="B124">
        <v>0</v>
      </c>
      <c r="C124">
        <v>1</v>
      </c>
      <c r="D124">
        <v>0</v>
      </c>
      <c r="E124">
        <v>1</v>
      </c>
      <c r="F124">
        <v>0</v>
      </c>
      <c r="G124">
        <v>0</v>
      </c>
      <c r="H124">
        <v>1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1</v>
      </c>
      <c r="O124">
        <v>1</v>
      </c>
      <c r="P124">
        <v>0</v>
      </c>
      <c r="Q124">
        <v>0</v>
      </c>
    </row>
    <row r="125" spans="1:17" x14ac:dyDescent="0.3">
      <c r="A125">
        <v>0</v>
      </c>
      <c r="B125">
        <v>1</v>
      </c>
      <c r="C125">
        <v>0</v>
      </c>
      <c r="D125">
        <v>0</v>
      </c>
      <c r="E125">
        <v>1</v>
      </c>
      <c r="F125">
        <v>1</v>
      </c>
      <c r="G125">
        <v>1</v>
      </c>
      <c r="H125">
        <v>0</v>
      </c>
      <c r="I125">
        <v>1</v>
      </c>
      <c r="J125">
        <v>0</v>
      </c>
      <c r="K125">
        <v>1</v>
      </c>
      <c r="L125">
        <v>0</v>
      </c>
      <c r="M125">
        <v>0</v>
      </c>
      <c r="N125">
        <v>0</v>
      </c>
      <c r="O125">
        <v>1</v>
      </c>
      <c r="P125">
        <v>1</v>
      </c>
      <c r="Q125">
        <v>1</v>
      </c>
    </row>
    <row r="126" spans="1:17" x14ac:dyDescent="0.3">
      <c r="A126">
        <v>1</v>
      </c>
      <c r="B126">
        <v>0</v>
      </c>
      <c r="C126">
        <v>0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</row>
    <row r="127" spans="1:17" x14ac:dyDescent="0.3">
      <c r="A127">
        <v>1</v>
      </c>
      <c r="B127">
        <v>1</v>
      </c>
      <c r="C127">
        <v>1</v>
      </c>
      <c r="D127">
        <v>0</v>
      </c>
      <c r="E127">
        <v>0</v>
      </c>
      <c r="F127">
        <v>1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1</v>
      </c>
      <c r="P127">
        <v>0</v>
      </c>
      <c r="Q127">
        <v>0</v>
      </c>
    </row>
    <row r="128" spans="1:17" x14ac:dyDescent="0.3">
      <c r="A128">
        <v>1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1</v>
      </c>
      <c r="I128">
        <v>0</v>
      </c>
      <c r="J128">
        <v>0</v>
      </c>
      <c r="K128">
        <v>0</v>
      </c>
      <c r="L128">
        <v>1</v>
      </c>
      <c r="M128">
        <v>0</v>
      </c>
      <c r="N128">
        <v>0</v>
      </c>
      <c r="O128">
        <v>1</v>
      </c>
      <c r="P128">
        <v>1</v>
      </c>
      <c r="Q128">
        <v>0</v>
      </c>
    </row>
    <row r="129" spans="1:17" x14ac:dyDescent="0.3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1</v>
      </c>
      <c r="J129">
        <v>0</v>
      </c>
      <c r="K129">
        <v>1</v>
      </c>
      <c r="L129">
        <v>0</v>
      </c>
      <c r="M129">
        <v>1</v>
      </c>
      <c r="N129">
        <v>0</v>
      </c>
      <c r="O129">
        <v>0</v>
      </c>
      <c r="P129">
        <v>1</v>
      </c>
      <c r="Q129">
        <v>0</v>
      </c>
    </row>
    <row r="130" spans="1:17" x14ac:dyDescent="0.3">
      <c r="A130">
        <v>1</v>
      </c>
      <c r="B130">
        <v>0</v>
      </c>
      <c r="C130">
        <v>1</v>
      </c>
      <c r="D130">
        <v>1</v>
      </c>
      <c r="E130">
        <v>1</v>
      </c>
      <c r="F130">
        <v>0</v>
      </c>
      <c r="G130">
        <v>1</v>
      </c>
      <c r="H130">
        <v>0</v>
      </c>
      <c r="I130">
        <v>0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0</v>
      </c>
      <c r="Q130">
        <v>1</v>
      </c>
    </row>
    <row r="131" spans="1:17" x14ac:dyDescent="0.3">
      <c r="A131">
        <v>1</v>
      </c>
      <c r="B131">
        <v>1</v>
      </c>
      <c r="C131">
        <v>1</v>
      </c>
      <c r="D131">
        <v>0</v>
      </c>
      <c r="E131">
        <v>1</v>
      </c>
      <c r="F131">
        <v>0</v>
      </c>
      <c r="G131">
        <v>0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0</v>
      </c>
      <c r="O131">
        <v>1</v>
      </c>
      <c r="P131">
        <v>1</v>
      </c>
      <c r="Q131">
        <v>1</v>
      </c>
    </row>
    <row r="132" spans="1:17" x14ac:dyDescent="0.3">
      <c r="A132">
        <v>0</v>
      </c>
      <c r="B132">
        <v>0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</v>
      </c>
      <c r="O132">
        <v>1</v>
      </c>
      <c r="P132">
        <v>1</v>
      </c>
      <c r="Q132">
        <v>1</v>
      </c>
    </row>
    <row r="133" spans="1:17" x14ac:dyDescent="0.3">
      <c r="A133">
        <v>0</v>
      </c>
      <c r="B133">
        <v>1</v>
      </c>
      <c r="C133">
        <v>1</v>
      </c>
      <c r="D133">
        <v>0</v>
      </c>
      <c r="E133">
        <v>0</v>
      </c>
      <c r="F133">
        <v>1</v>
      </c>
      <c r="G133">
        <v>0</v>
      </c>
      <c r="H133">
        <v>0</v>
      </c>
      <c r="I133">
        <v>0</v>
      </c>
      <c r="J133">
        <v>1</v>
      </c>
      <c r="K133">
        <v>1</v>
      </c>
      <c r="L133">
        <v>0</v>
      </c>
      <c r="M133">
        <v>1</v>
      </c>
      <c r="N133">
        <v>0</v>
      </c>
      <c r="O133">
        <v>0</v>
      </c>
      <c r="P133">
        <v>1</v>
      </c>
      <c r="Q133">
        <v>1</v>
      </c>
    </row>
    <row r="134" spans="1:17" x14ac:dyDescent="0.3">
      <c r="A134">
        <v>1</v>
      </c>
      <c r="B134">
        <v>0</v>
      </c>
      <c r="C134">
        <v>0</v>
      </c>
      <c r="D134">
        <v>1</v>
      </c>
      <c r="E134">
        <v>0</v>
      </c>
      <c r="F134">
        <v>1</v>
      </c>
      <c r="G134">
        <v>1</v>
      </c>
      <c r="H134">
        <v>0</v>
      </c>
      <c r="I134">
        <v>0</v>
      </c>
      <c r="J134">
        <v>0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0</v>
      </c>
      <c r="Q134">
        <v>1</v>
      </c>
    </row>
    <row r="135" spans="1:17" x14ac:dyDescent="0.3">
      <c r="A135">
        <v>1</v>
      </c>
      <c r="B135">
        <v>0</v>
      </c>
      <c r="C135">
        <v>0</v>
      </c>
      <c r="D135">
        <v>1</v>
      </c>
      <c r="E135">
        <v>0</v>
      </c>
      <c r="F135">
        <v>1</v>
      </c>
      <c r="G135">
        <v>1</v>
      </c>
      <c r="H135">
        <v>0</v>
      </c>
      <c r="I135">
        <v>1</v>
      </c>
      <c r="J135">
        <v>1</v>
      </c>
      <c r="K135">
        <v>1</v>
      </c>
      <c r="L135">
        <v>0</v>
      </c>
      <c r="M135">
        <v>0</v>
      </c>
      <c r="N135">
        <v>1</v>
      </c>
      <c r="O135">
        <v>0</v>
      </c>
      <c r="P135">
        <v>1</v>
      </c>
      <c r="Q135">
        <v>0</v>
      </c>
    </row>
    <row r="136" spans="1:17" x14ac:dyDescent="0.3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1</v>
      </c>
      <c r="J136">
        <v>0</v>
      </c>
      <c r="K136">
        <v>1</v>
      </c>
      <c r="L136">
        <v>0</v>
      </c>
      <c r="M136">
        <v>1</v>
      </c>
      <c r="N136">
        <v>0</v>
      </c>
      <c r="O136">
        <v>0</v>
      </c>
      <c r="P136">
        <v>0</v>
      </c>
      <c r="Q136">
        <v>0</v>
      </c>
    </row>
    <row r="137" spans="1:17" x14ac:dyDescent="0.3">
      <c r="A137">
        <v>1</v>
      </c>
      <c r="B137">
        <v>0</v>
      </c>
      <c r="C137">
        <v>1</v>
      </c>
      <c r="D137">
        <v>1</v>
      </c>
      <c r="E137">
        <v>1</v>
      </c>
      <c r="F137">
        <v>1</v>
      </c>
      <c r="G137">
        <v>0</v>
      </c>
      <c r="H137">
        <v>1</v>
      </c>
      <c r="I137">
        <v>1</v>
      </c>
      <c r="J137">
        <v>0</v>
      </c>
      <c r="K137">
        <v>1</v>
      </c>
      <c r="L137">
        <v>1</v>
      </c>
      <c r="M137">
        <v>0</v>
      </c>
      <c r="N137">
        <v>0</v>
      </c>
      <c r="O137">
        <v>1</v>
      </c>
      <c r="P137">
        <v>0</v>
      </c>
      <c r="Q137">
        <v>0</v>
      </c>
    </row>
    <row r="138" spans="1:17" x14ac:dyDescent="0.3">
      <c r="A138">
        <v>1</v>
      </c>
      <c r="B138">
        <v>1</v>
      </c>
      <c r="C138">
        <v>1</v>
      </c>
      <c r="D138">
        <v>0</v>
      </c>
      <c r="E138">
        <v>0</v>
      </c>
      <c r="F138">
        <v>1</v>
      </c>
      <c r="G138">
        <v>1</v>
      </c>
      <c r="H138">
        <v>1</v>
      </c>
      <c r="I138">
        <v>0</v>
      </c>
      <c r="J138">
        <v>1</v>
      </c>
      <c r="K138">
        <v>0</v>
      </c>
      <c r="L138">
        <v>1</v>
      </c>
      <c r="M138">
        <v>0</v>
      </c>
      <c r="N138">
        <v>1</v>
      </c>
      <c r="O138">
        <v>1</v>
      </c>
      <c r="P138">
        <v>1</v>
      </c>
      <c r="Q138">
        <v>1</v>
      </c>
    </row>
    <row r="139" spans="1:17" x14ac:dyDescent="0.3">
      <c r="A139">
        <v>1</v>
      </c>
      <c r="B139">
        <v>0</v>
      </c>
      <c r="C139">
        <v>0</v>
      </c>
      <c r="D139">
        <v>0</v>
      </c>
      <c r="E139">
        <v>1</v>
      </c>
      <c r="F139">
        <v>1</v>
      </c>
      <c r="G139">
        <v>1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1</v>
      </c>
      <c r="P139">
        <v>1</v>
      </c>
      <c r="Q139">
        <v>1</v>
      </c>
    </row>
    <row r="140" spans="1:17" x14ac:dyDescent="0.3">
      <c r="A140">
        <v>1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</v>
      </c>
    </row>
    <row r="141" spans="1:17" x14ac:dyDescent="0.3">
      <c r="A141">
        <v>0</v>
      </c>
      <c r="B141">
        <v>0</v>
      </c>
      <c r="C141">
        <v>0</v>
      </c>
      <c r="D141">
        <v>1</v>
      </c>
      <c r="E141">
        <v>1</v>
      </c>
      <c r="F141">
        <v>0</v>
      </c>
      <c r="G141">
        <v>0</v>
      </c>
      <c r="H141">
        <v>0</v>
      </c>
      <c r="I141">
        <v>1</v>
      </c>
      <c r="J141">
        <v>1</v>
      </c>
      <c r="K141">
        <v>0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0</v>
      </c>
    </row>
    <row r="142" spans="1:17" x14ac:dyDescent="0.3">
      <c r="A142">
        <v>1</v>
      </c>
      <c r="B142">
        <v>0</v>
      </c>
      <c r="C142">
        <v>1</v>
      </c>
      <c r="D142">
        <v>1</v>
      </c>
      <c r="E142">
        <v>1</v>
      </c>
      <c r="F142">
        <v>1</v>
      </c>
      <c r="G142">
        <v>0</v>
      </c>
      <c r="H142">
        <v>1</v>
      </c>
      <c r="I142">
        <v>1</v>
      </c>
      <c r="J142">
        <v>1</v>
      </c>
      <c r="K142">
        <v>1</v>
      </c>
      <c r="L142">
        <v>0</v>
      </c>
      <c r="M142">
        <v>1</v>
      </c>
      <c r="N142">
        <v>1</v>
      </c>
      <c r="O142">
        <v>0</v>
      </c>
      <c r="P142">
        <v>1</v>
      </c>
      <c r="Q142">
        <v>1</v>
      </c>
    </row>
    <row r="143" spans="1:17" x14ac:dyDescent="0.3">
      <c r="A143">
        <v>1</v>
      </c>
      <c r="B143">
        <v>1</v>
      </c>
      <c r="C143">
        <v>1</v>
      </c>
      <c r="D143">
        <v>0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1</v>
      </c>
      <c r="L143">
        <v>0</v>
      </c>
      <c r="M143">
        <v>0</v>
      </c>
      <c r="N143">
        <v>1</v>
      </c>
      <c r="O143">
        <v>1</v>
      </c>
      <c r="P143">
        <v>0</v>
      </c>
      <c r="Q143">
        <v>1</v>
      </c>
    </row>
    <row r="144" spans="1:17" x14ac:dyDescent="0.3">
      <c r="A144">
        <v>1</v>
      </c>
      <c r="B144">
        <v>0</v>
      </c>
      <c r="C144">
        <v>0</v>
      </c>
      <c r="D144">
        <v>1</v>
      </c>
      <c r="E144">
        <v>0</v>
      </c>
      <c r="F144">
        <v>1</v>
      </c>
      <c r="G144">
        <v>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</v>
      </c>
      <c r="O144">
        <v>0</v>
      </c>
      <c r="P144">
        <v>0</v>
      </c>
      <c r="Q144">
        <v>1</v>
      </c>
    </row>
    <row r="145" spans="1:17" x14ac:dyDescent="0.3">
      <c r="A145">
        <v>1</v>
      </c>
      <c r="B145">
        <v>1</v>
      </c>
      <c r="C145">
        <v>0</v>
      </c>
      <c r="D145">
        <v>0</v>
      </c>
      <c r="E145">
        <v>1</v>
      </c>
      <c r="F145">
        <v>0</v>
      </c>
      <c r="G145">
        <v>1</v>
      </c>
      <c r="H145">
        <v>1</v>
      </c>
      <c r="I145">
        <v>1</v>
      </c>
      <c r="J145">
        <v>0</v>
      </c>
      <c r="K145">
        <v>0</v>
      </c>
      <c r="L145">
        <v>1</v>
      </c>
      <c r="M145">
        <v>1</v>
      </c>
      <c r="N145">
        <v>0</v>
      </c>
      <c r="O145">
        <v>1</v>
      </c>
      <c r="P145">
        <v>0</v>
      </c>
      <c r="Q145">
        <v>0</v>
      </c>
    </row>
    <row r="146" spans="1:17" x14ac:dyDescent="0.3">
      <c r="A146">
        <v>1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1</v>
      </c>
      <c r="J146">
        <v>1</v>
      </c>
      <c r="K146">
        <v>1</v>
      </c>
      <c r="L146">
        <v>0</v>
      </c>
      <c r="M146">
        <v>1</v>
      </c>
      <c r="N146">
        <v>1</v>
      </c>
      <c r="O146">
        <v>1</v>
      </c>
      <c r="P146">
        <v>0</v>
      </c>
      <c r="Q146">
        <v>0</v>
      </c>
    </row>
    <row r="147" spans="1:17" x14ac:dyDescent="0.3">
      <c r="A147">
        <v>0</v>
      </c>
      <c r="B147">
        <v>1</v>
      </c>
      <c r="C147">
        <v>1</v>
      </c>
      <c r="D147">
        <v>1</v>
      </c>
      <c r="E147">
        <v>1</v>
      </c>
      <c r="F147">
        <v>0</v>
      </c>
      <c r="G147">
        <v>0</v>
      </c>
      <c r="H147">
        <v>0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0</v>
      </c>
      <c r="P147">
        <v>0</v>
      </c>
      <c r="Q147">
        <v>0</v>
      </c>
    </row>
    <row r="148" spans="1:17" x14ac:dyDescent="0.3">
      <c r="A148">
        <v>0</v>
      </c>
      <c r="B148">
        <v>0</v>
      </c>
      <c r="C148">
        <v>0</v>
      </c>
      <c r="D148">
        <v>0</v>
      </c>
      <c r="E148">
        <v>0</v>
      </c>
      <c r="F148">
        <v>1</v>
      </c>
      <c r="G148">
        <v>0</v>
      </c>
      <c r="H148">
        <v>1</v>
      </c>
      <c r="I148">
        <v>0</v>
      </c>
      <c r="J148">
        <v>1</v>
      </c>
      <c r="K148">
        <v>0</v>
      </c>
      <c r="L148">
        <v>1</v>
      </c>
      <c r="M148">
        <v>1</v>
      </c>
      <c r="N148">
        <v>0</v>
      </c>
      <c r="O148">
        <v>0</v>
      </c>
      <c r="P148">
        <v>0</v>
      </c>
      <c r="Q148">
        <v>1</v>
      </c>
    </row>
    <row r="149" spans="1:17" x14ac:dyDescent="0.3">
      <c r="A149">
        <v>1</v>
      </c>
      <c r="B149">
        <v>0</v>
      </c>
      <c r="C149">
        <v>0</v>
      </c>
      <c r="D149">
        <v>0</v>
      </c>
      <c r="E149">
        <v>1</v>
      </c>
      <c r="F149">
        <v>1</v>
      </c>
      <c r="G149">
        <v>0</v>
      </c>
      <c r="H149">
        <v>1</v>
      </c>
      <c r="I149">
        <v>1</v>
      </c>
      <c r="J149">
        <v>0</v>
      </c>
      <c r="K149">
        <v>1</v>
      </c>
      <c r="L149">
        <v>0</v>
      </c>
      <c r="M149">
        <v>1</v>
      </c>
      <c r="N149">
        <v>1</v>
      </c>
      <c r="O149">
        <v>0</v>
      </c>
      <c r="P149">
        <v>1</v>
      </c>
      <c r="Q149">
        <v>0</v>
      </c>
    </row>
    <row r="150" spans="1:17" x14ac:dyDescent="0.3">
      <c r="A150">
        <v>1</v>
      </c>
      <c r="B150">
        <v>1</v>
      </c>
      <c r="C150">
        <v>0</v>
      </c>
      <c r="D150">
        <v>1</v>
      </c>
      <c r="E150">
        <v>0</v>
      </c>
      <c r="F150">
        <v>0</v>
      </c>
      <c r="G150">
        <v>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</v>
      </c>
      <c r="Q150">
        <v>1</v>
      </c>
    </row>
    <row r="151" spans="1:17" x14ac:dyDescent="0.3">
      <c r="A151">
        <v>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1</v>
      </c>
      <c r="H151">
        <v>0</v>
      </c>
      <c r="I151">
        <v>0</v>
      </c>
      <c r="J151">
        <v>0</v>
      </c>
      <c r="K151">
        <v>1</v>
      </c>
      <c r="L151">
        <v>0</v>
      </c>
      <c r="M151">
        <v>1</v>
      </c>
      <c r="N151">
        <v>1</v>
      </c>
      <c r="O151">
        <v>1</v>
      </c>
      <c r="P151">
        <v>0</v>
      </c>
      <c r="Q151">
        <v>1</v>
      </c>
    </row>
    <row r="152" spans="1:17" x14ac:dyDescent="0.3">
      <c r="A152">
        <v>0</v>
      </c>
      <c r="B152">
        <v>1</v>
      </c>
      <c r="C152">
        <v>1</v>
      </c>
      <c r="D152">
        <v>0</v>
      </c>
      <c r="E152">
        <v>1</v>
      </c>
      <c r="F152">
        <v>0</v>
      </c>
      <c r="G152">
        <v>0</v>
      </c>
      <c r="H152">
        <v>1</v>
      </c>
      <c r="I152">
        <v>0</v>
      </c>
      <c r="J152">
        <v>0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0</v>
      </c>
      <c r="Q152">
        <v>0</v>
      </c>
    </row>
    <row r="153" spans="1:17" x14ac:dyDescent="0.3">
      <c r="A153">
        <v>1</v>
      </c>
      <c r="B153">
        <v>0</v>
      </c>
      <c r="C153">
        <v>0</v>
      </c>
      <c r="D153">
        <v>1</v>
      </c>
      <c r="E153">
        <v>1</v>
      </c>
      <c r="F153">
        <v>0</v>
      </c>
      <c r="G153">
        <v>0</v>
      </c>
      <c r="H153">
        <v>1</v>
      </c>
      <c r="I153">
        <v>1</v>
      </c>
      <c r="J153">
        <v>0</v>
      </c>
      <c r="K153">
        <v>1</v>
      </c>
      <c r="L153">
        <v>0</v>
      </c>
      <c r="M153">
        <v>1</v>
      </c>
      <c r="N153">
        <v>0</v>
      </c>
      <c r="O153">
        <v>1</v>
      </c>
      <c r="P153">
        <v>0</v>
      </c>
      <c r="Q153">
        <v>0</v>
      </c>
    </row>
    <row r="154" spans="1:17" x14ac:dyDescent="0.3">
      <c r="A154">
        <v>1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</row>
    <row r="155" spans="1:17" x14ac:dyDescent="0.3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</v>
      </c>
      <c r="O155">
        <v>0</v>
      </c>
      <c r="P155">
        <v>0</v>
      </c>
      <c r="Q155">
        <v>1</v>
      </c>
    </row>
    <row r="156" spans="1:17" x14ac:dyDescent="0.3">
      <c r="A156">
        <v>0</v>
      </c>
      <c r="B156">
        <v>0</v>
      </c>
      <c r="C156">
        <v>0</v>
      </c>
      <c r="D156">
        <v>1</v>
      </c>
      <c r="E156">
        <v>0</v>
      </c>
      <c r="F156">
        <v>0</v>
      </c>
      <c r="G156">
        <v>0</v>
      </c>
      <c r="H156">
        <v>0</v>
      </c>
      <c r="I156">
        <v>1</v>
      </c>
      <c r="J156">
        <v>1</v>
      </c>
      <c r="K156">
        <v>0</v>
      </c>
      <c r="L156">
        <v>0</v>
      </c>
      <c r="M156">
        <v>1</v>
      </c>
      <c r="N156">
        <v>1</v>
      </c>
      <c r="O156">
        <v>0</v>
      </c>
      <c r="P156">
        <v>0</v>
      </c>
      <c r="Q156">
        <v>1</v>
      </c>
    </row>
    <row r="157" spans="1:17" x14ac:dyDescent="0.3">
      <c r="A157">
        <v>1</v>
      </c>
      <c r="B157">
        <v>0</v>
      </c>
      <c r="C157">
        <v>0</v>
      </c>
      <c r="D157">
        <v>0</v>
      </c>
      <c r="E157">
        <v>1</v>
      </c>
      <c r="F157">
        <v>0</v>
      </c>
      <c r="G157">
        <v>0</v>
      </c>
      <c r="H157">
        <v>0</v>
      </c>
      <c r="I157">
        <v>1</v>
      </c>
      <c r="J157">
        <v>0</v>
      </c>
      <c r="K157">
        <v>0</v>
      </c>
      <c r="L157">
        <v>0</v>
      </c>
      <c r="M157">
        <v>1</v>
      </c>
      <c r="N157">
        <v>1</v>
      </c>
      <c r="O157">
        <v>0</v>
      </c>
      <c r="P157">
        <v>0</v>
      </c>
      <c r="Q157">
        <v>1</v>
      </c>
    </row>
    <row r="158" spans="1:17" x14ac:dyDescent="0.3">
      <c r="A158">
        <v>1</v>
      </c>
      <c r="B158">
        <v>1</v>
      </c>
      <c r="C158">
        <v>1</v>
      </c>
      <c r="D158">
        <v>0</v>
      </c>
      <c r="E158">
        <v>1</v>
      </c>
      <c r="F158">
        <v>0</v>
      </c>
      <c r="G158">
        <v>0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</v>
      </c>
      <c r="P158">
        <v>0</v>
      </c>
      <c r="Q158">
        <v>0</v>
      </c>
    </row>
    <row r="159" spans="1:17" x14ac:dyDescent="0.3">
      <c r="A159">
        <v>1</v>
      </c>
      <c r="B159">
        <v>0</v>
      </c>
      <c r="C159">
        <v>1</v>
      </c>
      <c r="D159">
        <v>0</v>
      </c>
      <c r="E159">
        <v>0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0</v>
      </c>
      <c r="L159">
        <v>1</v>
      </c>
      <c r="M159">
        <v>1</v>
      </c>
      <c r="N159">
        <v>0</v>
      </c>
      <c r="O159">
        <v>1</v>
      </c>
      <c r="P159">
        <v>0</v>
      </c>
      <c r="Q159">
        <v>0</v>
      </c>
    </row>
    <row r="160" spans="1:17" x14ac:dyDescent="0.3">
      <c r="A160">
        <v>0</v>
      </c>
      <c r="B160">
        <v>0</v>
      </c>
      <c r="C160">
        <v>0</v>
      </c>
      <c r="D160">
        <v>0</v>
      </c>
      <c r="E160">
        <v>1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1</v>
      </c>
    </row>
    <row r="161" spans="1:17" x14ac:dyDescent="0.3">
      <c r="A161">
        <v>1</v>
      </c>
      <c r="B161">
        <v>0</v>
      </c>
      <c r="C161">
        <v>0</v>
      </c>
      <c r="D161">
        <v>0</v>
      </c>
      <c r="E161">
        <v>1</v>
      </c>
      <c r="F161">
        <v>0</v>
      </c>
      <c r="G161">
        <v>0</v>
      </c>
      <c r="H161">
        <v>0</v>
      </c>
      <c r="I161">
        <v>0</v>
      </c>
      <c r="J161">
        <v>1</v>
      </c>
      <c r="K161">
        <v>1</v>
      </c>
      <c r="L161">
        <v>0</v>
      </c>
      <c r="M161">
        <v>1</v>
      </c>
      <c r="N161">
        <v>0</v>
      </c>
      <c r="O161">
        <v>0</v>
      </c>
      <c r="P161">
        <v>0</v>
      </c>
      <c r="Q161">
        <v>0</v>
      </c>
    </row>
    <row r="162" spans="1:17" x14ac:dyDescent="0.3">
      <c r="A162">
        <v>0</v>
      </c>
      <c r="B162">
        <v>0</v>
      </c>
      <c r="C162">
        <v>0</v>
      </c>
      <c r="D162">
        <v>0</v>
      </c>
      <c r="E162">
        <v>0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</v>
      </c>
    </row>
    <row r="163" spans="1:17" x14ac:dyDescent="0.3">
      <c r="A163">
        <v>1</v>
      </c>
      <c r="B163">
        <v>0</v>
      </c>
      <c r="C163">
        <v>0</v>
      </c>
      <c r="D163">
        <v>0</v>
      </c>
      <c r="E163">
        <v>1</v>
      </c>
      <c r="F163">
        <v>0</v>
      </c>
      <c r="G163">
        <v>1</v>
      </c>
      <c r="H163">
        <v>1</v>
      </c>
      <c r="I163">
        <v>1</v>
      </c>
      <c r="J163">
        <v>0</v>
      </c>
      <c r="K163">
        <v>1</v>
      </c>
      <c r="L163">
        <v>0</v>
      </c>
      <c r="M163">
        <v>0</v>
      </c>
      <c r="N163">
        <v>1</v>
      </c>
      <c r="O163">
        <v>0</v>
      </c>
      <c r="P163">
        <v>1</v>
      </c>
      <c r="Q163">
        <v>0</v>
      </c>
    </row>
    <row r="164" spans="1:17" x14ac:dyDescent="0.3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1</v>
      </c>
      <c r="H164">
        <v>0</v>
      </c>
      <c r="I164">
        <v>1</v>
      </c>
      <c r="J164">
        <v>1</v>
      </c>
      <c r="K164">
        <v>1</v>
      </c>
      <c r="L164">
        <v>0</v>
      </c>
      <c r="M164">
        <v>1</v>
      </c>
      <c r="N164">
        <v>1</v>
      </c>
      <c r="O164">
        <v>0</v>
      </c>
      <c r="P164">
        <v>0</v>
      </c>
      <c r="Q164">
        <v>1</v>
      </c>
    </row>
    <row r="165" spans="1:17" x14ac:dyDescent="0.3">
      <c r="A165">
        <v>0</v>
      </c>
      <c r="B165">
        <v>0</v>
      </c>
      <c r="C165">
        <v>1</v>
      </c>
      <c r="D165">
        <v>0</v>
      </c>
      <c r="E165">
        <v>1</v>
      </c>
      <c r="F165">
        <v>1</v>
      </c>
      <c r="G165">
        <v>1</v>
      </c>
      <c r="H165">
        <v>1</v>
      </c>
      <c r="I165">
        <v>0</v>
      </c>
      <c r="J165">
        <v>1</v>
      </c>
      <c r="K165">
        <v>0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0</v>
      </c>
    </row>
    <row r="166" spans="1:17" x14ac:dyDescent="0.3">
      <c r="A166">
        <v>0</v>
      </c>
      <c r="B166">
        <v>0</v>
      </c>
      <c r="C166">
        <v>1</v>
      </c>
      <c r="D166">
        <v>0</v>
      </c>
      <c r="E166">
        <v>1</v>
      </c>
      <c r="F166">
        <v>1</v>
      </c>
      <c r="G166">
        <v>1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1</v>
      </c>
      <c r="N166">
        <v>1</v>
      </c>
      <c r="O166">
        <v>0</v>
      </c>
      <c r="P166">
        <v>1</v>
      </c>
      <c r="Q166">
        <v>1</v>
      </c>
    </row>
    <row r="167" spans="1:17" x14ac:dyDescent="0.3">
      <c r="A167">
        <v>1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1</v>
      </c>
      <c r="P167">
        <v>0</v>
      </c>
      <c r="Q167">
        <v>1</v>
      </c>
    </row>
    <row r="168" spans="1:17" x14ac:dyDescent="0.3">
      <c r="A168">
        <v>1</v>
      </c>
      <c r="B168">
        <v>1</v>
      </c>
      <c r="C168">
        <v>1</v>
      </c>
      <c r="D168">
        <v>1</v>
      </c>
      <c r="E168">
        <v>1</v>
      </c>
      <c r="F168">
        <v>0</v>
      </c>
      <c r="G168">
        <v>1</v>
      </c>
      <c r="H168">
        <v>1</v>
      </c>
      <c r="I168">
        <v>1</v>
      </c>
      <c r="J168">
        <v>0</v>
      </c>
      <c r="K168">
        <v>1</v>
      </c>
      <c r="L168">
        <v>0</v>
      </c>
      <c r="M168">
        <v>1</v>
      </c>
      <c r="N168">
        <v>1</v>
      </c>
      <c r="O168">
        <v>0</v>
      </c>
      <c r="P168">
        <v>1</v>
      </c>
      <c r="Q168">
        <v>1</v>
      </c>
    </row>
    <row r="169" spans="1:17" x14ac:dyDescent="0.3">
      <c r="A169">
        <v>1</v>
      </c>
      <c r="B169">
        <v>1</v>
      </c>
      <c r="C169">
        <v>0</v>
      </c>
      <c r="D169">
        <v>0</v>
      </c>
      <c r="E169">
        <v>0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1</v>
      </c>
      <c r="L169">
        <v>1</v>
      </c>
      <c r="M169">
        <v>0</v>
      </c>
      <c r="N169">
        <v>1</v>
      </c>
      <c r="O169">
        <v>1</v>
      </c>
      <c r="P169">
        <v>0</v>
      </c>
      <c r="Q169">
        <v>1</v>
      </c>
    </row>
    <row r="170" spans="1:17" x14ac:dyDescent="0.3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</v>
      </c>
    </row>
    <row r="171" spans="1:17" x14ac:dyDescent="0.3">
      <c r="A171">
        <v>0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1</v>
      </c>
    </row>
    <row r="172" spans="1:17" x14ac:dyDescent="0.3">
      <c r="A172">
        <v>1</v>
      </c>
      <c r="B172">
        <v>1</v>
      </c>
      <c r="C172">
        <v>1</v>
      </c>
      <c r="D172">
        <v>0</v>
      </c>
      <c r="E172">
        <v>0</v>
      </c>
      <c r="F172">
        <v>0</v>
      </c>
      <c r="G172">
        <v>1</v>
      </c>
      <c r="H172">
        <v>1</v>
      </c>
      <c r="I172">
        <v>1</v>
      </c>
      <c r="J172">
        <v>0</v>
      </c>
      <c r="K172">
        <v>1</v>
      </c>
      <c r="L172">
        <v>0</v>
      </c>
      <c r="M172">
        <v>1</v>
      </c>
      <c r="N172">
        <v>0</v>
      </c>
      <c r="O172">
        <v>0</v>
      </c>
      <c r="P172">
        <v>1</v>
      </c>
      <c r="Q172">
        <v>1</v>
      </c>
    </row>
    <row r="173" spans="1:17" x14ac:dyDescent="0.3">
      <c r="A173">
        <v>0</v>
      </c>
      <c r="B173">
        <v>0</v>
      </c>
      <c r="C173">
        <v>1</v>
      </c>
      <c r="D173">
        <v>1</v>
      </c>
      <c r="E173">
        <v>0</v>
      </c>
      <c r="F173">
        <v>1</v>
      </c>
      <c r="G173">
        <v>0</v>
      </c>
      <c r="H173">
        <v>1</v>
      </c>
      <c r="I173">
        <v>1</v>
      </c>
      <c r="J173">
        <v>0</v>
      </c>
      <c r="K173">
        <v>1</v>
      </c>
      <c r="L173">
        <v>0</v>
      </c>
      <c r="M173">
        <v>1</v>
      </c>
      <c r="N173">
        <v>1</v>
      </c>
      <c r="O173">
        <v>1</v>
      </c>
      <c r="P173">
        <v>0</v>
      </c>
      <c r="Q173">
        <v>0</v>
      </c>
    </row>
    <row r="174" spans="1:17" x14ac:dyDescent="0.3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1</v>
      </c>
      <c r="M174">
        <v>0</v>
      </c>
      <c r="N174">
        <v>0</v>
      </c>
      <c r="O174">
        <v>0</v>
      </c>
      <c r="P174">
        <v>1</v>
      </c>
      <c r="Q174">
        <v>1</v>
      </c>
    </row>
    <row r="175" spans="1:17" x14ac:dyDescent="0.3">
      <c r="A175">
        <v>1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1</v>
      </c>
      <c r="N175">
        <v>0</v>
      </c>
      <c r="O175">
        <v>0</v>
      </c>
      <c r="P175">
        <v>1</v>
      </c>
      <c r="Q175">
        <v>1</v>
      </c>
    </row>
    <row r="176" spans="1:17" x14ac:dyDescent="0.3">
      <c r="A176">
        <v>0</v>
      </c>
      <c r="B176">
        <v>1</v>
      </c>
      <c r="C176">
        <v>0</v>
      </c>
      <c r="D176">
        <v>1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1</v>
      </c>
      <c r="M176">
        <v>0</v>
      </c>
      <c r="N176">
        <v>0</v>
      </c>
      <c r="O176">
        <v>0</v>
      </c>
      <c r="P176">
        <v>1</v>
      </c>
      <c r="Q176">
        <v>1</v>
      </c>
    </row>
    <row r="177" spans="1:17" x14ac:dyDescent="0.3">
      <c r="A177">
        <v>0</v>
      </c>
      <c r="B177">
        <v>0</v>
      </c>
      <c r="C177">
        <v>1</v>
      </c>
      <c r="D177">
        <v>1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1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1</v>
      </c>
    </row>
    <row r="178" spans="1:17" x14ac:dyDescent="0.3">
      <c r="A178">
        <v>0</v>
      </c>
      <c r="B178">
        <v>0</v>
      </c>
      <c r="C178">
        <v>1</v>
      </c>
      <c r="D178">
        <v>1</v>
      </c>
      <c r="E178">
        <v>0</v>
      </c>
      <c r="F178">
        <v>1</v>
      </c>
      <c r="G178">
        <v>1</v>
      </c>
      <c r="H178">
        <v>0</v>
      </c>
      <c r="I178">
        <v>1</v>
      </c>
      <c r="J178">
        <v>1</v>
      </c>
      <c r="K178">
        <v>1</v>
      </c>
      <c r="L178">
        <v>0</v>
      </c>
      <c r="M178">
        <v>0</v>
      </c>
      <c r="N178">
        <v>1</v>
      </c>
      <c r="O178">
        <v>1</v>
      </c>
      <c r="P178">
        <v>0</v>
      </c>
      <c r="Q178">
        <v>1</v>
      </c>
    </row>
    <row r="179" spans="1:17" x14ac:dyDescent="0.3">
      <c r="A179">
        <v>1</v>
      </c>
      <c r="B179">
        <v>1</v>
      </c>
      <c r="C179">
        <v>0</v>
      </c>
      <c r="D179">
        <v>1</v>
      </c>
      <c r="E179">
        <v>1</v>
      </c>
      <c r="F179">
        <v>0</v>
      </c>
      <c r="G179">
        <v>0</v>
      </c>
      <c r="H179">
        <v>0</v>
      </c>
      <c r="I179">
        <v>0</v>
      </c>
      <c r="J179">
        <v>1</v>
      </c>
      <c r="K179">
        <v>1</v>
      </c>
      <c r="L179">
        <v>0</v>
      </c>
      <c r="M179">
        <v>1</v>
      </c>
      <c r="N179">
        <v>0</v>
      </c>
      <c r="O179">
        <v>1</v>
      </c>
      <c r="P179">
        <v>1</v>
      </c>
      <c r="Q179">
        <v>1</v>
      </c>
    </row>
    <row r="180" spans="1:17" x14ac:dyDescent="0.3">
      <c r="A180">
        <v>1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</row>
    <row r="181" spans="1:17" x14ac:dyDescent="0.3">
      <c r="A181">
        <v>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1</v>
      </c>
      <c r="I181">
        <v>0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</v>
      </c>
      <c r="Q181">
        <v>0</v>
      </c>
    </row>
    <row r="182" spans="1:17" x14ac:dyDescent="0.3">
      <c r="A182">
        <v>0</v>
      </c>
      <c r="B182">
        <v>0</v>
      </c>
      <c r="C182">
        <v>1</v>
      </c>
      <c r="D182">
        <v>1</v>
      </c>
      <c r="E182">
        <v>1</v>
      </c>
      <c r="F182">
        <v>1</v>
      </c>
      <c r="G182">
        <v>0</v>
      </c>
      <c r="H182">
        <v>0</v>
      </c>
      <c r="I182">
        <v>0</v>
      </c>
      <c r="J182">
        <v>1</v>
      </c>
      <c r="K182">
        <v>0</v>
      </c>
      <c r="L182">
        <v>0</v>
      </c>
      <c r="M182">
        <v>1</v>
      </c>
      <c r="N182">
        <v>1</v>
      </c>
      <c r="O182">
        <v>0</v>
      </c>
      <c r="P182">
        <v>1</v>
      </c>
      <c r="Q182">
        <v>0</v>
      </c>
    </row>
    <row r="183" spans="1:17" x14ac:dyDescent="0.3">
      <c r="A183">
        <v>0</v>
      </c>
      <c r="B183">
        <v>0</v>
      </c>
      <c r="C183">
        <v>1</v>
      </c>
      <c r="D183">
        <v>1</v>
      </c>
      <c r="E183">
        <v>0</v>
      </c>
      <c r="F183">
        <v>0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1</v>
      </c>
      <c r="M183">
        <v>1</v>
      </c>
      <c r="N183">
        <v>0</v>
      </c>
      <c r="O183">
        <v>1</v>
      </c>
      <c r="P183">
        <v>1</v>
      </c>
      <c r="Q183">
        <v>0</v>
      </c>
    </row>
    <row r="184" spans="1:17" x14ac:dyDescent="0.3">
      <c r="A184">
        <v>1</v>
      </c>
      <c r="B184">
        <v>0</v>
      </c>
      <c r="C184">
        <v>0</v>
      </c>
      <c r="D184">
        <v>0</v>
      </c>
      <c r="E184">
        <v>0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</row>
    <row r="185" spans="1:17" x14ac:dyDescent="0.3">
      <c r="A185">
        <v>0</v>
      </c>
      <c r="B185">
        <v>1</v>
      </c>
      <c r="C185">
        <v>1</v>
      </c>
      <c r="D185">
        <v>0</v>
      </c>
      <c r="E185">
        <v>1</v>
      </c>
      <c r="F185">
        <v>0</v>
      </c>
      <c r="G185">
        <v>1</v>
      </c>
      <c r="H185">
        <v>0</v>
      </c>
      <c r="I185">
        <v>1</v>
      </c>
      <c r="J185">
        <v>1</v>
      </c>
      <c r="K185">
        <v>1</v>
      </c>
      <c r="L185">
        <v>1</v>
      </c>
      <c r="M185">
        <v>0</v>
      </c>
      <c r="N185">
        <v>1</v>
      </c>
      <c r="O185">
        <v>1</v>
      </c>
      <c r="P185">
        <v>1</v>
      </c>
      <c r="Q185">
        <v>0</v>
      </c>
    </row>
    <row r="186" spans="1:17" x14ac:dyDescent="0.3">
      <c r="A186">
        <v>1</v>
      </c>
      <c r="B186">
        <v>0</v>
      </c>
      <c r="C186">
        <v>1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</v>
      </c>
      <c r="L186">
        <v>0</v>
      </c>
      <c r="M186">
        <v>0</v>
      </c>
      <c r="N186">
        <v>0</v>
      </c>
      <c r="O186">
        <v>0</v>
      </c>
      <c r="P186">
        <v>1</v>
      </c>
      <c r="Q186">
        <v>0</v>
      </c>
    </row>
    <row r="187" spans="1:17" x14ac:dyDescent="0.3">
      <c r="A187">
        <v>1</v>
      </c>
      <c r="B187">
        <v>0</v>
      </c>
      <c r="C187">
        <v>1</v>
      </c>
      <c r="D187">
        <v>1</v>
      </c>
      <c r="E187">
        <v>0</v>
      </c>
      <c r="F187">
        <v>0</v>
      </c>
      <c r="G187">
        <v>0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0</v>
      </c>
      <c r="N187">
        <v>1</v>
      </c>
      <c r="O187">
        <v>1</v>
      </c>
      <c r="P187">
        <v>1</v>
      </c>
      <c r="Q187">
        <v>1</v>
      </c>
    </row>
    <row r="188" spans="1:17" x14ac:dyDescent="0.3">
      <c r="A188">
        <v>0</v>
      </c>
      <c r="B188">
        <v>0</v>
      </c>
      <c r="C188">
        <v>1</v>
      </c>
      <c r="D188">
        <v>1</v>
      </c>
      <c r="E188">
        <v>0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0</v>
      </c>
      <c r="N188">
        <v>1</v>
      </c>
      <c r="O188">
        <v>1</v>
      </c>
      <c r="P188">
        <v>1</v>
      </c>
      <c r="Q188">
        <v>1</v>
      </c>
    </row>
    <row r="189" spans="1:17" x14ac:dyDescent="0.3">
      <c r="A189">
        <v>0</v>
      </c>
      <c r="B189">
        <v>0</v>
      </c>
      <c r="C189">
        <v>0</v>
      </c>
      <c r="D189">
        <v>0</v>
      </c>
      <c r="E189">
        <v>1</v>
      </c>
      <c r="F189">
        <v>0</v>
      </c>
      <c r="G189">
        <v>0</v>
      </c>
      <c r="H189">
        <v>1</v>
      </c>
      <c r="I189">
        <v>0</v>
      </c>
      <c r="J189">
        <v>0</v>
      </c>
      <c r="K189">
        <v>1</v>
      </c>
      <c r="L189">
        <v>1</v>
      </c>
      <c r="M189">
        <v>0</v>
      </c>
      <c r="N189">
        <v>1</v>
      </c>
      <c r="O189">
        <v>1</v>
      </c>
      <c r="P189">
        <v>1</v>
      </c>
      <c r="Q189">
        <v>1</v>
      </c>
    </row>
    <row r="190" spans="1:17" x14ac:dyDescent="0.3">
      <c r="A190">
        <v>0</v>
      </c>
      <c r="B190">
        <v>0</v>
      </c>
      <c r="C190">
        <v>1</v>
      </c>
      <c r="D190">
        <v>1</v>
      </c>
      <c r="E190">
        <v>1</v>
      </c>
      <c r="F190">
        <v>1</v>
      </c>
      <c r="G190">
        <v>0</v>
      </c>
      <c r="H190">
        <v>0</v>
      </c>
      <c r="I190">
        <v>1</v>
      </c>
      <c r="J190">
        <v>0</v>
      </c>
      <c r="K190">
        <v>0</v>
      </c>
      <c r="L190">
        <v>0</v>
      </c>
      <c r="M190">
        <v>1</v>
      </c>
      <c r="N190">
        <v>1</v>
      </c>
      <c r="O190">
        <v>1</v>
      </c>
      <c r="P190">
        <v>0</v>
      </c>
      <c r="Q190">
        <v>1</v>
      </c>
    </row>
    <row r="191" spans="1:17" x14ac:dyDescent="0.3">
      <c r="A191">
        <v>1</v>
      </c>
      <c r="B191">
        <v>1</v>
      </c>
      <c r="C191">
        <v>0</v>
      </c>
      <c r="D191">
        <v>0</v>
      </c>
      <c r="E191">
        <v>1</v>
      </c>
      <c r="F191">
        <v>1</v>
      </c>
      <c r="G191">
        <v>0</v>
      </c>
      <c r="H191">
        <v>0</v>
      </c>
      <c r="I191">
        <v>1</v>
      </c>
      <c r="J191">
        <v>1</v>
      </c>
      <c r="K191">
        <v>1</v>
      </c>
      <c r="L191">
        <v>0</v>
      </c>
      <c r="M191">
        <v>1</v>
      </c>
      <c r="N191">
        <v>1</v>
      </c>
      <c r="O191">
        <v>1</v>
      </c>
      <c r="P191">
        <v>1</v>
      </c>
      <c r="Q191">
        <v>0</v>
      </c>
    </row>
    <row r="192" spans="1:17" x14ac:dyDescent="0.3">
      <c r="A192">
        <v>1</v>
      </c>
      <c r="B192">
        <v>0</v>
      </c>
      <c r="C192">
        <v>0</v>
      </c>
      <c r="D192">
        <v>1</v>
      </c>
      <c r="E192">
        <v>1</v>
      </c>
      <c r="F192">
        <v>0</v>
      </c>
      <c r="G192">
        <v>0</v>
      </c>
      <c r="H192">
        <v>1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1</v>
      </c>
      <c r="P192">
        <v>0</v>
      </c>
      <c r="Q192">
        <v>0</v>
      </c>
    </row>
    <row r="193" spans="1:17" x14ac:dyDescent="0.3">
      <c r="A193">
        <v>0</v>
      </c>
      <c r="B193">
        <v>0</v>
      </c>
      <c r="C193">
        <v>0</v>
      </c>
      <c r="D193">
        <v>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</row>
    <row r="194" spans="1:17" x14ac:dyDescent="0.3">
      <c r="A194">
        <v>0</v>
      </c>
      <c r="B194">
        <v>1</v>
      </c>
      <c r="C194">
        <v>1</v>
      </c>
      <c r="D194">
        <v>1</v>
      </c>
      <c r="E194">
        <v>0</v>
      </c>
      <c r="F194">
        <v>1</v>
      </c>
      <c r="G194">
        <v>0</v>
      </c>
      <c r="H194">
        <v>1</v>
      </c>
      <c r="I194">
        <v>0</v>
      </c>
      <c r="J194">
        <v>0</v>
      </c>
      <c r="K194">
        <v>1</v>
      </c>
      <c r="L194">
        <v>1</v>
      </c>
      <c r="M194">
        <v>1</v>
      </c>
      <c r="N194">
        <v>0</v>
      </c>
      <c r="O194">
        <v>0</v>
      </c>
      <c r="P194">
        <v>1</v>
      </c>
      <c r="Q194">
        <v>0</v>
      </c>
    </row>
    <row r="195" spans="1:17" x14ac:dyDescent="0.3">
      <c r="A195">
        <v>0</v>
      </c>
      <c r="B195">
        <v>0</v>
      </c>
      <c r="C195">
        <v>0</v>
      </c>
      <c r="D195">
        <v>1</v>
      </c>
      <c r="E195">
        <v>1</v>
      </c>
      <c r="F195">
        <v>0</v>
      </c>
      <c r="G195">
        <v>1</v>
      </c>
      <c r="H195">
        <v>0</v>
      </c>
      <c r="I195">
        <v>1</v>
      </c>
      <c r="J195">
        <v>0</v>
      </c>
      <c r="K195">
        <v>0</v>
      </c>
      <c r="L195">
        <v>1</v>
      </c>
      <c r="M195">
        <v>0</v>
      </c>
      <c r="N195">
        <v>1</v>
      </c>
      <c r="O195">
        <v>1</v>
      </c>
      <c r="P195">
        <v>0</v>
      </c>
      <c r="Q195">
        <v>1</v>
      </c>
    </row>
    <row r="196" spans="1:17" x14ac:dyDescent="0.3">
      <c r="A196">
        <v>0</v>
      </c>
      <c r="B196">
        <v>0</v>
      </c>
      <c r="C196">
        <v>1</v>
      </c>
      <c r="D196">
        <v>1</v>
      </c>
      <c r="E196">
        <v>0</v>
      </c>
      <c r="F196">
        <v>1</v>
      </c>
      <c r="G196">
        <v>1</v>
      </c>
      <c r="H196">
        <v>1</v>
      </c>
      <c r="I196">
        <v>0</v>
      </c>
      <c r="J196">
        <v>0</v>
      </c>
      <c r="K196">
        <v>0</v>
      </c>
      <c r="L196">
        <v>1</v>
      </c>
      <c r="M196">
        <v>0</v>
      </c>
      <c r="N196">
        <v>1</v>
      </c>
      <c r="O196">
        <v>0</v>
      </c>
      <c r="P196">
        <v>1</v>
      </c>
      <c r="Q196">
        <v>1</v>
      </c>
    </row>
    <row r="197" spans="1:17" x14ac:dyDescent="0.3">
      <c r="A197">
        <v>0</v>
      </c>
      <c r="B197">
        <v>0</v>
      </c>
      <c r="C197">
        <v>0</v>
      </c>
      <c r="D197">
        <v>0</v>
      </c>
      <c r="E197">
        <v>1</v>
      </c>
      <c r="F197">
        <v>1</v>
      </c>
      <c r="G197">
        <v>0</v>
      </c>
      <c r="H197">
        <v>0</v>
      </c>
      <c r="I197">
        <v>0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</row>
    <row r="198" spans="1:17" x14ac:dyDescent="0.3">
      <c r="A198">
        <v>0</v>
      </c>
      <c r="B198">
        <v>1</v>
      </c>
      <c r="C198">
        <v>0</v>
      </c>
      <c r="D198">
        <v>1</v>
      </c>
      <c r="E198">
        <v>1</v>
      </c>
      <c r="F198">
        <v>1</v>
      </c>
      <c r="G198">
        <v>1</v>
      </c>
      <c r="H198">
        <v>0</v>
      </c>
      <c r="I198">
        <v>0</v>
      </c>
      <c r="J198">
        <v>1</v>
      </c>
      <c r="K198">
        <v>0</v>
      </c>
      <c r="L198">
        <v>1</v>
      </c>
      <c r="M198">
        <v>1</v>
      </c>
      <c r="N198">
        <v>1</v>
      </c>
      <c r="O198">
        <v>0</v>
      </c>
      <c r="P198">
        <v>0</v>
      </c>
      <c r="Q198">
        <v>1</v>
      </c>
    </row>
    <row r="199" spans="1:17" x14ac:dyDescent="0.3">
      <c r="A199">
        <v>0</v>
      </c>
      <c r="B199">
        <v>1</v>
      </c>
      <c r="C199">
        <v>1</v>
      </c>
      <c r="D199">
        <v>1</v>
      </c>
      <c r="E199">
        <v>0</v>
      </c>
      <c r="F199">
        <v>0</v>
      </c>
      <c r="G199">
        <v>1</v>
      </c>
      <c r="H199">
        <v>0</v>
      </c>
      <c r="I199">
        <v>1</v>
      </c>
      <c r="J199">
        <v>1</v>
      </c>
      <c r="K199">
        <v>1</v>
      </c>
      <c r="L199">
        <v>1</v>
      </c>
      <c r="M199">
        <v>0</v>
      </c>
      <c r="N199">
        <v>0</v>
      </c>
      <c r="O199">
        <v>0</v>
      </c>
      <c r="P199">
        <v>0</v>
      </c>
      <c r="Q199">
        <v>0</v>
      </c>
    </row>
    <row r="200" spans="1:17" x14ac:dyDescent="0.3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1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</v>
      </c>
      <c r="Q200">
        <v>0</v>
      </c>
    </row>
    <row r="201" spans="1:17" x14ac:dyDescent="0.3">
      <c r="A201">
        <v>0</v>
      </c>
      <c r="B201">
        <v>0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1</v>
      </c>
      <c r="I201">
        <v>1</v>
      </c>
      <c r="J201">
        <v>1</v>
      </c>
      <c r="K201">
        <v>0</v>
      </c>
      <c r="L201">
        <v>0</v>
      </c>
      <c r="M201">
        <v>1</v>
      </c>
      <c r="N201">
        <v>0</v>
      </c>
      <c r="O201">
        <v>1</v>
      </c>
      <c r="P201">
        <v>0</v>
      </c>
      <c r="Q201">
        <v>0</v>
      </c>
    </row>
    <row r="202" spans="1:17" x14ac:dyDescent="0.3">
      <c r="A202">
        <v>1</v>
      </c>
      <c r="B202">
        <v>0</v>
      </c>
      <c r="C202">
        <v>0</v>
      </c>
      <c r="D202">
        <v>0</v>
      </c>
      <c r="E202">
        <v>0</v>
      </c>
      <c r="F202">
        <v>1</v>
      </c>
      <c r="G202">
        <v>0</v>
      </c>
      <c r="H202">
        <v>1</v>
      </c>
      <c r="I202">
        <v>0</v>
      </c>
      <c r="J202">
        <v>0</v>
      </c>
      <c r="K202">
        <v>1</v>
      </c>
      <c r="L202">
        <v>1</v>
      </c>
      <c r="M202">
        <v>0</v>
      </c>
      <c r="N202">
        <v>0</v>
      </c>
      <c r="O202">
        <v>0</v>
      </c>
      <c r="P202">
        <v>1</v>
      </c>
      <c r="Q202">
        <v>0</v>
      </c>
    </row>
    <row r="203" spans="1:17" x14ac:dyDescent="0.3">
      <c r="A203">
        <v>1</v>
      </c>
      <c r="B203">
        <v>0</v>
      </c>
      <c r="C203">
        <v>1</v>
      </c>
      <c r="D203">
        <v>0</v>
      </c>
      <c r="E203">
        <v>0</v>
      </c>
      <c r="F203">
        <v>0</v>
      </c>
      <c r="G203">
        <v>0</v>
      </c>
      <c r="H203">
        <v>1</v>
      </c>
      <c r="I203">
        <v>0</v>
      </c>
      <c r="J203">
        <v>1</v>
      </c>
      <c r="K203">
        <v>0</v>
      </c>
      <c r="L203">
        <v>0</v>
      </c>
      <c r="M203">
        <v>1</v>
      </c>
      <c r="N203">
        <v>1</v>
      </c>
      <c r="O203">
        <v>0</v>
      </c>
      <c r="P203">
        <v>1</v>
      </c>
      <c r="Q203">
        <v>1</v>
      </c>
    </row>
    <row r="204" spans="1:17" x14ac:dyDescent="0.3">
      <c r="A204">
        <v>1</v>
      </c>
      <c r="B204">
        <v>1</v>
      </c>
      <c r="C204">
        <v>1</v>
      </c>
      <c r="D204">
        <v>0</v>
      </c>
      <c r="E204">
        <v>0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0</v>
      </c>
      <c r="L204">
        <v>1</v>
      </c>
      <c r="M204">
        <v>0</v>
      </c>
      <c r="N204">
        <v>1</v>
      </c>
      <c r="O204">
        <v>0</v>
      </c>
      <c r="P204">
        <v>0</v>
      </c>
      <c r="Q204">
        <v>0</v>
      </c>
    </row>
    <row r="205" spans="1:17" x14ac:dyDescent="0.3">
      <c r="A205">
        <v>1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1</v>
      </c>
      <c r="O205">
        <v>0</v>
      </c>
      <c r="P205">
        <v>0</v>
      </c>
      <c r="Q205">
        <v>1</v>
      </c>
    </row>
    <row r="206" spans="1:17" x14ac:dyDescent="0.3">
      <c r="A206">
        <v>1</v>
      </c>
      <c r="B206">
        <v>1</v>
      </c>
      <c r="C206">
        <v>0</v>
      </c>
      <c r="D206">
        <v>1</v>
      </c>
      <c r="E206">
        <v>0</v>
      </c>
      <c r="F206">
        <v>1</v>
      </c>
      <c r="G206">
        <v>1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1</v>
      </c>
      <c r="O206">
        <v>1</v>
      </c>
      <c r="P206">
        <v>0</v>
      </c>
      <c r="Q206">
        <v>0</v>
      </c>
    </row>
    <row r="207" spans="1:17" x14ac:dyDescent="0.3">
      <c r="A207">
        <v>1</v>
      </c>
      <c r="B207">
        <v>0</v>
      </c>
      <c r="C207">
        <v>0</v>
      </c>
      <c r="D207">
        <v>0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1</v>
      </c>
      <c r="N207">
        <v>0</v>
      </c>
      <c r="O207">
        <v>0</v>
      </c>
      <c r="P207">
        <v>0</v>
      </c>
      <c r="Q207">
        <v>0</v>
      </c>
    </row>
    <row r="208" spans="1:17" x14ac:dyDescent="0.3">
      <c r="A208">
        <v>0</v>
      </c>
      <c r="B208">
        <v>0</v>
      </c>
      <c r="C208">
        <v>0</v>
      </c>
      <c r="D208">
        <v>1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1</v>
      </c>
      <c r="N208">
        <v>0</v>
      </c>
      <c r="O208">
        <v>1</v>
      </c>
      <c r="P208">
        <v>1</v>
      </c>
      <c r="Q208">
        <v>0</v>
      </c>
    </row>
    <row r="209" spans="1:17" x14ac:dyDescent="0.3">
      <c r="A209">
        <v>1</v>
      </c>
      <c r="B209">
        <v>0</v>
      </c>
      <c r="C209">
        <v>0</v>
      </c>
      <c r="D209">
        <v>1</v>
      </c>
      <c r="E209">
        <v>0</v>
      </c>
      <c r="F209">
        <v>0</v>
      </c>
      <c r="G209">
        <v>0</v>
      </c>
      <c r="H209">
        <v>0</v>
      </c>
      <c r="I209">
        <v>1</v>
      </c>
      <c r="J209">
        <v>0</v>
      </c>
      <c r="K209">
        <v>1</v>
      </c>
      <c r="L209">
        <v>1</v>
      </c>
      <c r="M209">
        <v>1</v>
      </c>
      <c r="N209">
        <v>1</v>
      </c>
      <c r="O209">
        <v>0</v>
      </c>
      <c r="P209">
        <v>0</v>
      </c>
      <c r="Q209">
        <v>0</v>
      </c>
    </row>
    <row r="210" spans="1:17" x14ac:dyDescent="0.3">
      <c r="A210">
        <v>1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1</v>
      </c>
      <c r="L210">
        <v>0</v>
      </c>
      <c r="M210">
        <v>1</v>
      </c>
      <c r="N210">
        <v>1</v>
      </c>
      <c r="O210">
        <v>1</v>
      </c>
      <c r="P210">
        <v>0</v>
      </c>
      <c r="Q210">
        <v>0</v>
      </c>
    </row>
    <row r="211" spans="1:17" x14ac:dyDescent="0.3">
      <c r="A211">
        <v>0</v>
      </c>
      <c r="B211">
        <v>1</v>
      </c>
      <c r="C211">
        <v>1</v>
      </c>
      <c r="D211">
        <v>1</v>
      </c>
      <c r="E211">
        <v>0</v>
      </c>
      <c r="F211">
        <v>1</v>
      </c>
      <c r="G211">
        <v>0</v>
      </c>
      <c r="H211">
        <v>1</v>
      </c>
      <c r="I211">
        <v>0</v>
      </c>
      <c r="J211">
        <v>0</v>
      </c>
      <c r="K211">
        <v>1</v>
      </c>
      <c r="L211">
        <v>1</v>
      </c>
      <c r="M211">
        <v>0</v>
      </c>
      <c r="N211">
        <v>1</v>
      </c>
      <c r="O211">
        <v>0</v>
      </c>
      <c r="P211">
        <v>1</v>
      </c>
      <c r="Q211">
        <v>0</v>
      </c>
    </row>
    <row r="212" spans="1:17" x14ac:dyDescent="0.3">
      <c r="A212">
        <v>0</v>
      </c>
      <c r="B212">
        <v>1</v>
      </c>
      <c r="C212">
        <v>1</v>
      </c>
      <c r="D212">
        <v>0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0</v>
      </c>
      <c r="K212">
        <v>0</v>
      </c>
      <c r="L212">
        <v>0</v>
      </c>
      <c r="M212">
        <v>1</v>
      </c>
      <c r="N212">
        <v>0</v>
      </c>
      <c r="O212">
        <v>1</v>
      </c>
      <c r="P212">
        <v>0</v>
      </c>
      <c r="Q212">
        <v>1</v>
      </c>
    </row>
    <row r="213" spans="1:17" x14ac:dyDescent="0.3">
      <c r="A213">
        <v>1</v>
      </c>
      <c r="B213">
        <v>1</v>
      </c>
      <c r="C213">
        <v>1</v>
      </c>
      <c r="D213">
        <v>0</v>
      </c>
      <c r="E213">
        <v>1</v>
      </c>
      <c r="F213">
        <v>0</v>
      </c>
      <c r="G213">
        <v>0</v>
      </c>
      <c r="H213">
        <v>1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</v>
      </c>
      <c r="Q213">
        <v>0</v>
      </c>
    </row>
    <row r="214" spans="1:17" x14ac:dyDescent="0.3">
      <c r="A214">
        <v>1</v>
      </c>
      <c r="B214">
        <v>1</v>
      </c>
      <c r="C214">
        <v>1</v>
      </c>
      <c r="D214">
        <v>1</v>
      </c>
      <c r="E214">
        <v>0</v>
      </c>
      <c r="F214">
        <v>0</v>
      </c>
      <c r="G214">
        <v>1</v>
      </c>
      <c r="H214">
        <v>0</v>
      </c>
      <c r="I214">
        <v>0</v>
      </c>
      <c r="J214">
        <v>1</v>
      </c>
      <c r="K214">
        <v>1</v>
      </c>
      <c r="L214">
        <v>0</v>
      </c>
      <c r="M214">
        <v>0</v>
      </c>
      <c r="N214">
        <v>0</v>
      </c>
      <c r="O214">
        <v>1</v>
      </c>
      <c r="P214">
        <v>1</v>
      </c>
      <c r="Q214">
        <v>1</v>
      </c>
    </row>
    <row r="215" spans="1:17" x14ac:dyDescent="0.3">
      <c r="A215">
        <v>1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</row>
    <row r="216" spans="1:17" x14ac:dyDescent="0.3">
      <c r="A216">
        <v>1</v>
      </c>
      <c r="B216">
        <v>0</v>
      </c>
      <c r="C216">
        <v>1</v>
      </c>
      <c r="D216">
        <v>0</v>
      </c>
      <c r="E216">
        <v>0</v>
      </c>
      <c r="F216">
        <v>0</v>
      </c>
      <c r="G216">
        <v>1</v>
      </c>
      <c r="H216">
        <v>0</v>
      </c>
      <c r="I216">
        <v>1</v>
      </c>
      <c r="J216">
        <v>1</v>
      </c>
      <c r="K216">
        <v>0</v>
      </c>
      <c r="L216">
        <v>1</v>
      </c>
      <c r="M216">
        <v>0</v>
      </c>
      <c r="N216">
        <v>0</v>
      </c>
      <c r="O216">
        <v>1</v>
      </c>
      <c r="P216">
        <v>1</v>
      </c>
      <c r="Q216">
        <v>1</v>
      </c>
    </row>
    <row r="217" spans="1:17" x14ac:dyDescent="0.3">
      <c r="A217">
        <v>1</v>
      </c>
      <c r="B217">
        <v>0</v>
      </c>
      <c r="C217">
        <v>1</v>
      </c>
      <c r="D217">
        <v>0</v>
      </c>
      <c r="E217">
        <v>0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1</v>
      </c>
      <c r="L217">
        <v>0</v>
      </c>
      <c r="M217">
        <v>1</v>
      </c>
      <c r="N217">
        <v>1</v>
      </c>
      <c r="O217">
        <v>0</v>
      </c>
      <c r="P217">
        <v>1</v>
      </c>
      <c r="Q217">
        <v>1</v>
      </c>
    </row>
    <row r="218" spans="1:17" x14ac:dyDescent="0.3">
      <c r="A218">
        <v>0</v>
      </c>
      <c r="B218">
        <v>1</v>
      </c>
      <c r="C218">
        <v>1</v>
      </c>
      <c r="D218">
        <v>1</v>
      </c>
      <c r="E218">
        <v>1</v>
      </c>
      <c r="F218">
        <v>0</v>
      </c>
      <c r="G218">
        <v>1</v>
      </c>
      <c r="H218">
        <v>1</v>
      </c>
      <c r="I218">
        <v>0</v>
      </c>
      <c r="J218">
        <v>1</v>
      </c>
      <c r="K218">
        <v>1</v>
      </c>
      <c r="L218">
        <v>1</v>
      </c>
      <c r="M218">
        <v>0</v>
      </c>
      <c r="N218">
        <v>0</v>
      </c>
      <c r="O218">
        <v>0</v>
      </c>
      <c r="P218">
        <v>1</v>
      </c>
      <c r="Q218">
        <v>1</v>
      </c>
    </row>
    <row r="219" spans="1:17" x14ac:dyDescent="0.3">
      <c r="A219">
        <v>1</v>
      </c>
      <c r="B219">
        <v>0</v>
      </c>
      <c r="C219">
        <v>0</v>
      </c>
      <c r="D219">
        <v>0</v>
      </c>
      <c r="E219">
        <v>1</v>
      </c>
      <c r="F219">
        <v>0</v>
      </c>
      <c r="G219">
        <v>1</v>
      </c>
      <c r="H219">
        <v>1</v>
      </c>
      <c r="I219">
        <v>0</v>
      </c>
      <c r="J219">
        <v>0</v>
      </c>
      <c r="K219">
        <v>1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</row>
    <row r="220" spans="1:17" x14ac:dyDescent="0.3">
      <c r="A220">
        <v>1</v>
      </c>
      <c r="B220">
        <v>1</v>
      </c>
      <c r="C220">
        <v>0</v>
      </c>
      <c r="D220">
        <v>0</v>
      </c>
      <c r="E220">
        <v>0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1</v>
      </c>
      <c r="L220">
        <v>0</v>
      </c>
      <c r="M220">
        <v>1</v>
      </c>
      <c r="N220">
        <v>1</v>
      </c>
      <c r="O220">
        <v>0</v>
      </c>
      <c r="P220">
        <v>0</v>
      </c>
      <c r="Q220">
        <v>1</v>
      </c>
    </row>
    <row r="221" spans="1:17" x14ac:dyDescent="0.3">
      <c r="A221">
        <v>1</v>
      </c>
      <c r="B221">
        <v>0</v>
      </c>
      <c r="C221">
        <v>0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</v>
      </c>
      <c r="M221">
        <v>0</v>
      </c>
      <c r="N221">
        <v>0</v>
      </c>
      <c r="O221">
        <v>0</v>
      </c>
      <c r="P221">
        <v>0</v>
      </c>
      <c r="Q221">
        <v>0</v>
      </c>
    </row>
    <row r="222" spans="1:17" x14ac:dyDescent="0.3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1</v>
      </c>
      <c r="H222">
        <v>1</v>
      </c>
      <c r="I222">
        <v>0</v>
      </c>
      <c r="J222">
        <v>0</v>
      </c>
      <c r="K222">
        <v>1</v>
      </c>
      <c r="L222">
        <v>1</v>
      </c>
      <c r="M222">
        <v>0</v>
      </c>
      <c r="N222">
        <v>0</v>
      </c>
      <c r="O222">
        <v>0</v>
      </c>
      <c r="P222">
        <v>1</v>
      </c>
      <c r="Q222">
        <v>1</v>
      </c>
    </row>
    <row r="223" spans="1:17" x14ac:dyDescent="0.3">
      <c r="A223">
        <v>0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1</v>
      </c>
      <c r="H223">
        <v>0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0</v>
      </c>
      <c r="O223">
        <v>1</v>
      </c>
      <c r="P223">
        <v>0</v>
      </c>
      <c r="Q223">
        <v>1</v>
      </c>
    </row>
    <row r="224" spans="1:17" x14ac:dyDescent="0.3">
      <c r="A224">
        <v>0</v>
      </c>
      <c r="B224">
        <v>0</v>
      </c>
      <c r="C224">
        <v>0</v>
      </c>
      <c r="D224">
        <v>1</v>
      </c>
      <c r="E224">
        <v>0</v>
      </c>
      <c r="F224">
        <v>0</v>
      </c>
      <c r="G224">
        <v>1</v>
      </c>
      <c r="H224">
        <v>0</v>
      </c>
      <c r="I224">
        <v>1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</v>
      </c>
      <c r="Q224">
        <v>0</v>
      </c>
    </row>
    <row r="225" spans="1:17" x14ac:dyDescent="0.3">
      <c r="A225">
        <v>0</v>
      </c>
      <c r="B225">
        <v>1</v>
      </c>
      <c r="C225">
        <v>1</v>
      </c>
      <c r="D225">
        <v>0</v>
      </c>
      <c r="E225">
        <v>0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1</v>
      </c>
      <c r="L225">
        <v>1</v>
      </c>
      <c r="M225">
        <v>0</v>
      </c>
      <c r="N225">
        <v>0</v>
      </c>
      <c r="O225">
        <v>1</v>
      </c>
      <c r="P225">
        <v>1</v>
      </c>
      <c r="Q225">
        <v>0</v>
      </c>
    </row>
    <row r="226" spans="1:17" x14ac:dyDescent="0.3">
      <c r="A226">
        <v>0</v>
      </c>
      <c r="B226">
        <v>0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0</v>
      </c>
      <c r="M226">
        <v>1</v>
      </c>
      <c r="N226">
        <v>1</v>
      </c>
      <c r="O226">
        <v>0</v>
      </c>
      <c r="P226">
        <v>0</v>
      </c>
      <c r="Q226">
        <v>1</v>
      </c>
    </row>
    <row r="227" spans="1:17" x14ac:dyDescent="0.3">
      <c r="A227">
        <v>0</v>
      </c>
      <c r="B227">
        <v>0</v>
      </c>
      <c r="C227">
        <v>1</v>
      </c>
      <c r="D227">
        <v>0</v>
      </c>
      <c r="E227">
        <v>0</v>
      </c>
      <c r="F227">
        <v>0</v>
      </c>
      <c r="G227">
        <v>1</v>
      </c>
      <c r="H227">
        <v>1</v>
      </c>
      <c r="I227">
        <v>0</v>
      </c>
      <c r="J227">
        <v>1</v>
      </c>
      <c r="K227">
        <v>0</v>
      </c>
      <c r="L227">
        <v>0</v>
      </c>
      <c r="M227">
        <v>1</v>
      </c>
      <c r="N227">
        <v>0</v>
      </c>
      <c r="O227">
        <v>0</v>
      </c>
      <c r="P227">
        <v>0</v>
      </c>
      <c r="Q227">
        <v>0</v>
      </c>
    </row>
    <row r="228" spans="1:17" x14ac:dyDescent="0.3">
      <c r="A228">
        <v>1</v>
      </c>
      <c r="B228">
        <v>0</v>
      </c>
      <c r="C228">
        <v>0</v>
      </c>
      <c r="D228">
        <v>1</v>
      </c>
      <c r="E228">
        <v>1</v>
      </c>
      <c r="F228">
        <v>0</v>
      </c>
      <c r="G228">
        <v>1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1</v>
      </c>
      <c r="N228">
        <v>1</v>
      </c>
      <c r="O228">
        <v>1</v>
      </c>
      <c r="P228">
        <v>0</v>
      </c>
      <c r="Q228">
        <v>0</v>
      </c>
    </row>
    <row r="229" spans="1:17" x14ac:dyDescent="0.3">
      <c r="A229">
        <v>1</v>
      </c>
      <c r="B229">
        <v>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1</v>
      </c>
      <c r="O229">
        <v>0</v>
      </c>
      <c r="P229">
        <v>0</v>
      </c>
      <c r="Q229">
        <v>1</v>
      </c>
    </row>
    <row r="230" spans="1:17" x14ac:dyDescent="0.3">
      <c r="A230">
        <v>0</v>
      </c>
      <c r="B230">
        <v>0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0</v>
      </c>
      <c r="J230">
        <v>0</v>
      </c>
      <c r="K230">
        <v>1</v>
      </c>
      <c r="L230">
        <v>1</v>
      </c>
      <c r="M230">
        <v>1</v>
      </c>
      <c r="N230">
        <v>1</v>
      </c>
      <c r="O230">
        <v>0</v>
      </c>
      <c r="P230">
        <v>0</v>
      </c>
      <c r="Q230">
        <v>1</v>
      </c>
    </row>
    <row r="231" spans="1:17" x14ac:dyDescent="0.3">
      <c r="A231">
        <v>0</v>
      </c>
      <c r="B231">
        <v>0</v>
      </c>
      <c r="C231">
        <v>0</v>
      </c>
      <c r="D231">
        <v>0</v>
      </c>
      <c r="E231">
        <v>1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1</v>
      </c>
    </row>
    <row r="232" spans="1:17" x14ac:dyDescent="0.3">
      <c r="A232">
        <v>1</v>
      </c>
      <c r="B232">
        <v>1</v>
      </c>
      <c r="C232">
        <v>0</v>
      </c>
      <c r="D232">
        <v>0</v>
      </c>
      <c r="E232">
        <v>1</v>
      </c>
      <c r="F232">
        <v>1</v>
      </c>
      <c r="G232">
        <v>0</v>
      </c>
      <c r="H232">
        <v>0</v>
      </c>
      <c r="I232">
        <v>0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</v>
      </c>
      <c r="Q232">
        <v>1</v>
      </c>
    </row>
    <row r="233" spans="1:17" x14ac:dyDescent="0.3">
      <c r="A233">
        <v>1</v>
      </c>
      <c r="B233">
        <v>0</v>
      </c>
      <c r="C233">
        <v>0</v>
      </c>
      <c r="D233">
        <v>1</v>
      </c>
      <c r="E233">
        <v>1</v>
      </c>
      <c r="F233">
        <v>1</v>
      </c>
      <c r="G233">
        <v>0</v>
      </c>
      <c r="H233">
        <v>0</v>
      </c>
      <c r="I233">
        <v>0</v>
      </c>
      <c r="J233">
        <v>0</v>
      </c>
      <c r="K233">
        <v>1</v>
      </c>
      <c r="L233">
        <v>0</v>
      </c>
      <c r="M233">
        <v>1</v>
      </c>
      <c r="N233">
        <v>0</v>
      </c>
      <c r="O233">
        <v>0</v>
      </c>
      <c r="P233">
        <v>0</v>
      </c>
      <c r="Q233">
        <v>1</v>
      </c>
    </row>
    <row r="234" spans="1:17" x14ac:dyDescent="0.3">
      <c r="A234">
        <v>0</v>
      </c>
      <c r="B234">
        <v>0</v>
      </c>
      <c r="C234">
        <v>1</v>
      </c>
      <c r="D234">
        <v>0</v>
      </c>
      <c r="E234">
        <v>0</v>
      </c>
      <c r="F234">
        <v>0</v>
      </c>
      <c r="G234">
        <v>0</v>
      </c>
      <c r="H234">
        <v>1</v>
      </c>
      <c r="I234">
        <v>0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1</v>
      </c>
      <c r="P234">
        <v>1</v>
      </c>
      <c r="Q234">
        <v>1</v>
      </c>
    </row>
    <row r="235" spans="1:17" x14ac:dyDescent="0.3">
      <c r="A235">
        <v>0</v>
      </c>
      <c r="B235">
        <v>0</v>
      </c>
      <c r="C235">
        <v>0</v>
      </c>
      <c r="D235">
        <v>1</v>
      </c>
      <c r="E235">
        <v>1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1</v>
      </c>
      <c r="L235">
        <v>0</v>
      </c>
      <c r="M235">
        <v>1</v>
      </c>
      <c r="N235">
        <v>0</v>
      </c>
      <c r="O235">
        <v>0</v>
      </c>
      <c r="P235">
        <v>0</v>
      </c>
      <c r="Q235">
        <v>0</v>
      </c>
    </row>
    <row r="236" spans="1:17" x14ac:dyDescent="0.3">
      <c r="A236">
        <v>1</v>
      </c>
      <c r="B236">
        <v>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</row>
    <row r="237" spans="1:17" x14ac:dyDescent="0.3">
      <c r="A237">
        <v>0</v>
      </c>
      <c r="B237">
        <v>0</v>
      </c>
      <c r="C237">
        <v>0</v>
      </c>
      <c r="D237">
        <v>0</v>
      </c>
      <c r="E237">
        <v>0</v>
      </c>
      <c r="F237">
        <v>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</row>
    <row r="238" spans="1:17" x14ac:dyDescent="0.3">
      <c r="A238">
        <v>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1</v>
      </c>
      <c r="I238">
        <v>0</v>
      </c>
      <c r="J238">
        <v>0</v>
      </c>
      <c r="K238">
        <v>1</v>
      </c>
      <c r="L238">
        <v>0</v>
      </c>
      <c r="M238">
        <v>1</v>
      </c>
      <c r="N238">
        <v>1</v>
      </c>
      <c r="O238">
        <v>0</v>
      </c>
      <c r="P238">
        <v>0</v>
      </c>
      <c r="Q238">
        <v>1</v>
      </c>
    </row>
    <row r="239" spans="1:17" x14ac:dyDescent="0.3">
      <c r="A239">
        <v>0</v>
      </c>
      <c r="B239">
        <v>0</v>
      </c>
      <c r="C239">
        <v>0</v>
      </c>
      <c r="D239">
        <v>0</v>
      </c>
      <c r="E239">
        <v>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</v>
      </c>
      <c r="M239">
        <v>0</v>
      </c>
      <c r="N239">
        <v>0</v>
      </c>
      <c r="O239">
        <v>0</v>
      </c>
      <c r="P239">
        <v>0</v>
      </c>
      <c r="Q239">
        <v>0</v>
      </c>
    </row>
    <row r="240" spans="1:17" x14ac:dyDescent="0.3">
      <c r="A240">
        <v>0</v>
      </c>
      <c r="B240">
        <v>1</v>
      </c>
      <c r="C240">
        <v>1</v>
      </c>
      <c r="D240">
        <v>1</v>
      </c>
      <c r="E240">
        <v>1</v>
      </c>
      <c r="F240">
        <v>0</v>
      </c>
      <c r="G240">
        <v>0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0</v>
      </c>
      <c r="O240">
        <v>1</v>
      </c>
      <c r="P240">
        <v>1</v>
      </c>
      <c r="Q240">
        <v>1</v>
      </c>
    </row>
    <row r="241" spans="1:17" x14ac:dyDescent="0.3">
      <c r="A241">
        <v>0</v>
      </c>
      <c r="B241">
        <v>1</v>
      </c>
      <c r="C241">
        <v>1</v>
      </c>
      <c r="D241">
        <v>0</v>
      </c>
      <c r="E241">
        <v>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1</v>
      </c>
      <c r="O241">
        <v>1</v>
      </c>
      <c r="P241">
        <v>0</v>
      </c>
      <c r="Q241">
        <v>0</v>
      </c>
    </row>
    <row r="242" spans="1:17" x14ac:dyDescent="0.3">
      <c r="A242">
        <v>0</v>
      </c>
      <c r="B242">
        <v>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1</v>
      </c>
      <c r="O242">
        <v>1</v>
      </c>
      <c r="P242">
        <v>0</v>
      </c>
      <c r="Q242">
        <v>0</v>
      </c>
    </row>
    <row r="243" spans="1:17" x14ac:dyDescent="0.3">
      <c r="A243">
        <v>0</v>
      </c>
      <c r="B243">
        <v>1</v>
      </c>
      <c r="C243">
        <v>0</v>
      </c>
      <c r="D243">
        <v>0</v>
      </c>
      <c r="E243">
        <v>1</v>
      </c>
      <c r="F243">
        <v>1</v>
      </c>
      <c r="G243">
        <v>0</v>
      </c>
      <c r="H243">
        <v>0</v>
      </c>
      <c r="I243">
        <v>0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</v>
      </c>
      <c r="Q243">
        <v>1</v>
      </c>
    </row>
    <row r="244" spans="1:17" x14ac:dyDescent="0.3">
      <c r="A244">
        <v>0</v>
      </c>
      <c r="B244">
        <v>0</v>
      </c>
      <c r="C244">
        <v>0</v>
      </c>
      <c r="D244">
        <v>0</v>
      </c>
      <c r="E244">
        <v>0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</row>
    <row r="245" spans="1:17" x14ac:dyDescent="0.3">
      <c r="A245">
        <v>0</v>
      </c>
      <c r="B245">
        <v>0</v>
      </c>
      <c r="C245">
        <v>1</v>
      </c>
      <c r="D245">
        <v>1</v>
      </c>
      <c r="E245">
        <v>0</v>
      </c>
      <c r="F245">
        <v>0</v>
      </c>
      <c r="G245">
        <v>0</v>
      </c>
      <c r="H245">
        <v>1</v>
      </c>
      <c r="I245">
        <v>1</v>
      </c>
      <c r="J245">
        <v>1</v>
      </c>
      <c r="K245">
        <v>0</v>
      </c>
      <c r="L245">
        <v>0</v>
      </c>
      <c r="M245">
        <v>1</v>
      </c>
      <c r="N245">
        <v>1</v>
      </c>
      <c r="O245">
        <v>1</v>
      </c>
      <c r="P245">
        <v>1</v>
      </c>
      <c r="Q245">
        <v>1</v>
      </c>
    </row>
    <row r="246" spans="1:17" x14ac:dyDescent="0.3">
      <c r="A246">
        <v>1</v>
      </c>
      <c r="B246">
        <v>1</v>
      </c>
      <c r="C246">
        <v>0</v>
      </c>
      <c r="D246">
        <v>0</v>
      </c>
      <c r="E246">
        <v>0</v>
      </c>
      <c r="F246">
        <v>1</v>
      </c>
      <c r="G246">
        <v>1</v>
      </c>
      <c r="H246">
        <v>1</v>
      </c>
      <c r="I246">
        <v>0</v>
      </c>
      <c r="J246">
        <v>0</v>
      </c>
      <c r="K246">
        <v>0</v>
      </c>
      <c r="L246">
        <v>0</v>
      </c>
      <c r="M246">
        <v>1</v>
      </c>
      <c r="N246">
        <v>0</v>
      </c>
      <c r="O246">
        <v>0</v>
      </c>
      <c r="P246">
        <v>0</v>
      </c>
      <c r="Q246">
        <v>1</v>
      </c>
    </row>
    <row r="247" spans="1:17" x14ac:dyDescent="0.3">
      <c r="A247">
        <v>0</v>
      </c>
      <c r="B247">
        <v>0</v>
      </c>
      <c r="C247">
        <v>0</v>
      </c>
      <c r="D247">
        <v>1</v>
      </c>
      <c r="E247">
        <v>1</v>
      </c>
      <c r="F247">
        <v>0</v>
      </c>
      <c r="G247">
        <v>0</v>
      </c>
      <c r="H247">
        <v>0</v>
      </c>
      <c r="I247">
        <v>0</v>
      </c>
      <c r="J247">
        <v>1</v>
      </c>
      <c r="K247">
        <v>1</v>
      </c>
      <c r="L247">
        <v>1</v>
      </c>
      <c r="M247">
        <v>0</v>
      </c>
      <c r="N247">
        <v>1</v>
      </c>
      <c r="O247">
        <v>1</v>
      </c>
      <c r="P247">
        <v>1</v>
      </c>
      <c r="Q247">
        <v>0</v>
      </c>
    </row>
    <row r="248" spans="1:17" x14ac:dyDescent="0.3">
      <c r="A248">
        <v>1</v>
      </c>
      <c r="B248">
        <v>0</v>
      </c>
      <c r="C248">
        <v>1</v>
      </c>
      <c r="D248">
        <v>0</v>
      </c>
      <c r="E248">
        <v>1</v>
      </c>
      <c r="F248">
        <v>0</v>
      </c>
      <c r="G248">
        <v>0</v>
      </c>
      <c r="H248">
        <v>0</v>
      </c>
      <c r="I248">
        <v>1</v>
      </c>
      <c r="J248">
        <v>0</v>
      </c>
      <c r="K248">
        <v>0</v>
      </c>
      <c r="L248">
        <v>1</v>
      </c>
      <c r="M248">
        <v>0</v>
      </c>
      <c r="N248">
        <v>0</v>
      </c>
      <c r="O248">
        <v>0</v>
      </c>
      <c r="P248">
        <v>0</v>
      </c>
      <c r="Q248">
        <v>1</v>
      </c>
    </row>
    <row r="249" spans="1:17" x14ac:dyDescent="0.3">
      <c r="A249">
        <v>1</v>
      </c>
      <c r="B249">
        <v>0</v>
      </c>
      <c r="C249">
        <v>0</v>
      </c>
      <c r="D249">
        <v>0</v>
      </c>
      <c r="E249">
        <v>1</v>
      </c>
      <c r="F249">
        <v>1</v>
      </c>
      <c r="G249">
        <v>0</v>
      </c>
      <c r="H249">
        <v>0</v>
      </c>
      <c r="I249">
        <v>0</v>
      </c>
      <c r="J249">
        <v>0</v>
      </c>
      <c r="K249">
        <v>1</v>
      </c>
      <c r="L249">
        <v>1</v>
      </c>
      <c r="M249">
        <v>0</v>
      </c>
      <c r="N249">
        <v>0</v>
      </c>
      <c r="O249">
        <v>0</v>
      </c>
      <c r="P249">
        <v>0</v>
      </c>
      <c r="Q249">
        <v>1</v>
      </c>
    </row>
    <row r="250" spans="1:17" x14ac:dyDescent="0.3">
      <c r="A250">
        <v>1</v>
      </c>
      <c r="B250">
        <v>1</v>
      </c>
      <c r="C250">
        <v>0</v>
      </c>
      <c r="D250">
        <v>1</v>
      </c>
      <c r="E250">
        <v>0</v>
      </c>
      <c r="F250">
        <v>0</v>
      </c>
      <c r="G250">
        <v>1</v>
      </c>
      <c r="H250">
        <v>0</v>
      </c>
      <c r="I250">
        <v>0</v>
      </c>
      <c r="J250">
        <v>1</v>
      </c>
      <c r="K250">
        <v>1</v>
      </c>
      <c r="L250">
        <v>0</v>
      </c>
      <c r="M250">
        <v>0</v>
      </c>
      <c r="N250">
        <v>1</v>
      </c>
      <c r="O250">
        <v>0</v>
      </c>
      <c r="P250">
        <v>0</v>
      </c>
      <c r="Q250">
        <v>0</v>
      </c>
    </row>
    <row r="251" spans="1:17" x14ac:dyDescent="0.3">
      <c r="A251">
        <v>1</v>
      </c>
      <c r="B251">
        <v>0</v>
      </c>
      <c r="C251">
        <v>1</v>
      </c>
      <c r="D251">
        <v>1</v>
      </c>
      <c r="E251">
        <v>0</v>
      </c>
      <c r="F251">
        <v>0</v>
      </c>
      <c r="G251">
        <v>0</v>
      </c>
      <c r="H251">
        <v>1</v>
      </c>
      <c r="I251">
        <v>1</v>
      </c>
      <c r="J251">
        <v>1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</v>
      </c>
      <c r="Q251">
        <v>1</v>
      </c>
    </row>
    <row r="252" spans="1:17" x14ac:dyDescent="0.3">
      <c r="A252">
        <v>1</v>
      </c>
      <c r="B252">
        <v>0</v>
      </c>
      <c r="C252">
        <v>1</v>
      </c>
      <c r="D252">
        <v>0</v>
      </c>
      <c r="E252">
        <v>1</v>
      </c>
      <c r="F252">
        <v>1</v>
      </c>
      <c r="G252">
        <v>1</v>
      </c>
      <c r="H252">
        <v>1</v>
      </c>
      <c r="I252">
        <v>0</v>
      </c>
      <c r="J252">
        <v>0</v>
      </c>
      <c r="K252">
        <v>1</v>
      </c>
      <c r="L252">
        <v>1</v>
      </c>
      <c r="M252">
        <v>0</v>
      </c>
      <c r="N252">
        <v>0</v>
      </c>
      <c r="O252">
        <v>1</v>
      </c>
      <c r="P252">
        <v>1</v>
      </c>
      <c r="Q252">
        <v>0</v>
      </c>
    </row>
    <row r="253" spans="1:17" x14ac:dyDescent="0.3">
      <c r="A253">
        <v>1</v>
      </c>
      <c r="B253">
        <v>1</v>
      </c>
      <c r="C253">
        <v>1</v>
      </c>
      <c r="D253">
        <v>1</v>
      </c>
      <c r="E253">
        <v>0</v>
      </c>
      <c r="F253">
        <v>0</v>
      </c>
      <c r="G253">
        <v>0</v>
      </c>
      <c r="H253">
        <v>1</v>
      </c>
      <c r="I253">
        <v>1</v>
      </c>
      <c r="J253">
        <v>0</v>
      </c>
      <c r="K253">
        <v>0</v>
      </c>
      <c r="L253">
        <v>1</v>
      </c>
      <c r="M253">
        <v>1</v>
      </c>
      <c r="N253">
        <v>0</v>
      </c>
      <c r="O253">
        <v>0</v>
      </c>
      <c r="P253">
        <v>0</v>
      </c>
      <c r="Q253">
        <v>1</v>
      </c>
    </row>
    <row r="254" spans="1:17" x14ac:dyDescent="0.3">
      <c r="A254">
        <v>0</v>
      </c>
      <c r="B254">
        <v>0</v>
      </c>
      <c r="C254">
        <v>1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</row>
    <row r="255" spans="1:17" x14ac:dyDescent="0.3">
      <c r="A255">
        <v>0</v>
      </c>
      <c r="B255">
        <v>1</v>
      </c>
      <c r="C255">
        <v>1</v>
      </c>
      <c r="D255">
        <v>0</v>
      </c>
      <c r="E255">
        <v>0</v>
      </c>
      <c r="F255">
        <v>1</v>
      </c>
      <c r="G255">
        <v>0</v>
      </c>
      <c r="H255">
        <v>0</v>
      </c>
      <c r="I255">
        <v>0</v>
      </c>
      <c r="J255">
        <v>0</v>
      </c>
      <c r="K255">
        <v>1</v>
      </c>
      <c r="L255">
        <v>0</v>
      </c>
      <c r="M255">
        <v>0</v>
      </c>
      <c r="N255">
        <v>1</v>
      </c>
      <c r="O255">
        <v>1</v>
      </c>
      <c r="P255">
        <v>0</v>
      </c>
      <c r="Q255">
        <v>1</v>
      </c>
    </row>
    <row r="256" spans="1:17" x14ac:dyDescent="0.3">
      <c r="A256">
        <v>0</v>
      </c>
      <c r="B256">
        <v>1</v>
      </c>
      <c r="C256">
        <v>0</v>
      </c>
      <c r="D256">
        <v>0</v>
      </c>
      <c r="E256">
        <v>1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1</v>
      </c>
      <c r="P256">
        <v>0</v>
      </c>
      <c r="Q256">
        <v>0</v>
      </c>
    </row>
    <row r="257" spans="1:17" x14ac:dyDescent="0.3">
      <c r="A257">
        <v>0</v>
      </c>
      <c r="B257">
        <v>0</v>
      </c>
      <c r="C257">
        <v>1</v>
      </c>
      <c r="D257">
        <v>0</v>
      </c>
      <c r="E257">
        <v>1</v>
      </c>
      <c r="F257">
        <v>1</v>
      </c>
      <c r="G257">
        <v>0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0</v>
      </c>
      <c r="N257">
        <v>0</v>
      </c>
      <c r="O257">
        <v>0</v>
      </c>
      <c r="P257">
        <v>1</v>
      </c>
      <c r="Q257">
        <v>1</v>
      </c>
    </row>
    <row r="258" spans="1:17" x14ac:dyDescent="0.3">
      <c r="A258">
        <v>1</v>
      </c>
      <c r="B258">
        <v>0</v>
      </c>
      <c r="C258">
        <v>0</v>
      </c>
      <c r="D258">
        <v>0</v>
      </c>
      <c r="E258">
        <v>1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1</v>
      </c>
      <c r="P258">
        <v>0</v>
      </c>
      <c r="Q258">
        <v>1</v>
      </c>
    </row>
    <row r="259" spans="1:17" x14ac:dyDescent="0.3">
      <c r="A259">
        <v>1</v>
      </c>
      <c r="B259">
        <v>0</v>
      </c>
      <c r="C259">
        <v>1</v>
      </c>
      <c r="D259">
        <v>1</v>
      </c>
      <c r="E259">
        <v>1</v>
      </c>
      <c r="F259">
        <v>0</v>
      </c>
      <c r="G259">
        <v>0</v>
      </c>
      <c r="H259">
        <v>1</v>
      </c>
      <c r="I259">
        <v>1</v>
      </c>
      <c r="J259">
        <v>0</v>
      </c>
      <c r="K259">
        <v>1</v>
      </c>
      <c r="L259">
        <v>0</v>
      </c>
      <c r="M259">
        <v>1</v>
      </c>
      <c r="N259">
        <v>1</v>
      </c>
      <c r="O259">
        <v>0</v>
      </c>
      <c r="P259">
        <v>1</v>
      </c>
      <c r="Q259">
        <v>0</v>
      </c>
    </row>
    <row r="260" spans="1:17" x14ac:dyDescent="0.3">
      <c r="A260">
        <v>0</v>
      </c>
      <c r="B260">
        <v>0</v>
      </c>
      <c r="C260">
        <v>0</v>
      </c>
      <c r="D260">
        <v>1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</row>
    <row r="261" spans="1:17" x14ac:dyDescent="0.3">
      <c r="A261">
        <v>0</v>
      </c>
      <c r="B261">
        <v>0</v>
      </c>
      <c r="C261">
        <v>1</v>
      </c>
      <c r="D261">
        <v>0</v>
      </c>
      <c r="E261">
        <v>0</v>
      </c>
      <c r="F261">
        <v>0</v>
      </c>
      <c r="G261">
        <v>0</v>
      </c>
      <c r="H261">
        <v>1</v>
      </c>
      <c r="I261">
        <v>1</v>
      </c>
      <c r="J261">
        <v>1</v>
      </c>
      <c r="K261">
        <v>0</v>
      </c>
      <c r="L261">
        <v>0</v>
      </c>
      <c r="M261">
        <v>1</v>
      </c>
      <c r="N261">
        <v>1</v>
      </c>
      <c r="O261">
        <v>0</v>
      </c>
      <c r="P261">
        <v>1</v>
      </c>
      <c r="Q261">
        <v>0</v>
      </c>
    </row>
    <row r="262" spans="1:17" x14ac:dyDescent="0.3">
      <c r="A262">
        <v>0</v>
      </c>
      <c r="B262">
        <v>0</v>
      </c>
      <c r="C262">
        <v>0</v>
      </c>
      <c r="D262">
        <v>0</v>
      </c>
      <c r="E262">
        <v>1</v>
      </c>
      <c r="F262">
        <v>0</v>
      </c>
      <c r="G262">
        <v>1</v>
      </c>
      <c r="H262">
        <v>0</v>
      </c>
      <c r="I262">
        <v>1</v>
      </c>
      <c r="J262">
        <v>1</v>
      </c>
      <c r="K262">
        <v>1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1</v>
      </c>
    </row>
    <row r="263" spans="1:17" x14ac:dyDescent="0.3">
      <c r="A263">
        <v>1</v>
      </c>
      <c r="B263">
        <v>0</v>
      </c>
      <c r="C263">
        <v>0</v>
      </c>
      <c r="D263">
        <v>1</v>
      </c>
      <c r="E263">
        <v>1</v>
      </c>
      <c r="F263">
        <v>1</v>
      </c>
      <c r="G263">
        <v>0</v>
      </c>
      <c r="H263">
        <v>0</v>
      </c>
      <c r="I263">
        <v>1</v>
      </c>
      <c r="J263">
        <v>1</v>
      </c>
      <c r="K263">
        <v>0</v>
      </c>
      <c r="L263">
        <v>1</v>
      </c>
      <c r="M263">
        <v>1</v>
      </c>
      <c r="N263">
        <v>1</v>
      </c>
      <c r="O263">
        <v>0</v>
      </c>
      <c r="P263">
        <v>1</v>
      </c>
      <c r="Q263">
        <v>0</v>
      </c>
    </row>
    <row r="264" spans="1:17" x14ac:dyDescent="0.3">
      <c r="A264">
        <v>1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0</v>
      </c>
      <c r="J264">
        <v>0</v>
      </c>
      <c r="K264">
        <v>0</v>
      </c>
      <c r="L264">
        <v>1</v>
      </c>
      <c r="M264">
        <v>0</v>
      </c>
      <c r="N264">
        <v>1</v>
      </c>
      <c r="O264">
        <v>0</v>
      </c>
      <c r="P264">
        <v>0</v>
      </c>
      <c r="Q264">
        <v>1</v>
      </c>
    </row>
    <row r="265" spans="1:17" x14ac:dyDescent="0.3">
      <c r="A265">
        <v>0</v>
      </c>
      <c r="B265">
        <v>0</v>
      </c>
      <c r="C265">
        <v>0</v>
      </c>
      <c r="D265">
        <v>1</v>
      </c>
      <c r="E265">
        <v>1</v>
      </c>
      <c r="F265">
        <v>1</v>
      </c>
      <c r="G265">
        <v>1</v>
      </c>
      <c r="H265">
        <v>0</v>
      </c>
      <c r="I265">
        <v>0</v>
      </c>
      <c r="J265">
        <v>0</v>
      </c>
      <c r="K265">
        <v>1</v>
      </c>
      <c r="L265">
        <v>1</v>
      </c>
      <c r="M265">
        <v>1</v>
      </c>
      <c r="N265">
        <v>1</v>
      </c>
      <c r="O265">
        <v>0</v>
      </c>
      <c r="P265">
        <v>1</v>
      </c>
      <c r="Q265">
        <v>0</v>
      </c>
    </row>
    <row r="266" spans="1:17" x14ac:dyDescent="0.3">
      <c r="A266">
        <v>1</v>
      </c>
      <c r="B266">
        <v>0</v>
      </c>
      <c r="C266">
        <v>0</v>
      </c>
      <c r="D266">
        <v>0</v>
      </c>
      <c r="E266">
        <v>1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</row>
    <row r="267" spans="1:17" x14ac:dyDescent="0.3">
      <c r="A267">
        <v>1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1</v>
      </c>
    </row>
    <row r="268" spans="1:17" x14ac:dyDescent="0.3">
      <c r="A268">
        <v>1</v>
      </c>
      <c r="B268">
        <v>0</v>
      </c>
      <c r="C268">
        <v>1</v>
      </c>
      <c r="D268">
        <v>0</v>
      </c>
      <c r="E268">
        <v>0</v>
      </c>
      <c r="F268">
        <v>0</v>
      </c>
      <c r="G268">
        <v>0</v>
      </c>
      <c r="H268">
        <v>1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</row>
    <row r="269" spans="1:17" x14ac:dyDescent="0.3">
      <c r="A269">
        <v>0</v>
      </c>
      <c r="B269">
        <v>1</v>
      </c>
      <c r="C269">
        <v>0</v>
      </c>
      <c r="D269">
        <v>1</v>
      </c>
      <c r="E269">
        <v>1</v>
      </c>
      <c r="F269">
        <v>1</v>
      </c>
      <c r="G269">
        <v>1</v>
      </c>
      <c r="H269">
        <v>0</v>
      </c>
      <c r="I269">
        <v>1</v>
      </c>
      <c r="J269">
        <v>1</v>
      </c>
      <c r="K269">
        <v>0</v>
      </c>
      <c r="L269">
        <v>1</v>
      </c>
      <c r="M269">
        <v>1</v>
      </c>
      <c r="N269">
        <v>1</v>
      </c>
      <c r="O269">
        <v>1</v>
      </c>
      <c r="P269">
        <v>0</v>
      </c>
      <c r="Q269">
        <v>0</v>
      </c>
    </row>
    <row r="270" spans="1:17" x14ac:dyDescent="0.3">
      <c r="A270">
        <v>1</v>
      </c>
      <c r="B270">
        <v>1</v>
      </c>
      <c r="C270">
        <v>0</v>
      </c>
      <c r="D270">
        <v>1</v>
      </c>
      <c r="E270">
        <v>1</v>
      </c>
      <c r="F270">
        <v>0</v>
      </c>
      <c r="G270">
        <v>0</v>
      </c>
      <c r="H270">
        <v>1</v>
      </c>
      <c r="I270">
        <v>1</v>
      </c>
      <c r="J270">
        <v>0</v>
      </c>
      <c r="K270">
        <v>1</v>
      </c>
      <c r="L270">
        <v>0</v>
      </c>
      <c r="M270">
        <v>1</v>
      </c>
      <c r="N270">
        <v>1</v>
      </c>
      <c r="O270">
        <v>1</v>
      </c>
      <c r="P270">
        <v>1</v>
      </c>
      <c r="Q270">
        <v>1</v>
      </c>
    </row>
    <row r="271" spans="1:17" x14ac:dyDescent="0.3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1</v>
      </c>
    </row>
    <row r="272" spans="1:17" x14ac:dyDescent="0.3">
      <c r="A272">
        <v>0</v>
      </c>
      <c r="B272">
        <v>1</v>
      </c>
      <c r="C272">
        <v>0</v>
      </c>
      <c r="D272">
        <v>0</v>
      </c>
      <c r="E272">
        <v>1</v>
      </c>
      <c r="F272">
        <v>0</v>
      </c>
      <c r="G272">
        <v>0</v>
      </c>
      <c r="H272">
        <v>0</v>
      </c>
      <c r="I272">
        <v>0</v>
      </c>
      <c r="J272">
        <v>1</v>
      </c>
      <c r="K272">
        <v>1</v>
      </c>
      <c r="L272">
        <v>1</v>
      </c>
      <c r="M272">
        <v>0</v>
      </c>
      <c r="N272">
        <v>0</v>
      </c>
      <c r="O272">
        <v>1</v>
      </c>
      <c r="P272">
        <v>0</v>
      </c>
      <c r="Q272">
        <v>0</v>
      </c>
    </row>
    <row r="273" spans="1:17" x14ac:dyDescent="0.3">
      <c r="A273">
        <v>0</v>
      </c>
      <c r="B273">
        <v>1</v>
      </c>
      <c r="C273">
        <v>1</v>
      </c>
      <c r="D273">
        <v>1</v>
      </c>
      <c r="E273">
        <v>1</v>
      </c>
      <c r="F273">
        <v>0</v>
      </c>
      <c r="G273">
        <v>1</v>
      </c>
      <c r="H273">
        <v>0</v>
      </c>
      <c r="I273">
        <v>0</v>
      </c>
      <c r="J273">
        <v>0</v>
      </c>
      <c r="K273">
        <v>1</v>
      </c>
      <c r="L273">
        <v>1</v>
      </c>
      <c r="M273">
        <v>0</v>
      </c>
      <c r="N273">
        <v>0</v>
      </c>
      <c r="O273">
        <v>1</v>
      </c>
      <c r="P273">
        <v>1</v>
      </c>
      <c r="Q273">
        <v>1</v>
      </c>
    </row>
    <row r="274" spans="1:17" x14ac:dyDescent="0.3">
      <c r="A274">
        <v>0</v>
      </c>
      <c r="B274">
        <v>0</v>
      </c>
      <c r="C274">
        <v>0</v>
      </c>
      <c r="D274">
        <v>0</v>
      </c>
      <c r="E274">
        <v>1</v>
      </c>
      <c r="F274">
        <v>0</v>
      </c>
      <c r="G274">
        <v>0</v>
      </c>
      <c r="H274">
        <v>0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1</v>
      </c>
      <c r="O274">
        <v>0</v>
      </c>
      <c r="P274">
        <v>0</v>
      </c>
      <c r="Q274">
        <v>0</v>
      </c>
    </row>
    <row r="275" spans="1:17" x14ac:dyDescent="0.3">
      <c r="A275">
        <v>1</v>
      </c>
      <c r="B275">
        <v>1</v>
      </c>
      <c r="C275">
        <v>0</v>
      </c>
      <c r="D275">
        <v>1</v>
      </c>
      <c r="E275">
        <v>0</v>
      </c>
      <c r="F275">
        <v>0</v>
      </c>
      <c r="G275">
        <v>0</v>
      </c>
      <c r="H275">
        <v>1</v>
      </c>
      <c r="I275">
        <v>0</v>
      </c>
      <c r="J275">
        <v>0</v>
      </c>
      <c r="K275">
        <v>1</v>
      </c>
      <c r="L275">
        <v>1</v>
      </c>
      <c r="M275">
        <v>0</v>
      </c>
      <c r="N275">
        <v>1</v>
      </c>
      <c r="O275">
        <v>0</v>
      </c>
      <c r="P275">
        <v>0</v>
      </c>
      <c r="Q275">
        <v>1</v>
      </c>
    </row>
    <row r="276" spans="1:17" x14ac:dyDescent="0.3">
      <c r="A276">
        <v>0</v>
      </c>
      <c r="B276">
        <v>0</v>
      </c>
      <c r="C276">
        <v>0</v>
      </c>
      <c r="D276">
        <v>1</v>
      </c>
      <c r="E276">
        <v>0</v>
      </c>
      <c r="F276">
        <v>1</v>
      </c>
      <c r="G276">
        <v>0</v>
      </c>
      <c r="H276">
        <v>0</v>
      </c>
      <c r="I276">
        <v>1</v>
      </c>
      <c r="J276">
        <v>0</v>
      </c>
      <c r="K276">
        <v>1</v>
      </c>
      <c r="L276">
        <v>1</v>
      </c>
      <c r="M276">
        <v>1</v>
      </c>
      <c r="N276">
        <v>0</v>
      </c>
      <c r="O276">
        <v>0</v>
      </c>
      <c r="P276">
        <v>0</v>
      </c>
      <c r="Q276">
        <v>1</v>
      </c>
    </row>
    <row r="277" spans="1:17" x14ac:dyDescent="0.3">
      <c r="A277">
        <v>0</v>
      </c>
      <c r="B277">
        <v>0</v>
      </c>
      <c r="C277">
        <v>1</v>
      </c>
      <c r="D277">
        <v>0</v>
      </c>
      <c r="E277">
        <v>1</v>
      </c>
      <c r="F277">
        <v>1</v>
      </c>
      <c r="G277">
        <v>0</v>
      </c>
      <c r="H277">
        <v>0</v>
      </c>
      <c r="I277">
        <v>1</v>
      </c>
      <c r="J277">
        <v>1</v>
      </c>
      <c r="K277">
        <v>0</v>
      </c>
      <c r="L277">
        <v>1</v>
      </c>
      <c r="M277">
        <v>0</v>
      </c>
      <c r="N277">
        <v>1</v>
      </c>
      <c r="O277">
        <v>0</v>
      </c>
      <c r="P277">
        <v>0</v>
      </c>
      <c r="Q277">
        <v>0</v>
      </c>
    </row>
    <row r="278" spans="1:17" x14ac:dyDescent="0.3">
      <c r="A278">
        <v>1</v>
      </c>
      <c r="B278">
        <v>1</v>
      </c>
      <c r="C278">
        <v>1</v>
      </c>
      <c r="D278">
        <v>0</v>
      </c>
      <c r="E278">
        <v>1</v>
      </c>
      <c r="F278">
        <v>0</v>
      </c>
      <c r="G278">
        <v>1</v>
      </c>
      <c r="H278">
        <v>1</v>
      </c>
      <c r="I278">
        <v>0</v>
      </c>
      <c r="J278">
        <v>0</v>
      </c>
      <c r="K278">
        <v>0</v>
      </c>
      <c r="L278">
        <v>0</v>
      </c>
      <c r="M278">
        <v>1</v>
      </c>
      <c r="N278">
        <v>1</v>
      </c>
      <c r="O278">
        <v>1</v>
      </c>
      <c r="P278">
        <v>0</v>
      </c>
      <c r="Q278">
        <v>1</v>
      </c>
    </row>
    <row r="279" spans="1:17" x14ac:dyDescent="0.3">
      <c r="A279">
        <v>0</v>
      </c>
      <c r="B279">
        <v>0</v>
      </c>
      <c r="C279">
        <v>1</v>
      </c>
      <c r="D279">
        <v>1</v>
      </c>
      <c r="E279">
        <v>0</v>
      </c>
      <c r="F279">
        <v>0</v>
      </c>
      <c r="G279">
        <v>1</v>
      </c>
      <c r="H279">
        <v>1</v>
      </c>
      <c r="I279">
        <v>1</v>
      </c>
      <c r="J279">
        <v>0</v>
      </c>
      <c r="K279">
        <v>0</v>
      </c>
      <c r="L279">
        <v>1</v>
      </c>
      <c r="M279">
        <v>0</v>
      </c>
      <c r="N279">
        <v>1</v>
      </c>
      <c r="O279">
        <v>1</v>
      </c>
      <c r="P279">
        <v>0</v>
      </c>
      <c r="Q279">
        <v>0</v>
      </c>
    </row>
    <row r="280" spans="1:17" x14ac:dyDescent="0.3">
      <c r="A280">
        <v>0</v>
      </c>
      <c r="B280">
        <v>1</v>
      </c>
      <c r="C280">
        <v>1</v>
      </c>
      <c r="D280">
        <v>0</v>
      </c>
      <c r="E280">
        <v>1</v>
      </c>
      <c r="F280">
        <v>0</v>
      </c>
      <c r="G280">
        <v>0</v>
      </c>
      <c r="H280">
        <v>0</v>
      </c>
      <c r="I280">
        <v>0</v>
      </c>
      <c r="J280">
        <v>1</v>
      </c>
      <c r="K280">
        <v>0</v>
      </c>
      <c r="L280">
        <v>0</v>
      </c>
      <c r="M280">
        <v>0</v>
      </c>
      <c r="N280">
        <v>1</v>
      </c>
      <c r="O280">
        <v>1</v>
      </c>
      <c r="P280">
        <v>0</v>
      </c>
      <c r="Q280">
        <v>1</v>
      </c>
    </row>
    <row r="281" spans="1:17" x14ac:dyDescent="0.3">
      <c r="A281">
        <v>0</v>
      </c>
      <c r="B281">
        <v>1</v>
      </c>
      <c r="C281">
        <v>1</v>
      </c>
      <c r="D281">
        <v>0</v>
      </c>
      <c r="E281">
        <v>1</v>
      </c>
      <c r="F281">
        <v>0</v>
      </c>
      <c r="G281">
        <v>0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1</v>
      </c>
      <c r="N281">
        <v>1</v>
      </c>
      <c r="O281">
        <v>1</v>
      </c>
      <c r="P281">
        <v>0</v>
      </c>
      <c r="Q281">
        <v>1</v>
      </c>
    </row>
    <row r="282" spans="1:17" x14ac:dyDescent="0.3">
      <c r="A282">
        <v>1</v>
      </c>
      <c r="B282">
        <v>0</v>
      </c>
      <c r="C282">
        <v>0</v>
      </c>
      <c r="D282">
        <v>0</v>
      </c>
      <c r="E282">
        <v>1</v>
      </c>
      <c r="F282">
        <v>1</v>
      </c>
      <c r="G282">
        <v>0</v>
      </c>
      <c r="H282">
        <v>1</v>
      </c>
      <c r="I282">
        <v>0</v>
      </c>
      <c r="J282">
        <v>1</v>
      </c>
      <c r="K282">
        <v>1</v>
      </c>
      <c r="L282">
        <v>1</v>
      </c>
      <c r="M282">
        <v>0</v>
      </c>
      <c r="N282">
        <v>0</v>
      </c>
      <c r="O282">
        <v>0</v>
      </c>
      <c r="P282">
        <v>0</v>
      </c>
      <c r="Q282">
        <v>1</v>
      </c>
    </row>
    <row r="283" spans="1:17" x14ac:dyDescent="0.3">
      <c r="A283">
        <v>1</v>
      </c>
      <c r="B283">
        <v>1</v>
      </c>
      <c r="C283">
        <v>1</v>
      </c>
      <c r="D283">
        <v>0</v>
      </c>
      <c r="E283">
        <v>1</v>
      </c>
      <c r="F283">
        <v>0</v>
      </c>
      <c r="G283">
        <v>1</v>
      </c>
      <c r="H283">
        <v>0</v>
      </c>
      <c r="I283">
        <v>1</v>
      </c>
      <c r="J283">
        <v>0</v>
      </c>
      <c r="K283">
        <v>0</v>
      </c>
      <c r="L283">
        <v>1</v>
      </c>
      <c r="M283">
        <v>1</v>
      </c>
      <c r="N283">
        <v>0</v>
      </c>
      <c r="O283">
        <v>1</v>
      </c>
      <c r="P283">
        <v>1</v>
      </c>
      <c r="Q283">
        <v>0</v>
      </c>
    </row>
    <row r="284" spans="1:17" x14ac:dyDescent="0.3">
      <c r="A284">
        <v>0</v>
      </c>
      <c r="B284">
        <v>1</v>
      </c>
      <c r="C284">
        <v>1</v>
      </c>
      <c r="D284">
        <v>1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1</v>
      </c>
      <c r="M284">
        <v>1</v>
      </c>
      <c r="N284">
        <v>0</v>
      </c>
      <c r="O284">
        <v>1</v>
      </c>
      <c r="P284">
        <v>0</v>
      </c>
      <c r="Q284">
        <v>1</v>
      </c>
    </row>
    <row r="285" spans="1:17" x14ac:dyDescent="0.3">
      <c r="A285">
        <v>0</v>
      </c>
      <c r="B285">
        <v>0</v>
      </c>
      <c r="C285">
        <v>1</v>
      </c>
      <c r="D285">
        <v>1</v>
      </c>
      <c r="E285">
        <v>1</v>
      </c>
      <c r="F285">
        <v>0</v>
      </c>
      <c r="G285">
        <v>0</v>
      </c>
      <c r="H285">
        <v>1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1</v>
      </c>
      <c r="O285">
        <v>1</v>
      </c>
      <c r="P285">
        <v>0</v>
      </c>
      <c r="Q285">
        <v>1</v>
      </c>
    </row>
    <row r="286" spans="1:17" x14ac:dyDescent="0.3">
      <c r="A286">
        <v>0</v>
      </c>
      <c r="B286">
        <v>1</v>
      </c>
      <c r="C286">
        <v>1</v>
      </c>
      <c r="D286">
        <v>0</v>
      </c>
      <c r="E286">
        <v>1</v>
      </c>
      <c r="F286">
        <v>0</v>
      </c>
      <c r="G286">
        <v>1</v>
      </c>
      <c r="H286">
        <v>1</v>
      </c>
      <c r="I286">
        <v>0</v>
      </c>
      <c r="J286">
        <v>0</v>
      </c>
      <c r="K286">
        <v>1</v>
      </c>
      <c r="L286">
        <v>1</v>
      </c>
      <c r="M286">
        <v>1</v>
      </c>
      <c r="N286">
        <v>0</v>
      </c>
      <c r="O286">
        <v>0</v>
      </c>
      <c r="P286">
        <v>1</v>
      </c>
      <c r="Q286">
        <v>1</v>
      </c>
    </row>
    <row r="287" spans="1:17" x14ac:dyDescent="0.3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1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1</v>
      </c>
      <c r="O287">
        <v>1</v>
      </c>
      <c r="P287">
        <v>0</v>
      </c>
      <c r="Q287">
        <v>1</v>
      </c>
    </row>
    <row r="288" spans="1:17" x14ac:dyDescent="0.3">
      <c r="A288">
        <v>1</v>
      </c>
      <c r="B288">
        <v>0</v>
      </c>
      <c r="C288">
        <v>1</v>
      </c>
      <c r="D288">
        <v>0</v>
      </c>
      <c r="E288">
        <v>0</v>
      </c>
      <c r="F288">
        <v>0</v>
      </c>
      <c r="G288">
        <v>1</v>
      </c>
      <c r="H288">
        <v>0</v>
      </c>
      <c r="I288">
        <v>1</v>
      </c>
      <c r="J288">
        <v>0</v>
      </c>
      <c r="K288">
        <v>1</v>
      </c>
      <c r="L288">
        <v>0</v>
      </c>
      <c r="M288">
        <v>1</v>
      </c>
      <c r="N288">
        <v>0</v>
      </c>
      <c r="O288">
        <v>1</v>
      </c>
      <c r="P288">
        <v>0</v>
      </c>
      <c r="Q288">
        <v>1</v>
      </c>
    </row>
    <row r="289" spans="1:17" x14ac:dyDescent="0.3">
      <c r="A289">
        <v>1</v>
      </c>
      <c r="B289">
        <v>1</v>
      </c>
      <c r="C289">
        <v>0</v>
      </c>
      <c r="D289">
        <v>0</v>
      </c>
      <c r="E289">
        <v>0</v>
      </c>
      <c r="F289">
        <v>1</v>
      </c>
      <c r="G289">
        <v>1</v>
      </c>
      <c r="H289">
        <v>1</v>
      </c>
      <c r="I289">
        <v>0</v>
      </c>
      <c r="J289">
        <v>1</v>
      </c>
      <c r="K289">
        <v>1</v>
      </c>
      <c r="L289">
        <v>0</v>
      </c>
      <c r="M289">
        <v>1</v>
      </c>
      <c r="N289">
        <v>0</v>
      </c>
      <c r="O289">
        <v>1</v>
      </c>
      <c r="P289">
        <v>1</v>
      </c>
      <c r="Q289">
        <v>1</v>
      </c>
    </row>
    <row r="290" spans="1:17" x14ac:dyDescent="0.3">
      <c r="A290">
        <v>0</v>
      </c>
      <c r="B290">
        <v>1</v>
      </c>
      <c r="C290">
        <v>1</v>
      </c>
      <c r="D290">
        <v>0</v>
      </c>
      <c r="E290">
        <v>0</v>
      </c>
      <c r="F290">
        <v>1</v>
      </c>
      <c r="G290">
        <v>0</v>
      </c>
      <c r="H290">
        <v>0</v>
      </c>
      <c r="I290">
        <v>1</v>
      </c>
      <c r="J290">
        <v>1</v>
      </c>
      <c r="K290">
        <v>1</v>
      </c>
      <c r="L290">
        <v>1</v>
      </c>
      <c r="M290">
        <v>0</v>
      </c>
      <c r="N290">
        <v>1</v>
      </c>
      <c r="O290">
        <v>0</v>
      </c>
      <c r="P290">
        <v>1</v>
      </c>
      <c r="Q290">
        <v>0</v>
      </c>
    </row>
    <row r="291" spans="1:17" x14ac:dyDescent="0.3">
      <c r="A291">
        <v>1</v>
      </c>
      <c r="B291">
        <v>1</v>
      </c>
      <c r="C291">
        <v>0</v>
      </c>
      <c r="D291">
        <v>1</v>
      </c>
      <c r="E291">
        <v>0</v>
      </c>
      <c r="F291">
        <v>1</v>
      </c>
      <c r="G291">
        <v>0</v>
      </c>
      <c r="H291">
        <v>0</v>
      </c>
      <c r="I291">
        <v>0</v>
      </c>
      <c r="J291">
        <v>1</v>
      </c>
      <c r="K291">
        <v>0</v>
      </c>
      <c r="L291">
        <v>1</v>
      </c>
      <c r="M291">
        <v>0</v>
      </c>
      <c r="N291">
        <v>0</v>
      </c>
      <c r="O291">
        <v>0</v>
      </c>
      <c r="P291">
        <v>1</v>
      </c>
      <c r="Q291">
        <v>1</v>
      </c>
    </row>
    <row r="292" spans="1:17" x14ac:dyDescent="0.3">
      <c r="A292">
        <v>1</v>
      </c>
      <c r="B292">
        <v>0</v>
      </c>
      <c r="C292">
        <v>1</v>
      </c>
      <c r="D292">
        <v>1</v>
      </c>
      <c r="E292">
        <v>1</v>
      </c>
      <c r="F292">
        <v>0</v>
      </c>
      <c r="G292">
        <v>1</v>
      </c>
      <c r="H292">
        <v>1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</v>
      </c>
      <c r="P292">
        <v>1</v>
      </c>
      <c r="Q292">
        <v>0</v>
      </c>
    </row>
    <row r="293" spans="1:17" x14ac:dyDescent="0.3">
      <c r="A293">
        <v>1</v>
      </c>
      <c r="B293">
        <v>1</v>
      </c>
      <c r="C293">
        <v>0</v>
      </c>
      <c r="D293">
        <v>0</v>
      </c>
      <c r="E293">
        <v>0</v>
      </c>
      <c r="F293">
        <v>1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1</v>
      </c>
      <c r="M293">
        <v>1</v>
      </c>
      <c r="N293">
        <v>1</v>
      </c>
      <c r="O293">
        <v>0</v>
      </c>
      <c r="P293">
        <v>1</v>
      </c>
      <c r="Q293">
        <v>0</v>
      </c>
    </row>
    <row r="294" spans="1:17" x14ac:dyDescent="0.3">
      <c r="A294">
        <v>0</v>
      </c>
      <c r="B294">
        <v>0</v>
      </c>
      <c r="C294">
        <v>1</v>
      </c>
      <c r="D294">
        <v>1</v>
      </c>
      <c r="E294">
        <v>0</v>
      </c>
      <c r="F294">
        <v>1</v>
      </c>
      <c r="G294">
        <v>1</v>
      </c>
      <c r="H294">
        <v>0</v>
      </c>
      <c r="I294">
        <v>1</v>
      </c>
      <c r="J294">
        <v>0</v>
      </c>
      <c r="K294">
        <v>1</v>
      </c>
      <c r="L294">
        <v>0</v>
      </c>
      <c r="M294">
        <v>0</v>
      </c>
      <c r="N294">
        <v>1</v>
      </c>
      <c r="O294">
        <v>0</v>
      </c>
      <c r="P294">
        <v>1</v>
      </c>
      <c r="Q294">
        <v>1</v>
      </c>
    </row>
    <row r="295" spans="1:17" x14ac:dyDescent="0.3">
      <c r="A295">
        <v>1</v>
      </c>
      <c r="B295">
        <v>0</v>
      </c>
      <c r="C295">
        <v>1</v>
      </c>
      <c r="D295">
        <v>0</v>
      </c>
      <c r="E295">
        <v>1</v>
      </c>
      <c r="F295">
        <v>0</v>
      </c>
      <c r="G295">
        <v>1</v>
      </c>
      <c r="H295">
        <v>0</v>
      </c>
      <c r="I295">
        <v>1</v>
      </c>
      <c r="J295">
        <v>0</v>
      </c>
      <c r="K295">
        <v>1</v>
      </c>
      <c r="L295">
        <v>1</v>
      </c>
      <c r="M295">
        <v>0</v>
      </c>
      <c r="N295">
        <v>0</v>
      </c>
      <c r="O295">
        <v>1</v>
      </c>
      <c r="P295">
        <v>1</v>
      </c>
      <c r="Q295">
        <v>0</v>
      </c>
    </row>
    <row r="296" spans="1:17" x14ac:dyDescent="0.3">
      <c r="A296">
        <v>1</v>
      </c>
      <c r="B296">
        <v>0</v>
      </c>
      <c r="C296">
        <v>1</v>
      </c>
      <c r="D296">
        <v>1</v>
      </c>
      <c r="E296">
        <v>1</v>
      </c>
      <c r="F296">
        <v>1</v>
      </c>
      <c r="G296">
        <v>0</v>
      </c>
      <c r="H296">
        <v>1</v>
      </c>
      <c r="I296">
        <v>1</v>
      </c>
      <c r="J296">
        <v>1</v>
      </c>
      <c r="K296">
        <v>0</v>
      </c>
      <c r="L296">
        <v>1</v>
      </c>
      <c r="M296">
        <v>0</v>
      </c>
      <c r="N296">
        <v>0</v>
      </c>
      <c r="O296">
        <v>0</v>
      </c>
      <c r="P296">
        <v>1</v>
      </c>
      <c r="Q296">
        <v>0</v>
      </c>
    </row>
    <row r="297" spans="1:17" x14ac:dyDescent="0.3">
      <c r="A297">
        <v>1</v>
      </c>
      <c r="B297">
        <v>0</v>
      </c>
      <c r="C297">
        <v>1</v>
      </c>
      <c r="D297">
        <v>1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</v>
      </c>
      <c r="N297">
        <v>1</v>
      </c>
      <c r="O297">
        <v>1</v>
      </c>
      <c r="P297">
        <v>1</v>
      </c>
      <c r="Q297">
        <v>1</v>
      </c>
    </row>
    <row r="298" spans="1:17" x14ac:dyDescent="0.3">
      <c r="A298">
        <v>0</v>
      </c>
      <c r="B298">
        <v>0</v>
      </c>
      <c r="C298">
        <v>0</v>
      </c>
      <c r="D298">
        <v>1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</v>
      </c>
      <c r="Q298">
        <v>0</v>
      </c>
    </row>
    <row r="299" spans="1:17" x14ac:dyDescent="0.3">
      <c r="A299">
        <v>1</v>
      </c>
      <c r="B299">
        <v>0</v>
      </c>
      <c r="C299">
        <v>0</v>
      </c>
      <c r="D299">
        <v>1</v>
      </c>
      <c r="E299">
        <v>1</v>
      </c>
      <c r="F299">
        <v>1</v>
      </c>
      <c r="G299">
        <v>0</v>
      </c>
      <c r="H299">
        <v>1</v>
      </c>
      <c r="I299">
        <v>0</v>
      </c>
      <c r="J299">
        <v>0</v>
      </c>
      <c r="K299">
        <v>1</v>
      </c>
      <c r="L299">
        <v>1</v>
      </c>
      <c r="M299">
        <v>0</v>
      </c>
      <c r="N299">
        <v>1</v>
      </c>
      <c r="O299">
        <v>1</v>
      </c>
      <c r="P299">
        <v>1</v>
      </c>
      <c r="Q299">
        <v>1</v>
      </c>
    </row>
    <row r="300" spans="1:17" x14ac:dyDescent="0.3">
      <c r="A300">
        <v>1</v>
      </c>
      <c r="B300">
        <v>0</v>
      </c>
      <c r="C300">
        <v>0</v>
      </c>
      <c r="D300">
        <v>0</v>
      </c>
      <c r="E300">
        <v>1</v>
      </c>
      <c r="F300">
        <v>0</v>
      </c>
      <c r="G300">
        <v>0</v>
      </c>
      <c r="H300">
        <v>0</v>
      </c>
      <c r="I300">
        <v>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1</v>
      </c>
    </row>
    <row r="301" spans="1:17" x14ac:dyDescent="0.3">
      <c r="A301">
        <v>0</v>
      </c>
      <c r="B301">
        <v>0</v>
      </c>
      <c r="C301">
        <v>0</v>
      </c>
      <c r="D301">
        <v>1</v>
      </c>
      <c r="E301">
        <v>0</v>
      </c>
      <c r="F301">
        <v>0</v>
      </c>
      <c r="G301">
        <v>1</v>
      </c>
      <c r="H301">
        <v>1</v>
      </c>
      <c r="I301">
        <v>1</v>
      </c>
      <c r="J301">
        <v>1</v>
      </c>
      <c r="K301">
        <v>0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</row>
    <row r="302" spans="1:17" x14ac:dyDescent="0.3">
      <c r="A302">
        <v>0</v>
      </c>
      <c r="B302">
        <v>1</v>
      </c>
      <c r="C302">
        <v>0</v>
      </c>
      <c r="D302">
        <v>1</v>
      </c>
      <c r="E302">
        <v>0</v>
      </c>
      <c r="F302">
        <v>1</v>
      </c>
      <c r="G302">
        <v>1</v>
      </c>
      <c r="H302">
        <v>0</v>
      </c>
      <c r="I302">
        <v>1</v>
      </c>
      <c r="J302">
        <v>0</v>
      </c>
      <c r="K302">
        <v>1</v>
      </c>
      <c r="L302">
        <v>0</v>
      </c>
      <c r="M302">
        <v>1</v>
      </c>
      <c r="N302">
        <v>0</v>
      </c>
      <c r="O302">
        <v>1</v>
      </c>
      <c r="P302">
        <v>1</v>
      </c>
      <c r="Q302">
        <v>0</v>
      </c>
    </row>
    <row r="303" spans="1:17" x14ac:dyDescent="0.3">
      <c r="A303">
        <v>1</v>
      </c>
      <c r="B303">
        <v>1</v>
      </c>
      <c r="C303">
        <v>0</v>
      </c>
      <c r="D303">
        <v>1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</v>
      </c>
      <c r="Q303">
        <v>1</v>
      </c>
    </row>
    <row r="304" spans="1:17" x14ac:dyDescent="0.3">
      <c r="A304">
        <v>1</v>
      </c>
      <c r="B304">
        <v>0</v>
      </c>
      <c r="C304">
        <v>0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0</v>
      </c>
      <c r="J304">
        <v>0</v>
      </c>
      <c r="K304">
        <v>0</v>
      </c>
      <c r="L304">
        <v>1</v>
      </c>
      <c r="M304">
        <v>1</v>
      </c>
      <c r="N304">
        <v>0</v>
      </c>
      <c r="O304">
        <v>1</v>
      </c>
      <c r="P304">
        <v>0</v>
      </c>
      <c r="Q304">
        <v>0</v>
      </c>
    </row>
    <row r="305" spans="1:17" x14ac:dyDescent="0.3">
      <c r="A305">
        <v>1</v>
      </c>
      <c r="B305">
        <v>1</v>
      </c>
      <c r="C305">
        <v>0</v>
      </c>
      <c r="D305">
        <v>0</v>
      </c>
      <c r="E305">
        <v>1</v>
      </c>
      <c r="F305">
        <v>0</v>
      </c>
      <c r="G305">
        <v>1</v>
      </c>
      <c r="H305">
        <v>0</v>
      </c>
      <c r="I305">
        <v>0</v>
      </c>
      <c r="J305">
        <v>0</v>
      </c>
      <c r="K305">
        <v>1</v>
      </c>
      <c r="L305">
        <v>1</v>
      </c>
      <c r="M305">
        <v>0</v>
      </c>
      <c r="N305">
        <v>1</v>
      </c>
      <c r="O305">
        <v>0</v>
      </c>
      <c r="P305">
        <v>1</v>
      </c>
      <c r="Q305">
        <v>1</v>
      </c>
    </row>
    <row r="306" spans="1:17" x14ac:dyDescent="0.3">
      <c r="A306">
        <v>0</v>
      </c>
      <c r="B306">
        <v>0</v>
      </c>
      <c r="C306">
        <v>0</v>
      </c>
      <c r="D306">
        <v>1</v>
      </c>
      <c r="E306">
        <v>1</v>
      </c>
      <c r="F306">
        <v>0</v>
      </c>
      <c r="G306">
        <v>0</v>
      </c>
      <c r="H306">
        <v>1</v>
      </c>
      <c r="I306">
        <v>0</v>
      </c>
      <c r="J306">
        <v>0</v>
      </c>
      <c r="K306">
        <v>1</v>
      </c>
      <c r="L306">
        <v>0</v>
      </c>
      <c r="M306">
        <v>1</v>
      </c>
      <c r="N306">
        <v>0</v>
      </c>
      <c r="O306">
        <v>0</v>
      </c>
      <c r="P306">
        <v>0</v>
      </c>
      <c r="Q306">
        <v>0</v>
      </c>
    </row>
    <row r="307" spans="1:17" x14ac:dyDescent="0.3">
      <c r="A307">
        <v>1</v>
      </c>
      <c r="B307">
        <v>0</v>
      </c>
      <c r="C307">
        <v>0</v>
      </c>
      <c r="D307">
        <v>0</v>
      </c>
      <c r="E307">
        <v>0</v>
      </c>
      <c r="F307">
        <v>1</v>
      </c>
      <c r="G307">
        <v>0</v>
      </c>
      <c r="H307">
        <v>0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</row>
    <row r="308" spans="1:17" x14ac:dyDescent="0.3">
      <c r="A308">
        <v>0</v>
      </c>
      <c r="B308">
        <v>0</v>
      </c>
      <c r="C308">
        <v>1</v>
      </c>
      <c r="D308">
        <v>0</v>
      </c>
      <c r="E308">
        <v>0</v>
      </c>
      <c r="F308">
        <v>0</v>
      </c>
      <c r="G308">
        <v>1</v>
      </c>
      <c r="H308">
        <v>0</v>
      </c>
      <c r="I308">
        <v>1</v>
      </c>
      <c r="J308">
        <v>1</v>
      </c>
      <c r="K308">
        <v>1</v>
      </c>
      <c r="L308">
        <v>0</v>
      </c>
      <c r="M308">
        <v>1</v>
      </c>
      <c r="N308">
        <v>0</v>
      </c>
      <c r="O308">
        <v>1</v>
      </c>
      <c r="P308">
        <v>0</v>
      </c>
      <c r="Q308">
        <v>1</v>
      </c>
    </row>
    <row r="309" spans="1:17" x14ac:dyDescent="0.3">
      <c r="A309">
        <v>0</v>
      </c>
      <c r="B309">
        <v>0</v>
      </c>
      <c r="C309">
        <v>1</v>
      </c>
      <c r="D309">
        <v>0</v>
      </c>
      <c r="E309">
        <v>1</v>
      </c>
      <c r="F309">
        <v>0</v>
      </c>
      <c r="G309">
        <v>1</v>
      </c>
      <c r="H309">
        <v>0</v>
      </c>
      <c r="I309">
        <v>0</v>
      </c>
      <c r="J309">
        <v>1</v>
      </c>
      <c r="K309">
        <v>1</v>
      </c>
      <c r="L309">
        <v>1</v>
      </c>
      <c r="M309">
        <v>1</v>
      </c>
      <c r="N309">
        <v>0</v>
      </c>
      <c r="O309">
        <v>1</v>
      </c>
      <c r="P309">
        <v>1</v>
      </c>
      <c r="Q309">
        <v>1</v>
      </c>
    </row>
    <row r="310" spans="1:17" x14ac:dyDescent="0.3">
      <c r="A310">
        <v>0</v>
      </c>
      <c r="B310">
        <v>0</v>
      </c>
      <c r="C310">
        <v>1</v>
      </c>
      <c r="D310">
        <v>1</v>
      </c>
      <c r="E310">
        <v>1</v>
      </c>
      <c r="F310">
        <v>0</v>
      </c>
      <c r="G310">
        <v>0</v>
      </c>
      <c r="H310">
        <v>1</v>
      </c>
      <c r="I310">
        <v>1</v>
      </c>
      <c r="J310">
        <v>0</v>
      </c>
      <c r="K310">
        <v>0</v>
      </c>
      <c r="L310">
        <v>1</v>
      </c>
      <c r="M310">
        <v>0</v>
      </c>
      <c r="N310">
        <v>1</v>
      </c>
      <c r="O310">
        <v>0</v>
      </c>
      <c r="P310">
        <v>0</v>
      </c>
      <c r="Q310">
        <v>0</v>
      </c>
    </row>
    <row r="311" spans="1:17" x14ac:dyDescent="0.3">
      <c r="A311">
        <v>0</v>
      </c>
      <c r="B311">
        <v>0</v>
      </c>
      <c r="C311">
        <v>0</v>
      </c>
      <c r="D311">
        <v>0</v>
      </c>
      <c r="E311">
        <v>1</v>
      </c>
      <c r="F311">
        <v>1</v>
      </c>
      <c r="G311">
        <v>0</v>
      </c>
      <c r="H311">
        <v>1</v>
      </c>
      <c r="I311">
        <v>0</v>
      </c>
      <c r="J311">
        <v>1</v>
      </c>
      <c r="K311">
        <v>0</v>
      </c>
      <c r="L311">
        <v>0</v>
      </c>
      <c r="M311">
        <v>1</v>
      </c>
      <c r="N311">
        <v>1</v>
      </c>
      <c r="O311">
        <v>0</v>
      </c>
      <c r="P311">
        <v>1</v>
      </c>
      <c r="Q311">
        <v>1</v>
      </c>
    </row>
    <row r="312" spans="1:17" x14ac:dyDescent="0.3">
      <c r="A312">
        <v>0</v>
      </c>
      <c r="B312">
        <v>0</v>
      </c>
      <c r="C312">
        <v>0</v>
      </c>
      <c r="D312">
        <v>0</v>
      </c>
      <c r="E312">
        <v>0</v>
      </c>
      <c r="F312">
        <v>1</v>
      </c>
      <c r="G312">
        <v>0</v>
      </c>
      <c r="H312">
        <v>1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</v>
      </c>
      <c r="Q312">
        <v>1</v>
      </c>
    </row>
    <row r="313" spans="1:17" x14ac:dyDescent="0.3">
      <c r="A313">
        <v>0</v>
      </c>
      <c r="B313">
        <v>0</v>
      </c>
      <c r="C313">
        <v>1</v>
      </c>
      <c r="D313">
        <v>1</v>
      </c>
      <c r="E313">
        <v>0</v>
      </c>
      <c r="F313">
        <v>1</v>
      </c>
      <c r="G313">
        <v>1</v>
      </c>
      <c r="H313">
        <v>0</v>
      </c>
      <c r="I313">
        <v>0</v>
      </c>
      <c r="J313">
        <v>1</v>
      </c>
      <c r="K313">
        <v>0</v>
      </c>
      <c r="L313">
        <v>0</v>
      </c>
      <c r="M313">
        <v>1</v>
      </c>
      <c r="N313">
        <v>0</v>
      </c>
      <c r="O313">
        <v>0</v>
      </c>
      <c r="P313">
        <v>1</v>
      </c>
      <c r="Q313">
        <v>0</v>
      </c>
    </row>
    <row r="314" spans="1:17" x14ac:dyDescent="0.3">
      <c r="A314">
        <v>0</v>
      </c>
      <c r="B314">
        <v>0</v>
      </c>
      <c r="C314">
        <v>1</v>
      </c>
      <c r="D314">
        <v>0</v>
      </c>
      <c r="E314">
        <v>1</v>
      </c>
      <c r="F314">
        <v>1</v>
      </c>
      <c r="G314">
        <v>0</v>
      </c>
      <c r="H314">
        <v>1</v>
      </c>
      <c r="I314">
        <v>1</v>
      </c>
      <c r="J314">
        <v>1</v>
      </c>
      <c r="K314">
        <v>1</v>
      </c>
      <c r="L314">
        <v>0</v>
      </c>
      <c r="M314">
        <v>1</v>
      </c>
      <c r="N314">
        <v>0</v>
      </c>
      <c r="O314">
        <v>1</v>
      </c>
      <c r="P314">
        <v>0</v>
      </c>
      <c r="Q314">
        <v>0</v>
      </c>
    </row>
    <row r="315" spans="1:17" x14ac:dyDescent="0.3">
      <c r="A315">
        <v>1</v>
      </c>
      <c r="B315">
        <v>1</v>
      </c>
      <c r="C315">
        <v>1</v>
      </c>
      <c r="D315">
        <v>1</v>
      </c>
      <c r="E315">
        <v>0</v>
      </c>
      <c r="F315">
        <v>1</v>
      </c>
      <c r="G315">
        <v>1</v>
      </c>
      <c r="H315">
        <v>0</v>
      </c>
      <c r="I315">
        <v>0</v>
      </c>
      <c r="J315">
        <v>1</v>
      </c>
      <c r="K315">
        <v>0</v>
      </c>
      <c r="L315">
        <v>1</v>
      </c>
      <c r="M315">
        <v>1</v>
      </c>
      <c r="N315">
        <v>0</v>
      </c>
      <c r="O315">
        <v>0</v>
      </c>
      <c r="P315">
        <v>0</v>
      </c>
      <c r="Q315">
        <v>0</v>
      </c>
    </row>
    <row r="316" spans="1:17" x14ac:dyDescent="0.3">
      <c r="A316">
        <v>1</v>
      </c>
      <c r="B316">
        <v>1</v>
      </c>
      <c r="C316">
        <v>0</v>
      </c>
      <c r="D316">
        <v>0</v>
      </c>
      <c r="E316">
        <v>1</v>
      </c>
      <c r="F316">
        <v>1</v>
      </c>
      <c r="G316">
        <v>1</v>
      </c>
      <c r="H316">
        <v>1</v>
      </c>
      <c r="I316">
        <v>0</v>
      </c>
      <c r="J316">
        <v>1</v>
      </c>
      <c r="K316">
        <v>0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</row>
    <row r="317" spans="1:17" x14ac:dyDescent="0.3">
      <c r="A317">
        <v>0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0</v>
      </c>
      <c r="L317">
        <v>0</v>
      </c>
      <c r="M317">
        <v>0</v>
      </c>
      <c r="N317">
        <v>0</v>
      </c>
      <c r="O317">
        <v>1</v>
      </c>
      <c r="P317">
        <v>1</v>
      </c>
      <c r="Q317">
        <v>1</v>
      </c>
    </row>
    <row r="318" spans="1:17" x14ac:dyDescent="0.3">
      <c r="A318">
        <v>0</v>
      </c>
      <c r="B318">
        <v>0</v>
      </c>
      <c r="C318">
        <v>1</v>
      </c>
      <c r="D318">
        <v>1</v>
      </c>
      <c r="E318">
        <v>0</v>
      </c>
      <c r="F318">
        <v>0</v>
      </c>
      <c r="G318">
        <v>1</v>
      </c>
      <c r="H318">
        <v>0</v>
      </c>
      <c r="I318">
        <v>1</v>
      </c>
      <c r="J318">
        <v>0</v>
      </c>
      <c r="K318">
        <v>1</v>
      </c>
      <c r="L318">
        <v>1</v>
      </c>
      <c r="M318">
        <v>0</v>
      </c>
      <c r="N318">
        <v>0</v>
      </c>
      <c r="O318">
        <v>0</v>
      </c>
      <c r="P318">
        <v>0</v>
      </c>
      <c r="Q318">
        <v>1</v>
      </c>
    </row>
    <row r="319" spans="1:17" x14ac:dyDescent="0.3">
      <c r="A319">
        <v>0</v>
      </c>
      <c r="B319">
        <v>1</v>
      </c>
      <c r="C319">
        <v>0</v>
      </c>
      <c r="D319">
        <v>1</v>
      </c>
      <c r="E319">
        <v>1</v>
      </c>
      <c r="F319">
        <v>0</v>
      </c>
      <c r="G319">
        <v>0</v>
      </c>
      <c r="H319">
        <v>0</v>
      </c>
      <c r="I319">
        <v>1</v>
      </c>
      <c r="J319">
        <v>1</v>
      </c>
      <c r="K319">
        <v>0</v>
      </c>
      <c r="L319">
        <v>0</v>
      </c>
      <c r="M319">
        <v>1</v>
      </c>
      <c r="N319">
        <v>0</v>
      </c>
      <c r="O319">
        <v>1</v>
      </c>
      <c r="P319">
        <v>0</v>
      </c>
      <c r="Q319">
        <v>1</v>
      </c>
    </row>
    <row r="320" spans="1:17" x14ac:dyDescent="0.3">
      <c r="A320">
        <v>1</v>
      </c>
      <c r="B320">
        <v>0</v>
      </c>
      <c r="C320">
        <v>0</v>
      </c>
      <c r="D320">
        <v>0</v>
      </c>
      <c r="E320">
        <v>1</v>
      </c>
      <c r="F320">
        <v>0</v>
      </c>
      <c r="G320">
        <v>1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1</v>
      </c>
      <c r="O320">
        <v>1</v>
      </c>
      <c r="P320">
        <v>1</v>
      </c>
      <c r="Q320">
        <v>0</v>
      </c>
    </row>
    <row r="321" spans="1:17" x14ac:dyDescent="0.3">
      <c r="A321">
        <v>1</v>
      </c>
      <c r="B321">
        <v>0</v>
      </c>
      <c r="C321">
        <v>0</v>
      </c>
      <c r="D321">
        <v>1</v>
      </c>
      <c r="E321">
        <v>0</v>
      </c>
      <c r="F321">
        <v>1</v>
      </c>
      <c r="G321">
        <v>0</v>
      </c>
      <c r="H321">
        <v>1</v>
      </c>
      <c r="I321">
        <v>1</v>
      </c>
      <c r="J321">
        <v>0</v>
      </c>
      <c r="K321">
        <v>0</v>
      </c>
      <c r="L321">
        <v>0</v>
      </c>
      <c r="M321">
        <v>1</v>
      </c>
      <c r="N321">
        <v>0</v>
      </c>
      <c r="O321">
        <v>1</v>
      </c>
      <c r="P321">
        <v>1</v>
      </c>
      <c r="Q321">
        <v>1</v>
      </c>
    </row>
    <row r="322" spans="1:17" x14ac:dyDescent="0.3">
      <c r="A322">
        <v>0</v>
      </c>
      <c r="B322">
        <v>1</v>
      </c>
      <c r="C322">
        <v>0</v>
      </c>
      <c r="D322">
        <v>1</v>
      </c>
      <c r="E322">
        <v>1</v>
      </c>
      <c r="F322">
        <v>1</v>
      </c>
      <c r="G322">
        <v>0</v>
      </c>
      <c r="H322">
        <v>1</v>
      </c>
      <c r="I322">
        <v>1</v>
      </c>
      <c r="J322">
        <v>0</v>
      </c>
      <c r="K322">
        <v>0</v>
      </c>
      <c r="L322">
        <v>1</v>
      </c>
      <c r="M322">
        <v>0</v>
      </c>
      <c r="N322">
        <v>0</v>
      </c>
      <c r="O322">
        <v>0</v>
      </c>
      <c r="P322">
        <v>0</v>
      </c>
      <c r="Q322">
        <v>1</v>
      </c>
    </row>
    <row r="323" spans="1:17" x14ac:dyDescent="0.3">
      <c r="A323">
        <v>1</v>
      </c>
      <c r="B323">
        <v>0</v>
      </c>
      <c r="C323">
        <v>0</v>
      </c>
      <c r="D323">
        <v>0</v>
      </c>
      <c r="E323">
        <v>0</v>
      </c>
      <c r="F323">
        <v>1</v>
      </c>
      <c r="G323">
        <v>1</v>
      </c>
      <c r="H323">
        <v>0</v>
      </c>
      <c r="I323">
        <v>0</v>
      </c>
      <c r="J323">
        <v>0</v>
      </c>
      <c r="K323">
        <v>0</v>
      </c>
      <c r="L323">
        <v>1</v>
      </c>
      <c r="M323">
        <v>0</v>
      </c>
      <c r="N323">
        <v>1</v>
      </c>
      <c r="O323">
        <v>0</v>
      </c>
      <c r="P323">
        <v>1</v>
      </c>
      <c r="Q323">
        <v>0</v>
      </c>
    </row>
    <row r="324" spans="1:17" x14ac:dyDescent="0.3">
      <c r="A324">
        <v>1</v>
      </c>
      <c r="B324">
        <v>0</v>
      </c>
      <c r="C324">
        <v>0</v>
      </c>
      <c r="D324">
        <v>0</v>
      </c>
      <c r="E324">
        <v>0</v>
      </c>
      <c r="F324">
        <v>1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1</v>
      </c>
      <c r="M324">
        <v>0</v>
      </c>
      <c r="N324">
        <v>0</v>
      </c>
      <c r="O324">
        <v>1</v>
      </c>
      <c r="P324">
        <v>0</v>
      </c>
      <c r="Q324">
        <v>0</v>
      </c>
    </row>
    <row r="325" spans="1:17" x14ac:dyDescent="0.3">
      <c r="A325">
        <v>1</v>
      </c>
      <c r="B325">
        <v>0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0</v>
      </c>
      <c r="N325">
        <v>1</v>
      </c>
      <c r="O325">
        <v>1</v>
      </c>
      <c r="P325">
        <v>0</v>
      </c>
      <c r="Q325">
        <v>0</v>
      </c>
    </row>
    <row r="326" spans="1:17" x14ac:dyDescent="0.3">
      <c r="A326">
        <v>0</v>
      </c>
      <c r="B326">
        <v>0</v>
      </c>
      <c r="C326">
        <v>1</v>
      </c>
      <c r="D326">
        <v>0</v>
      </c>
      <c r="E326">
        <v>0</v>
      </c>
      <c r="F326">
        <v>1</v>
      </c>
      <c r="G326">
        <v>1</v>
      </c>
      <c r="H326">
        <v>1</v>
      </c>
      <c r="I326">
        <v>0</v>
      </c>
      <c r="J326">
        <v>0</v>
      </c>
      <c r="K326">
        <v>1</v>
      </c>
      <c r="L326">
        <v>0</v>
      </c>
      <c r="M326">
        <v>0</v>
      </c>
      <c r="N326">
        <v>0</v>
      </c>
      <c r="O326">
        <v>0</v>
      </c>
      <c r="P326">
        <v>1</v>
      </c>
      <c r="Q326">
        <v>0</v>
      </c>
    </row>
    <row r="327" spans="1:17" x14ac:dyDescent="0.3">
      <c r="A327">
        <v>1</v>
      </c>
      <c r="B327">
        <v>0</v>
      </c>
      <c r="C327">
        <v>1</v>
      </c>
      <c r="D327">
        <v>0</v>
      </c>
      <c r="E327">
        <v>0</v>
      </c>
      <c r="F327">
        <v>0</v>
      </c>
      <c r="G327">
        <v>1</v>
      </c>
      <c r="H327">
        <v>0</v>
      </c>
      <c r="I327">
        <v>0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0</v>
      </c>
      <c r="P327">
        <v>0</v>
      </c>
      <c r="Q327">
        <v>1</v>
      </c>
    </row>
    <row r="328" spans="1:17" x14ac:dyDescent="0.3">
      <c r="A328">
        <v>1</v>
      </c>
      <c r="B328">
        <v>1</v>
      </c>
      <c r="C328">
        <v>1</v>
      </c>
      <c r="D328">
        <v>0</v>
      </c>
      <c r="E328">
        <v>1</v>
      </c>
      <c r="F328">
        <v>0</v>
      </c>
      <c r="G328">
        <v>1</v>
      </c>
      <c r="H328">
        <v>1</v>
      </c>
      <c r="I328">
        <v>0</v>
      </c>
      <c r="J328">
        <v>0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</row>
    <row r="329" spans="1:17" x14ac:dyDescent="0.3">
      <c r="A329">
        <v>1</v>
      </c>
      <c r="B329">
        <v>0</v>
      </c>
      <c r="C329">
        <v>0</v>
      </c>
      <c r="D329">
        <v>0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0</v>
      </c>
      <c r="L329">
        <v>1</v>
      </c>
      <c r="M329">
        <v>0</v>
      </c>
      <c r="N329">
        <v>0</v>
      </c>
      <c r="O329">
        <v>1</v>
      </c>
      <c r="P329">
        <v>0</v>
      </c>
      <c r="Q329">
        <v>1</v>
      </c>
    </row>
    <row r="330" spans="1:17" x14ac:dyDescent="0.3">
      <c r="A330">
        <v>1</v>
      </c>
      <c r="B330">
        <v>0</v>
      </c>
      <c r="C330">
        <v>1</v>
      </c>
      <c r="D330">
        <v>0</v>
      </c>
      <c r="E330">
        <v>1</v>
      </c>
      <c r="F330">
        <v>0</v>
      </c>
      <c r="G330">
        <v>0</v>
      </c>
      <c r="H330">
        <v>0</v>
      </c>
      <c r="I330">
        <v>1</v>
      </c>
      <c r="J330">
        <v>1</v>
      </c>
      <c r="K330">
        <v>0</v>
      </c>
      <c r="L330">
        <v>1</v>
      </c>
      <c r="M330">
        <v>0</v>
      </c>
      <c r="N330">
        <v>1</v>
      </c>
      <c r="O330">
        <v>0</v>
      </c>
      <c r="P330">
        <v>0</v>
      </c>
      <c r="Q330">
        <v>0</v>
      </c>
    </row>
    <row r="331" spans="1:17" x14ac:dyDescent="0.3">
      <c r="A331">
        <v>1</v>
      </c>
      <c r="B331">
        <v>1</v>
      </c>
      <c r="C331">
        <v>0</v>
      </c>
      <c r="D331">
        <v>0</v>
      </c>
      <c r="E331">
        <v>0</v>
      </c>
      <c r="F331">
        <v>1</v>
      </c>
      <c r="G331">
        <v>0</v>
      </c>
      <c r="H331">
        <v>0</v>
      </c>
      <c r="I331">
        <v>1</v>
      </c>
      <c r="J331">
        <v>0</v>
      </c>
      <c r="K331">
        <v>0</v>
      </c>
      <c r="L331">
        <v>1</v>
      </c>
      <c r="M331">
        <v>1</v>
      </c>
      <c r="N331">
        <v>1</v>
      </c>
      <c r="O331">
        <v>1</v>
      </c>
      <c r="P331">
        <v>0</v>
      </c>
      <c r="Q331">
        <v>1</v>
      </c>
    </row>
    <row r="332" spans="1:17" x14ac:dyDescent="0.3">
      <c r="A332">
        <v>0</v>
      </c>
      <c r="B332">
        <v>0</v>
      </c>
      <c r="C332">
        <v>1</v>
      </c>
      <c r="D332">
        <v>1</v>
      </c>
      <c r="E332">
        <v>0</v>
      </c>
      <c r="F332">
        <v>0</v>
      </c>
      <c r="G332">
        <v>0</v>
      </c>
      <c r="H332">
        <v>0</v>
      </c>
      <c r="I332">
        <v>1</v>
      </c>
      <c r="J332">
        <v>0</v>
      </c>
      <c r="K332">
        <v>0</v>
      </c>
      <c r="L332">
        <v>0</v>
      </c>
      <c r="M332">
        <v>1</v>
      </c>
      <c r="N332">
        <v>0</v>
      </c>
      <c r="O332">
        <v>0</v>
      </c>
      <c r="P332">
        <v>0</v>
      </c>
      <c r="Q332">
        <v>0</v>
      </c>
    </row>
    <row r="333" spans="1:17" x14ac:dyDescent="0.3">
      <c r="A333">
        <v>1</v>
      </c>
      <c r="B333">
        <v>0</v>
      </c>
      <c r="C333">
        <v>0</v>
      </c>
      <c r="D333">
        <v>1</v>
      </c>
      <c r="E333">
        <v>0</v>
      </c>
      <c r="F333">
        <v>0</v>
      </c>
      <c r="G333">
        <v>0</v>
      </c>
      <c r="H333">
        <v>1</v>
      </c>
      <c r="I333">
        <v>0</v>
      </c>
      <c r="J333">
        <v>0</v>
      </c>
      <c r="K333">
        <v>0</v>
      </c>
      <c r="L333">
        <v>1</v>
      </c>
      <c r="M333">
        <v>0</v>
      </c>
      <c r="N333">
        <v>0</v>
      </c>
      <c r="O333">
        <v>1</v>
      </c>
      <c r="P333">
        <v>0</v>
      </c>
      <c r="Q333">
        <v>1</v>
      </c>
    </row>
    <row r="334" spans="1:17" x14ac:dyDescent="0.3">
      <c r="A334">
        <v>1</v>
      </c>
      <c r="B334">
        <v>1</v>
      </c>
      <c r="C334">
        <v>1</v>
      </c>
      <c r="D334">
        <v>0</v>
      </c>
      <c r="E334">
        <v>0</v>
      </c>
      <c r="F334">
        <v>1</v>
      </c>
      <c r="G334">
        <v>0</v>
      </c>
      <c r="H334">
        <v>1</v>
      </c>
      <c r="I334">
        <v>0</v>
      </c>
      <c r="J334">
        <v>1</v>
      </c>
      <c r="K334">
        <v>1</v>
      </c>
      <c r="L334">
        <v>1</v>
      </c>
      <c r="M334">
        <v>1</v>
      </c>
      <c r="N334">
        <v>0</v>
      </c>
      <c r="O334">
        <v>0</v>
      </c>
      <c r="P334">
        <v>1</v>
      </c>
      <c r="Q334">
        <v>0</v>
      </c>
    </row>
    <row r="335" spans="1:17" x14ac:dyDescent="0.3">
      <c r="A335">
        <v>0</v>
      </c>
      <c r="B335">
        <v>0</v>
      </c>
      <c r="C335">
        <v>1</v>
      </c>
      <c r="D335">
        <v>1</v>
      </c>
      <c r="E335">
        <v>0</v>
      </c>
      <c r="F335">
        <v>0</v>
      </c>
      <c r="G335">
        <v>0</v>
      </c>
      <c r="H335">
        <v>1</v>
      </c>
      <c r="I335">
        <v>1</v>
      </c>
      <c r="J335">
        <v>0</v>
      </c>
      <c r="K335">
        <v>1</v>
      </c>
      <c r="L335">
        <v>0</v>
      </c>
      <c r="M335">
        <v>0</v>
      </c>
      <c r="N335">
        <v>1</v>
      </c>
      <c r="O335">
        <v>1</v>
      </c>
      <c r="P335">
        <v>0</v>
      </c>
      <c r="Q335">
        <v>0</v>
      </c>
    </row>
    <row r="336" spans="1:17" x14ac:dyDescent="0.3">
      <c r="A336">
        <v>1</v>
      </c>
      <c r="B336">
        <v>0</v>
      </c>
      <c r="C336">
        <v>1</v>
      </c>
      <c r="D336">
        <v>0</v>
      </c>
      <c r="E336">
        <v>1</v>
      </c>
      <c r="F336">
        <v>0</v>
      </c>
      <c r="G336">
        <v>0</v>
      </c>
      <c r="H336">
        <v>1</v>
      </c>
      <c r="I336">
        <v>1</v>
      </c>
      <c r="J336">
        <v>0</v>
      </c>
      <c r="K336">
        <v>0</v>
      </c>
      <c r="L336">
        <v>1</v>
      </c>
      <c r="M336">
        <v>1</v>
      </c>
      <c r="N336">
        <v>1</v>
      </c>
      <c r="O336">
        <v>0</v>
      </c>
      <c r="P336">
        <v>0</v>
      </c>
      <c r="Q336">
        <v>1</v>
      </c>
    </row>
    <row r="337" spans="1:17" x14ac:dyDescent="0.3">
      <c r="A337">
        <v>0</v>
      </c>
      <c r="B337">
        <v>1</v>
      </c>
      <c r="C337">
        <v>0</v>
      </c>
      <c r="D337">
        <v>1</v>
      </c>
      <c r="E337">
        <v>1</v>
      </c>
      <c r="F337">
        <v>0</v>
      </c>
      <c r="G337">
        <v>1</v>
      </c>
      <c r="H337">
        <v>0</v>
      </c>
      <c r="I337">
        <v>1</v>
      </c>
      <c r="J337">
        <v>1</v>
      </c>
      <c r="K337">
        <v>0</v>
      </c>
      <c r="L337">
        <v>0</v>
      </c>
      <c r="M337">
        <v>0</v>
      </c>
      <c r="N337">
        <v>1</v>
      </c>
      <c r="O337">
        <v>0</v>
      </c>
      <c r="P337">
        <v>0</v>
      </c>
      <c r="Q337">
        <v>1</v>
      </c>
    </row>
    <row r="338" spans="1:17" x14ac:dyDescent="0.3">
      <c r="A338">
        <v>0</v>
      </c>
      <c r="B338">
        <v>0</v>
      </c>
      <c r="C338">
        <v>0</v>
      </c>
      <c r="D338">
        <v>1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1</v>
      </c>
      <c r="K338">
        <v>1</v>
      </c>
      <c r="L338">
        <v>0</v>
      </c>
      <c r="M338">
        <v>1</v>
      </c>
      <c r="N338">
        <v>1</v>
      </c>
      <c r="O338">
        <v>1</v>
      </c>
      <c r="P338">
        <v>1</v>
      </c>
      <c r="Q338">
        <v>0</v>
      </c>
    </row>
    <row r="339" spans="1:17" x14ac:dyDescent="0.3">
      <c r="A339">
        <v>0</v>
      </c>
      <c r="B339">
        <v>1</v>
      </c>
      <c r="C339">
        <v>0</v>
      </c>
      <c r="D339">
        <v>1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</v>
      </c>
      <c r="Q339">
        <v>0</v>
      </c>
    </row>
    <row r="340" spans="1:17" x14ac:dyDescent="0.3">
      <c r="A340">
        <v>0</v>
      </c>
      <c r="B340">
        <v>0</v>
      </c>
      <c r="C340">
        <v>1</v>
      </c>
      <c r="D340">
        <v>1</v>
      </c>
      <c r="E340">
        <v>1</v>
      </c>
      <c r="F340">
        <v>1</v>
      </c>
      <c r="G340">
        <v>0</v>
      </c>
      <c r="H340">
        <v>0</v>
      </c>
      <c r="I340">
        <v>1</v>
      </c>
      <c r="J340">
        <v>0</v>
      </c>
      <c r="K340">
        <v>0</v>
      </c>
      <c r="L340">
        <v>1</v>
      </c>
      <c r="M340">
        <v>0</v>
      </c>
      <c r="N340">
        <v>1</v>
      </c>
      <c r="O340">
        <v>1</v>
      </c>
      <c r="P340">
        <v>1</v>
      </c>
      <c r="Q340">
        <v>1</v>
      </c>
    </row>
    <row r="341" spans="1:17" x14ac:dyDescent="0.3">
      <c r="A341">
        <v>1</v>
      </c>
      <c r="B341">
        <v>0</v>
      </c>
      <c r="C341">
        <v>0</v>
      </c>
      <c r="D341">
        <v>0</v>
      </c>
      <c r="E341">
        <v>1</v>
      </c>
      <c r="F341">
        <v>0</v>
      </c>
      <c r="G341">
        <v>0</v>
      </c>
      <c r="H341">
        <v>1</v>
      </c>
      <c r="I341">
        <v>0</v>
      </c>
      <c r="J341">
        <v>0</v>
      </c>
      <c r="K341">
        <v>1</v>
      </c>
      <c r="L341">
        <v>1</v>
      </c>
      <c r="M341">
        <v>1</v>
      </c>
      <c r="N341">
        <v>0</v>
      </c>
      <c r="O341">
        <v>1</v>
      </c>
      <c r="P341">
        <v>0</v>
      </c>
      <c r="Q341">
        <v>0</v>
      </c>
    </row>
    <row r="342" spans="1:17" x14ac:dyDescent="0.3">
      <c r="A342">
        <v>1</v>
      </c>
      <c r="B342">
        <v>1</v>
      </c>
      <c r="C342">
        <v>1</v>
      </c>
      <c r="D342">
        <v>0</v>
      </c>
      <c r="E342">
        <v>0</v>
      </c>
      <c r="F342">
        <v>1</v>
      </c>
      <c r="G342">
        <v>0</v>
      </c>
      <c r="H342">
        <v>0</v>
      </c>
      <c r="I342">
        <v>0</v>
      </c>
      <c r="J342">
        <v>1</v>
      </c>
      <c r="K342">
        <v>1</v>
      </c>
      <c r="L342">
        <v>1</v>
      </c>
      <c r="M342">
        <v>1</v>
      </c>
      <c r="N342">
        <v>0</v>
      </c>
      <c r="O342">
        <v>0</v>
      </c>
      <c r="P342">
        <v>0</v>
      </c>
      <c r="Q342">
        <v>0</v>
      </c>
    </row>
    <row r="343" spans="1:17" x14ac:dyDescent="0.3">
      <c r="A343">
        <v>1</v>
      </c>
      <c r="B343">
        <v>0</v>
      </c>
      <c r="C343">
        <v>1</v>
      </c>
      <c r="D343">
        <v>1</v>
      </c>
      <c r="E343">
        <v>1</v>
      </c>
      <c r="F343">
        <v>0</v>
      </c>
      <c r="G343">
        <v>1</v>
      </c>
      <c r="H343">
        <v>1</v>
      </c>
      <c r="I343">
        <v>0</v>
      </c>
      <c r="J343">
        <v>1</v>
      </c>
      <c r="K343">
        <v>0</v>
      </c>
      <c r="L343">
        <v>1</v>
      </c>
      <c r="M343">
        <v>0</v>
      </c>
      <c r="N343">
        <v>0</v>
      </c>
      <c r="O343">
        <v>0</v>
      </c>
      <c r="P343">
        <v>0</v>
      </c>
      <c r="Q343">
        <v>1</v>
      </c>
    </row>
    <row r="344" spans="1:17" x14ac:dyDescent="0.3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1</v>
      </c>
      <c r="H344">
        <v>1</v>
      </c>
      <c r="I344">
        <v>1</v>
      </c>
      <c r="J344">
        <v>1</v>
      </c>
      <c r="K344">
        <v>0</v>
      </c>
      <c r="L344">
        <v>0</v>
      </c>
      <c r="M344">
        <v>1</v>
      </c>
      <c r="N344">
        <v>1</v>
      </c>
      <c r="O344">
        <v>1</v>
      </c>
      <c r="P344">
        <v>0</v>
      </c>
      <c r="Q344">
        <v>0</v>
      </c>
    </row>
    <row r="345" spans="1:17" x14ac:dyDescent="0.3">
      <c r="A345">
        <v>1</v>
      </c>
      <c r="B345">
        <v>0</v>
      </c>
      <c r="C345">
        <v>1</v>
      </c>
      <c r="D345">
        <v>1</v>
      </c>
      <c r="E345">
        <v>0</v>
      </c>
      <c r="F345">
        <v>1</v>
      </c>
      <c r="G345">
        <v>0</v>
      </c>
      <c r="H345">
        <v>0</v>
      </c>
      <c r="I345">
        <v>1</v>
      </c>
      <c r="J345">
        <v>1</v>
      </c>
      <c r="K345">
        <v>0</v>
      </c>
      <c r="L345">
        <v>0</v>
      </c>
      <c r="M345">
        <v>1</v>
      </c>
      <c r="N345">
        <v>0</v>
      </c>
      <c r="O345">
        <v>1</v>
      </c>
      <c r="P345">
        <v>1</v>
      </c>
      <c r="Q345">
        <v>1</v>
      </c>
    </row>
    <row r="346" spans="1:17" x14ac:dyDescent="0.3">
      <c r="A346">
        <v>1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1</v>
      </c>
      <c r="I346">
        <v>0</v>
      </c>
      <c r="J346">
        <v>1</v>
      </c>
      <c r="K346">
        <v>0</v>
      </c>
      <c r="L346">
        <v>0</v>
      </c>
      <c r="M346">
        <v>0</v>
      </c>
      <c r="N346">
        <v>1</v>
      </c>
      <c r="O346">
        <v>0</v>
      </c>
      <c r="P346">
        <v>0</v>
      </c>
      <c r="Q346">
        <v>1</v>
      </c>
    </row>
    <row r="347" spans="1:17" x14ac:dyDescent="0.3">
      <c r="A347">
        <v>0</v>
      </c>
      <c r="B347">
        <v>0</v>
      </c>
      <c r="C347">
        <v>1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1</v>
      </c>
      <c r="J347">
        <v>1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1</v>
      </c>
    </row>
    <row r="348" spans="1:17" x14ac:dyDescent="0.3">
      <c r="A348">
        <v>1</v>
      </c>
      <c r="B348">
        <v>0</v>
      </c>
      <c r="C348">
        <v>0</v>
      </c>
      <c r="D348">
        <v>1</v>
      </c>
      <c r="E348">
        <v>1</v>
      </c>
      <c r="F348">
        <v>0</v>
      </c>
      <c r="G348">
        <v>1</v>
      </c>
      <c r="H348">
        <v>0</v>
      </c>
      <c r="I348">
        <v>0</v>
      </c>
      <c r="J348">
        <v>1</v>
      </c>
      <c r="K348">
        <v>1</v>
      </c>
      <c r="L348">
        <v>1</v>
      </c>
      <c r="M348">
        <v>0</v>
      </c>
      <c r="N348">
        <v>1</v>
      </c>
      <c r="O348">
        <v>1</v>
      </c>
      <c r="P348">
        <v>0</v>
      </c>
      <c r="Q348">
        <v>0</v>
      </c>
    </row>
    <row r="349" spans="1:17" x14ac:dyDescent="0.3">
      <c r="A349">
        <v>1</v>
      </c>
      <c r="B349">
        <v>1</v>
      </c>
      <c r="C349">
        <v>0</v>
      </c>
      <c r="D349">
        <v>0</v>
      </c>
      <c r="E349">
        <v>1</v>
      </c>
      <c r="F349">
        <v>0</v>
      </c>
      <c r="G349">
        <v>0</v>
      </c>
      <c r="H349">
        <v>0</v>
      </c>
      <c r="I349">
        <v>1</v>
      </c>
      <c r="J349">
        <v>1</v>
      </c>
      <c r="K349">
        <v>0</v>
      </c>
      <c r="L349">
        <v>0</v>
      </c>
      <c r="M349">
        <v>1</v>
      </c>
      <c r="N349">
        <v>0</v>
      </c>
      <c r="O349">
        <v>0</v>
      </c>
      <c r="P349">
        <v>1</v>
      </c>
      <c r="Q349">
        <v>0</v>
      </c>
    </row>
    <row r="350" spans="1:17" x14ac:dyDescent="0.3">
      <c r="A350">
        <v>1</v>
      </c>
      <c r="B350">
        <v>0</v>
      </c>
      <c r="C350">
        <v>0</v>
      </c>
      <c r="D350">
        <v>1</v>
      </c>
      <c r="E350">
        <v>1</v>
      </c>
      <c r="F350">
        <v>0</v>
      </c>
      <c r="G350">
        <v>0</v>
      </c>
      <c r="H350">
        <v>0</v>
      </c>
      <c r="I350">
        <v>1</v>
      </c>
      <c r="J350">
        <v>0</v>
      </c>
      <c r="K350">
        <v>0</v>
      </c>
      <c r="L350">
        <v>1</v>
      </c>
      <c r="M350">
        <v>0</v>
      </c>
      <c r="N350">
        <v>0</v>
      </c>
      <c r="O350">
        <v>0</v>
      </c>
      <c r="P350">
        <v>0</v>
      </c>
      <c r="Q350">
        <v>1</v>
      </c>
    </row>
    <row r="351" spans="1:17" x14ac:dyDescent="0.3">
      <c r="A351">
        <v>0</v>
      </c>
      <c r="B351">
        <v>1</v>
      </c>
      <c r="C351">
        <v>0</v>
      </c>
      <c r="D351">
        <v>1</v>
      </c>
      <c r="E351">
        <v>1</v>
      </c>
      <c r="F351">
        <v>1</v>
      </c>
      <c r="G351">
        <v>0</v>
      </c>
      <c r="H351">
        <v>0</v>
      </c>
      <c r="I351">
        <v>1</v>
      </c>
      <c r="J351">
        <v>1</v>
      </c>
      <c r="K351">
        <v>0</v>
      </c>
      <c r="L351">
        <v>0</v>
      </c>
      <c r="M351">
        <v>1</v>
      </c>
      <c r="N351">
        <v>1</v>
      </c>
      <c r="O351">
        <v>1</v>
      </c>
      <c r="P351">
        <v>1</v>
      </c>
      <c r="Q351">
        <v>1</v>
      </c>
    </row>
    <row r="352" spans="1:17" x14ac:dyDescent="0.3">
      <c r="A352">
        <v>0</v>
      </c>
      <c r="B352">
        <v>1</v>
      </c>
      <c r="C352">
        <v>1</v>
      </c>
      <c r="D352">
        <v>1</v>
      </c>
      <c r="E352">
        <v>0</v>
      </c>
      <c r="F352">
        <v>0</v>
      </c>
      <c r="G352">
        <v>0</v>
      </c>
      <c r="H352">
        <v>1</v>
      </c>
      <c r="I352">
        <v>0</v>
      </c>
      <c r="J352">
        <v>1</v>
      </c>
      <c r="K352">
        <v>0</v>
      </c>
      <c r="L352">
        <v>0</v>
      </c>
      <c r="M352">
        <v>1</v>
      </c>
      <c r="N352">
        <v>0</v>
      </c>
      <c r="O352">
        <v>1</v>
      </c>
      <c r="P352">
        <v>1</v>
      </c>
      <c r="Q352">
        <v>0</v>
      </c>
    </row>
    <row r="353" spans="1:17" x14ac:dyDescent="0.3">
      <c r="A353">
        <v>1</v>
      </c>
      <c r="B353">
        <v>0</v>
      </c>
      <c r="C353">
        <v>1</v>
      </c>
      <c r="D353">
        <v>0</v>
      </c>
      <c r="E353">
        <v>0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0</v>
      </c>
      <c r="M353">
        <v>1</v>
      </c>
      <c r="N353">
        <v>1</v>
      </c>
      <c r="O353">
        <v>0</v>
      </c>
      <c r="P353">
        <v>1</v>
      </c>
      <c r="Q353">
        <v>0</v>
      </c>
    </row>
    <row r="354" spans="1:17" x14ac:dyDescent="0.3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1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</row>
    <row r="355" spans="1:17" x14ac:dyDescent="0.3">
      <c r="A355">
        <v>0</v>
      </c>
      <c r="B355">
        <v>1</v>
      </c>
      <c r="C355">
        <v>0</v>
      </c>
      <c r="D355">
        <v>0</v>
      </c>
      <c r="E355">
        <v>0</v>
      </c>
      <c r="F355">
        <v>1</v>
      </c>
      <c r="G355">
        <v>1</v>
      </c>
      <c r="H355">
        <v>1</v>
      </c>
      <c r="I355">
        <v>0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0</v>
      </c>
      <c r="Q355">
        <v>1</v>
      </c>
    </row>
    <row r="356" spans="1:17" x14ac:dyDescent="0.3">
      <c r="A356">
        <v>0</v>
      </c>
      <c r="B356">
        <v>1</v>
      </c>
      <c r="C356">
        <v>1</v>
      </c>
      <c r="D356">
        <v>1</v>
      </c>
      <c r="E356">
        <v>0</v>
      </c>
      <c r="F356">
        <v>0</v>
      </c>
      <c r="G356">
        <v>1</v>
      </c>
      <c r="H356">
        <v>0</v>
      </c>
      <c r="I356">
        <v>0</v>
      </c>
      <c r="J356">
        <v>1</v>
      </c>
      <c r="K356">
        <v>1</v>
      </c>
      <c r="L356">
        <v>0</v>
      </c>
      <c r="M356">
        <v>0</v>
      </c>
      <c r="N356">
        <v>0</v>
      </c>
      <c r="O356">
        <v>1</v>
      </c>
      <c r="P356">
        <v>0</v>
      </c>
      <c r="Q356">
        <v>1</v>
      </c>
    </row>
    <row r="357" spans="1:17" x14ac:dyDescent="0.3">
      <c r="A357">
        <v>1</v>
      </c>
      <c r="B357">
        <v>0</v>
      </c>
      <c r="C357">
        <v>1</v>
      </c>
      <c r="D357">
        <v>1</v>
      </c>
      <c r="E357">
        <v>1</v>
      </c>
      <c r="F357">
        <v>1</v>
      </c>
      <c r="G357">
        <v>0</v>
      </c>
      <c r="H357">
        <v>0</v>
      </c>
      <c r="I357">
        <v>1</v>
      </c>
      <c r="J357">
        <v>0</v>
      </c>
      <c r="K357">
        <v>0</v>
      </c>
      <c r="L357">
        <v>1</v>
      </c>
      <c r="M357">
        <v>0</v>
      </c>
      <c r="N357">
        <v>0</v>
      </c>
      <c r="O357">
        <v>1</v>
      </c>
      <c r="P357">
        <v>1</v>
      </c>
      <c r="Q357">
        <v>1</v>
      </c>
    </row>
    <row r="358" spans="1:17" x14ac:dyDescent="0.3">
      <c r="A358">
        <v>0</v>
      </c>
      <c r="B358">
        <v>0</v>
      </c>
      <c r="C358">
        <v>0</v>
      </c>
      <c r="D358">
        <v>0</v>
      </c>
      <c r="E358">
        <v>1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</row>
    <row r="359" spans="1:17" x14ac:dyDescent="0.3">
      <c r="A359">
        <v>0</v>
      </c>
      <c r="B359">
        <v>0</v>
      </c>
      <c r="C359">
        <v>1</v>
      </c>
      <c r="D359">
        <v>1</v>
      </c>
      <c r="E359">
        <v>0</v>
      </c>
      <c r="F359">
        <v>1</v>
      </c>
      <c r="G359">
        <v>0</v>
      </c>
      <c r="H359">
        <v>1</v>
      </c>
      <c r="I359">
        <v>0</v>
      </c>
      <c r="J359">
        <v>1</v>
      </c>
      <c r="K359">
        <v>1</v>
      </c>
      <c r="L359">
        <v>0</v>
      </c>
      <c r="M359">
        <v>1</v>
      </c>
      <c r="N359">
        <v>0</v>
      </c>
      <c r="O359">
        <v>0</v>
      </c>
      <c r="P359">
        <v>1</v>
      </c>
      <c r="Q359">
        <v>1</v>
      </c>
    </row>
    <row r="360" spans="1:17" x14ac:dyDescent="0.3">
      <c r="A360">
        <v>1</v>
      </c>
      <c r="B360">
        <v>1</v>
      </c>
      <c r="C360">
        <v>1</v>
      </c>
      <c r="D360">
        <v>0</v>
      </c>
      <c r="E360">
        <v>1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1</v>
      </c>
      <c r="L360">
        <v>1</v>
      </c>
      <c r="M360">
        <v>1</v>
      </c>
      <c r="N360">
        <v>0</v>
      </c>
      <c r="O360">
        <v>1</v>
      </c>
      <c r="P360">
        <v>0</v>
      </c>
      <c r="Q360">
        <v>1</v>
      </c>
    </row>
    <row r="361" spans="1:17" x14ac:dyDescent="0.3">
      <c r="A361">
        <v>0</v>
      </c>
      <c r="B361">
        <v>0</v>
      </c>
      <c r="C361">
        <v>1</v>
      </c>
      <c r="D361">
        <v>0</v>
      </c>
      <c r="E361">
        <v>1</v>
      </c>
      <c r="F361">
        <v>0</v>
      </c>
      <c r="G361">
        <v>1</v>
      </c>
      <c r="H361">
        <v>0</v>
      </c>
      <c r="I361">
        <v>1</v>
      </c>
      <c r="J361">
        <v>1</v>
      </c>
      <c r="K361">
        <v>1</v>
      </c>
      <c r="L361">
        <v>0</v>
      </c>
      <c r="M361">
        <v>1</v>
      </c>
      <c r="N361">
        <v>1</v>
      </c>
      <c r="O361">
        <v>0</v>
      </c>
      <c r="P361">
        <v>1</v>
      </c>
      <c r="Q361">
        <v>1</v>
      </c>
    </row>
    <row r="362" spans="1:17" x14ac:dyDescent="0.3">
      <c r="A362">
        <v>0</v>
      </c>
      <c r="B362">
        <v>0</v>
      </c>
      <c r="C362">
        <v>1</v>
      </c>
      <c r="D362">
        <v>0</v>
      </c>
      <c r="E362">
        <v>1</v>
      </c>
      <c r="F362">
        <v>1</v>
      </c>
      <c r="G362">
        <v>0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1</v>
      </c>
      <c r="N362">
        <v>0</v>
      </c>
      <c r="O362">
        <v>0</v>
      </c>
      <c r="P362">
        <v>1</v>
      </c>
      <c r="Q362">
        <v>0</v>
      </c>
    </row>
    <row r="363" spans="1:17" x14ac:dyDescent="0.3">
      <c r="A363">
        <v>0</v>
      </c>
      <c r="B363">
        <v>0</v>
      </c>
      <c r="C363">
        <v>0</v>
      </c>
      <c r="D363">
        <v>0</v>
      </c>
      <c r="E363">
        <v>1</v>
      </c>
      <c r="F363">
        <v>0</v>
      </c>
      <c r="G363">
        <v>1</v>
      </c>
      <c r="H363">
        <v>0</v>
      </c>
      <c r="I363">
        <v>0</v>
      </c>
      <c r="J363">
        <v>0</v>
      </c>
      <c r="K363">
        <v>1</v>
      </c>
      <c r="L363">
        <v>0</v>
      </c>
      <c r="M363">
        <v>0</v>
      </c>
      <c r="N363">
        <v>0</v>
      </c>
      <c r="O363">
        <v>1</v>
      </c>
      <c r="P363">
        <v>0</v>
      </c>
      <c r="Q363">
        <v>0</v>
      </c>
    </row>
    <row r="364" spans="1:17" x14ac:dyDescent="0.3">
      <c r="A364">
        <v>0</v>
      </c>
      <c r="B364">
        <v>0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0</v>
      </c>
      <c r="I364">
        <v>1</v>
      </c>
      <c r="J364">
        <v>0</v>
      </c>
      <c r="K364">
        <v>1</v>
      </c>
      <c r="L364">
        <v>1</v>
      </c>
      <c r="M364">
        <v>0</v>
      </c>
      <c r="N364">
        <v>0</v>
      </c>
      <c r="O364">
        <v>1</v>
      </c>
      <c r="P364">
        <v>0</v>
      </c>
      <c r="Q364">
        <v>0</v>
      </c>
    </row>
    <row r="365" spans="1:17" x14ac:dyDescent="0.3">
      <c r="A365">
        <v>0</v>
      </c>
      <c r="B365">
        <v>0</v>
      </c>
      <c r="C365">
        <v>1</v>
      </c>
      <c r="D365">
        <v>1</v>
      </c>
      <c r="E365">
        <v>1</v>
      </c>
      <c r="F365">
        <v>0</v>
      </c>
      <c r="G365">
        <v>0</v>
      </c>
      <c r="H365">
        <v>1</v>
      </c>
      <c r="I365">
        <v>1</v>
      </c>
      <c r="J365">
        <v>0</v>
      </c>
      <c r="K365">
        <v>1</v>
      </c>
      <c r="L365">
        <v>0</v>
      </c>
      <c r="M365">
        <v>1</v>
      </c>
      <c r="N365">
        <v>1</v>
      </c>
      <c r="O365">
        <v>0</v>
      </c>
      <c r="P365">
        <v>1</v>
      </c>
      <c r="Q365">
        <v>1</v>
      </c>
    </row>
    <row r="366" spans="1:17" x14ac:dyDescent="0.3">
      <c r="A366">
        <v>1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1</v>
      </c>
      <c r="M366">
        <v>0</v>
      </c>
      <c r="N366">
        <v>0</v>
      </c>
      <c r="O366">
        <v>0</v>
      </c>
      <c r="P366">
        <v>0</v>
      </c>
      <c r="Q366">
        <v>1</v>
      </c>
    </row>
    <row r="367" spans="1:17" x14ac:dyDescent="0.3">
      <c r="A367">
        <v>1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</v>
      </c>
      <c r="N367">
        <v>0</v>
      </c>
      <c r="O367">
        <v>0</v>
      </c>
      <c r="P367">
        <v>0</v>
      </c>
      <c r="Q367">
        <v>0</v>
      </c>
    </row>
    <row r="368" spans="1:17" x14ac:dyDescent="0.3">
      <c r="A368">
        <v>0</v>
      </c>
      <c r="B368">
        <v>0</v>
      </c>
      <c r="C368">
        <v>0</v>
      </c>
      <c r="D368">
        <v>0</v>
      </c>
      <c r="E368">
        <v>0</v>
      </c>
      <c r="F368">
        <v>1</v>
      </c>
      <c r="G368">
        <v>1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</v>
      </c>
      <c r="N368">
        <v>0</v>
      </c>
      <c r="O368">
        <v>0</v>
      </c>
      <c r="P368">
        <v>0</v>
      </c>
      <c r="Q368">
        <v>0</v>
      </c>
    </row>
    <row r="369" spans="1:17" x14ac:dyDescent="0.3">
      <c r="A369">
        <v>0</v>
      </c>
      <c r="B369">
        <v>1</v>
      </c>
      <c r="C369">
        <v>1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1</v>
      </c>
      <c r="K369">
        <v>1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</row>
    <row r="370" spans="1:17" x14ac:dyDescent="0.3">
      <c r="A370">
        <v>0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0</v>
      </c>
      <c r="J370">
        <v>1</v>
      </c>
      <c r="K370">
        <v>0</v>
      </c>
      <c r="L370">
        <v>1</v>
      </c>
      <c r="M370">
        <v>1</v>
      </c>
      <c r="N370">
        <v>1</v>
      </c>
      <c r="O370">
        <v>0</v>
      </c>
      <c r="P370">
        <v>0</v>
      </c>
      <c r="Q370">
        <v>1</v>
      </c>
    </row>
    <row r="371" spans="1:17" x14ac:dyDescent="0.3">
      <c r="A371">
        <v>0</v>
      </c>
      <c r="B371">
        <v>1</v>
      </c>
      <c r="C371">
        <v>1</v>
      </c>
      <c r="D371">
        <v>1</v>
      </c>
      <c r="E371">
        <v>1</v>
      </c>
      <c r="F371">
        <v>0</v>
      </c>
      <c r="G371">
        <v>0</v>
      </c>
      <c r="H371">
        <v>1</v>
      </c>
      <c r="I371">
        <v>1</v>
      </c>
      <c r="J371">
        <v>1</v>
      </c>
      <c r="K371">
        <v>1</v>
      </c>
      <c r="L371">
        <v>0</v>
      </c>
      <c r="M371">
        <v>0</v>
      </c>
      <c r="N371">
        <v>0</v>
      </c>
      <c r="O371">
        <v>1</v>
      </c>
      <c r="P371">
        <v>1</v>
      </c>
      <c r="Q371">
        <v>1</v>
      </c>
    </row>
    <row r="372" spans="1:17" x14ac:dyDescent="0.3">
      <c r="A372">
        <v>0</v>
      </c>
      <c r="B372">
        <v>0</v>
      </c>
      <c r="C372">
        <v>0</v>
      </c>
      <c r="D372">
        <v>0</v>
      </c>
      <c r="E372">
        <v>1</v>
      </c>
      <c r="F372">
        <v>1</v>
      </c>
      <c r="G372">
        <v>0</v>
      </c>
      <c r="H372">
        <v>1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1</v>
      </c>
      <c r="O372">
        <v>0</v>
      </c>
      <c r="P372">
        <v>0</v>
      </c>
      <c r="Q372">
        <v>1</v>
      </c>
    </row>
    <row r="373" spans="1:17" x14ac:dyDescent="0.3">
      <c r="A373">
        <v>0</v>
      </c>
      <c r="B373">
        <v>1</v>
      </c>
      <c r="C373">
        <v>0</v>
      </c>
      <c r="D373">
        <v>1</v>
      </c>
      <c r="E373">
        <v>0</v>
      </c>
      <c r="F373">
        <v>0</v>
      </c>
      <c r="G373">
        <v>0</v>
      </c>
      <c r="H373">
        <v>0</v>
      </c>
      <c r="I373">
        <v>1</v>
      </c>
      <c r="J373">
        <v>1</v>
      </c>
      <c r="K373">
        <v>0</v>
      </c>
      <c r="L373">
        <v>0</v>
      </c>
      <c r="M373">
        <v>0</v>
      </c>
      <c r="N373">
        <v>1</v>
      </c>
      <c r="O373">
        <v>0</v>
      </c>
      <c r="P373">
        <v>0</v>
      </c>
      <c r="Q373">
        <v>0</v>
      </c>
    </row>
    <row r="374" spans="1:17" x14ac:dyDescent="0.3">
      <c r="A374">
        <v>1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1</v>
      </c>
      <c r="I374">
        <v>1</v>
      </c>
      <c r="J374">
        <v>1</v>
      </c>
      <c r="K374">
        <v>1</v>
      </c>
      <c r="L374">
        <v>0</v>
      </c>
      <c r="M374">
        <v>0</v>
      </c>
      <c r="N374">
        <v>1</v>
      </c>
      <c r="O374">
        <v>1</v>
      </c>
      <c r="P374">
        <v>0</v>
      </c>
      <c r="Q374">
        <v>0</v>
      </c>
    </row>
    <row r="375" spans="1:17" x14ac:dyDescent="0.3">
      <c r="A375">
        <v>0</v>
      </c>
      <c r="B375">
        <v>1</v>
      </c>
      <c r="C375">
        <v>1</v>
      </c>
      <c r="D375">
        <v>0</v>
      </c>
      <c r="E375">
        <v>0</v>
      </c>
      <c r="F375">
        <v>0</v>
      </c>
      <c r="G375">
        <v>1</v>
      </c>
      <c r="H375">
        <v>0</v>
      </c>
      <c r="I375">
        <v>1</v>
      </c>
      <c r="J375">
        <v>0</v>
      </c>
      <c r="K375">
        <v>0</v>
      </c>
      <c r="L375">
        <v>0</v>
      </c>
      <c r="M375">
        <v>1</v>
      </c>
      <c r="N375">
        <v>1</v>
      </c>
      <c r="O375">
        <v>0</v>
      </c>
      <c r="P375">
        <v>0</v>
      </c>
      <c r="Q375">
        <v>0</v>
      </c>
    </row>
    <row r="376" spans="1:17" x14ac:dyDescent="0.3">
      <c r="A376">
        <v>0</v>
      </c>
      <c r="B376">
        <v>0</v>
      </c>
      <c r="C376">
        <v>0</v>
      </c>
      <c r="D376">
        <v>0</v>
      </c>
      <c r="E376">
        <v>1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</v>
      </c>
      <c r="L376">
        <v>0</v>
      </c>
      <c r="M376">
        <v>0</v>
      </c>
      <c r="N376">
        <v>1</v>
      </c>
      <c r="O376">
        <v>0</v>
      </c>
      <c r="P376">
        <v>0</v>
      </c>
      <c r="Q376">
        <v>1</v>
      </c>
    </row>
    <row r="377" spans="1:17" x14ac:dyDescent="0.3">
      <c r="A377">
        <v>1</v>
      </c>
      <c r="B377">
        <v>0</v>
      </c>
      <c r="C377">
        <v>0</v>
      </c>
      <c r="D377">
        <v>1</v>
      </c>
      <c r="E377">
        <v>1</v>
      </c>
      <c r="F377">
        <v>0</v>
      </c>
      <c r="G377">
        <v>1</v>
      </c>
      <c r="H377">
        <v>0</v>
      </c>
      <c r="I377">
        <v>1</v>
      </c>
      <c r="J377">
        <v>1</v>
      </c>
      <c r="K377">
        <v>0</v>
      </c>
      <c r="L377">
        <v>0</v>
      </c>
      <c r="M377">
        <v>0</v>
      </c>
      <c r="N377">
        <v>0</v>
      </c>
      <c r="O377">
        <v>1</v>
      </c>
      <c r="P377">
        <v>1</v>
      </c>
      <c r="Q377">
        <v>0</v>
      </c>
    </row>
    <row r="378" spans="1:17" x14ac:dyDescent="0.3">
      <c r="A378">
        <v>1</v>
      </c>
      <c r="B378">
        <v>1</v>
      </c>
      <c r="C378">
        <v>0</v>
      </c>
      <c r="D378">
        <v>1</v>
      </c>
      <c r="E378">
        <v>1</v>
      </c>
      <c r="F378">
        <v>0</v>
      </c>
      <c r="G378">
        <v>1</v>
      </c>
      <c r="H378">
        <v>1</v>
      </c>
      <c r="I378">
        <v>0</v>
      </c>
      <c r="J378">
        <v>0</v>
      </c>
      <c r="K378">
        <v>0</v>
      </c>
      <c r="L378">
        <v>1</v>
      </c>
      <c r="M378">
        <v>1</v>
      </c>
      <c r="N378">
        <v>1</v>
      </c>
      <c r="O378">
        <v>0</v>
      </c>
      <c r="P378">
        <v>1</v>
      </c>
      <c r="Q378">
        <v>0</v>
      </c>
    </row>
    <row r="379" spans="1:17" x14ac:dyDescent="0.3">
      <c r="A379">
        <v>0</v>
      </c>
      <c r="B379">
        <v>1</v>
      </c>
      <c r="C379">
        <v>1</v>
      </c>
      <c r="D379">
        <v>1</v>
      </c>
      <c r="E379">
        <v>0</v>
      </c>
      <c r="F379">
        <v>1</v>
      </c>
      <c r="G379">
        <v>1</v>
      </c>
      <c r="H379">
        <v>0</v>
      </c>
      <c r="I379">
        <v>1</v>
      </c>
      <c r="J379">
        <v>0</v>
      </c>
      <c r="K379">
        <v>0</v>
      </c>
      <c r="L379">
        <v>1</v>
      </c>
      <c r="M379">
        <v>0</v>
      </c>
      <c r="N379">
        <v>0</v>
      </c>
      <c r="O379">
        <v>1</v>
      </c>
      <c r="P379">
        <v>1</v>
      </c>
      <c r="Q379">
        <v>1</v>
      </c>
    </row>
    <row r="380" spans="1:17" x14ac:dyDescent="0.3">
      <c r="A380">
        <v>0</v>
      </c>
      <c r="B380">
        <v>1</v>
      </c>
      <c r="C380">
        <v>1</v>
      </c>
      <c r="D380">
        <v>0</v>
      </c>
      <c r="E380">
        <v>0</v>
      </c>
      <c r="F380">
        <v>0</v>
      </c>
      <c r="G380">
        <v>0</v>
      </c>
      <c r="H380">
        <v>1</v>
      </c>
      <c r="I380">
        <v>1</v>
      </c>
      <c r="J380">
        <v>0</v>
      </c>
      <c r="K380">
        <v>0</v>
      </c>
      <c r="L380">
        <v>0</v>
      </c>
      <c r="M380">
        <v>1</v>
      </c>
      <c r="N380">
        <v>1</v>
      </c>
      <c r="O380">
        <v>1</v>
      </c>
      <c r="P380">
        <v>0</v>
      </c>
      <c r="Q380">
        <v>1</v>
      </c>
    </row>
    <row r="381" spans="1:17" x14ac:dyDescent="0.3">
      <c r="A381">
        <v>0</v>
      </c>
      <c r="B381">
        <v>1</v>
      </c>
      <c r="C381">
        <v>1</v>
      </c>
      <c r="D381">
        <v>0</v>
      </c>
      <c r="E381">
        <v>1</v>
      </c>
      <c r="F381">
        <v>0</v>
      </c>
      <c r="G381">
        <v>1</v>
      </c>
      <c r="H381">
        <v>1</v>
      </c>
      <c r="I381">
        <v>0</v>
      </c>
      <c r="J381">
        <v>0</v>
      </c>
      <c r="K381">
        <v>1</v>
      </c>
      <c r="L381">
        <v>1</v>
      </c>
      <c r="M381">
        <v>1</v>
      </c>
      <c r="N381">
        <v>1</v>
      </c>
      <c r="O381">
        <v>0</v>
      </c>
      <c r="P381">
        <v>1</v>
      </c>
      <c r="Q381">
        <v>0</v>
      </c>
    </row>
    <row r="382" spans="1:17" x14ac:dyDescent="0.3">
      <c r="A382">
        <v>0</v>
      </c>
      <c r="B382">
        <v>0</v>
      </c>
      <c r="C382">
        <v>1</v>
      </c>
      <c r="D382">
        <v>1</v>
      </c>
      <c r="E382">
        <v>0</v>
      </c>
      <c r="F382">
        <v>1</v>
      </c>
      <c r="G382">
        <v>1</v>
      </c>
      <c r="H382">
        <v>0</v>
      </c>
      <c r="I382">
        <v>1</v>
      </c>
      <c r="J382">
        <v>1</v>
      </c>
      <c r="K382">
        <v>1</v>
      </c>
      <c r="L382">
        <v>1</v>
      </c>
      <c r="M382">
        <v>0</v>
      </c>
      <c r="N382">
        <v>0</v>
      </c>
      <c r="O382">
        <v>0</v>
      </c>
      <c r="P382">
        <v>0</v>
      </c>
      <c r="Q382">
        <v>0</v>
      </c>
    </row>
    <row r="383" spans="1:17" x14ac:dyDescent="0.3">
      <c r="A383">
        <v>0</v>
      </c>
      <c r="B383">
        <v>0</v>
      </c>
      <c r="C383">
        <v>0</v>
      </c>
      <c r="D383">
        <v>1</v>
      </c>
      <c r="E383">
        <v>1</v>
      </c>
      <c r="F383">
        <v>0</v>
      </c>
      <c r="G383">
        <v>0</v>
      </c>
      <c r="H383">
        <v>0</v>
      </c>
      <c r="I383">
        <v>0</v>
      </c>
      <c r="J383">
        <v>1</v>
      </c>
      <c r="K383">
        <v>0</v>
      </c>
      <c r="L383">
        <v>0</v>
      </c>
      <c r="M383">
        <v>0</v>
      </c>
      <c r="N383">
        <v>1</v>
      </c>
      <c r="O383">
        <v>1</v>
      </c>
      <c r="P383">
        <v>0</v>
      </c>
      <c r="Q383">
        <v>0</v>
      </c>
    </row>
    <row r="384" spans="1:17" x14ac:dyDescent="0.3">
      <c r="A384">
        <v>1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0</v>
      </c>
      <c r="I384">
        <v>1</v>
      </c>
      <c r="J384">
        <v>0</v>
      </c>
      <c r="K384">
        <v>0</v>
      </c>
      <c r="L384">
        <v>1</v>
      </c>
      <c r="M384">
        <v>1</v>
      </c>
      <c r="N384">
        <v>1</v>
      </c>
      <c r="O384">
        <v>0</v>
      </c>
      <c r="P384">
        <v>1</v>
      </c>
      <c r="Q384">
        <v>1</v>
      </c>
    </row>
    <row r="385" spans="1:17" x14ac:dyDescent="0.3">
      <c r="A385">
        <v>1</v>
      </c>
      <c r="B385">
        <v>0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0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0</v>
      </c>
    </row>
    <row r="386" spans="1:17" x14ac:dyDescent="0.3">
      <c r="A386">
        <v>1</v>
      </c>
      <c r="B386">
        <v>0</v>
      </c>
      <c r="C386">
        <v>1</v>
      </c>
      <c r="D386">
        <v>0</v>
      </c>
      <c r="E386">
        <v>1</v>
      </c>
      <c r="F386">
        <v>0</v>
      </c>
      <c r="G386">
        <v>0</v>
      </c>
      <c r="H386">
        <v>0</v>
      </c>
      <c r="I386">
        <v>0</v>
      </c>
      <c r="J386">
        <v>1</v>
      </c>
      <c r="K386">
        <v>0</v>
      </c>
      <c r="L386">
        <v>0</v>
      </c>
      <c r="M386">
        <v>1</v>
      </c>
      <c r="N386">
        <v>1</v>
      </c>
      <c r="O386">
        <v>1</v>
      </c>
      <c r="P386">
        <v>0</v>
      </c>
      <c r="Q386">
        <v>1</v>
      </c>
    </row>
    <row r="387" spans="1:17" x14ac:dyDescent="0.3">
      <c r="A387">
        <v>0</v>
      </c>
      <c r="B387">
        <v>1</v>
      </c>
      <c r="C387">
        <v>1</v>
      </c>
      <c r="D387">
        <v>1</v>
      </c>
      <c r="E387">
        <v>1</v>
      </c>
      <c r="F387">
        <v>0</v>
      </c>
      <c r="G387">
        <v>1</v>
      </c>
      <c r="H387">
        <v>0</v>
      </c>
      <c r="I387">
        <v>0</v>
      </c>
      <c r="J387">
        <v>0</v>
      </c>
      <c r="K387">
        <v>1</v>
      </c>
      <c r="L387">
        <v>1</v>
      </c>
      <c r="M387">
        <v>1</v>
      </c>
      <c r="N387">
        <v>0</v>
      </c>
      <c r="O387">
        <v>1</v>
      </c>
      <c r="P387">
        <v>1</v>
      </c>
      <c r="Q387">
        <v>0</v>
      </c>
    </row>
    <row r="388" spans="1:17" x14ac:dyDescent="0.3">
      <c r="A388">
        <v>0</v>
      </c>
      <c r="B388">
        <v>1</v>
      </c>
      <c r="C388">
        <v>0</v>
      </c>
      <c r="D388">
        <v>0</v>
      </c>
      <c r="E388">
        <v>1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1</v>
      </c>
      <c r="P388">
        <v>0</v>
      </c>
      <c r="Q388">
        <v>0</v>
      </c>
    </row>
    <row r="389" spans="1:17" x14ac:dyDescent="0.3">
      <c r="A389">
        <v>0</v>
      </c>
      <c r="B389">
        <v>0</v>
      </c>
      <c r="C389">
        <v>0</v>
      </c>
      <c r="D389">
        <v>1</v>
      </c>
      <c r="E389">
        <v>0</v>
      </c>
      <c r="F389">
        <v>0</v>
      </c>
      <c r="G389">
        <v>0</v>
      </c>
      <c r="H389">
        <v>1</v>
      </c>
      <c r="I389">
        <v>1</v>
      </c>
      <c r="J389">
        <v>0</v>
      </c>
      <c r="K389">
        <v>1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1</v>
      </c>
    </row>
    <row r="390" spans="1:17" x14ac:dyDescent="0.3">
      <c r="A390">
        <v>0</v>
      </c>
      <c r="B390">
        <v>1</v>
      </c>
      <c r="C390">
        <v>0</v>
      </c>
      <c r="D390">
        <v>1</v>
      </c>
      <c r="E390">
        <v>1</v>
      </c>
      <c r="F390">
        <v>1</v>
      </c>
      <c r="G390">
        <v>0</v>
      </c>
      <c r="H390">
        <v>1</v>
      </c>
      <c r="I390">
        <v>0</v>
      </c>
      <c r="J390">
        <v>1</v>
      </c>
      <c r="K390">
        <v>0</v>
      </c>
      <c r="L390">
        <v>1</v>
      </c>
      <c r="M390">
        <v>1</v>
      </c>
      <c r="N390">
        <v>0</v>
      </c>
      <c r="O390">
        <v>1</v>
      </c>
      <c r="P390">
        <v>1</v>
      </c>
      <c r="Q390">
        <v>1</v>
      </c>
    </row>
    <row r="391" spans="1:17" x14ac:dyDescent="0.3">
      <c r="A391">
        <v>0</v>
      </c>
      <c r="B391">
        <v>0</v>
      </c>
      <c r="C391">
        <v>0</v>
      </c>
      <c r="D391">
        <v>0</v>
      </c>
      <c r="E391">
        <v>0</v>
      </c>
      <c r="F391">
        <v>1</v>
      </c>
      <c r="G391">
        <v>1</v>
      </c>
      <c r="H391">
        <v>1</v>
      </c>
      <c r="I391">
        <v>0</v>
      </c>
      <c r="J391">
        <v>0</v>
      </c>
      <c r="K391">
        <v>1</v>
      </c>
      <c r="L391">
        <v>0</v>
      </c>
      <c r="M391">
        <v>1</v>
      </c>
      <c r="N391">
        <v>0</v>
      </c>
      <c r="O391">
        <v>0</v>
      </c>
      <c r="P391">
        <v>1</v>
      </c>
      <c r="Q391">
        <v>0</v>
      </c>
    </row>
    <row r="392" spans="1:17" x14ac:dyDescent="0.3">
      <c r="A392">
        <v>0</v>
      </c>
      <c r="B392">
        <v>0</v>
      </c>
      <c r="C392">
        <v>0</v>
      </c>
      <c r="D392">
        <v>0</v>
      </c>
      <c r="E392">
        <v>0</v>
      </c>
      <c r="F392">
        <v>1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1</v>
      </c>
      <c r="M392">
        <v>1</v>
      </c>
      <c r="N392">
        <v>0</v>
      </c>
      <c r="O392">
        <v>0</v>
      </c>
      <c r="P392">
        <v>1</v>
      </c>
      <c r="Q392">
        <v>1</v>
      </c>
    </row>
    <row r="393" spans="1:17" x14ac:dyDescent="0.3">
      <c r="A393">
        <v>1</v>
      </c>
      <c r="B393">
        <v>1</v>
      </c>
      <c r="C393">
        <v>1</v>
      </c>
      <c r="D393">
        <v>1</v>
      </c>
      <c r="E393">
        <v>0</v>
      </c>
      <c r="F393">
        <v>0</v>
      </c>
      <c r="G393">
        <v>0</v>
      </c>
      <c r="H393">
        <v>1</v>
      </c>
      <c r="I393">
        <v>0</v>
      </c>
      <c r="J393">
        <v>0</v>
      </c>
      <c r="K393">
        <v>1</v>
      </c>
      <c r="L393">
        <v>1</v>
      </c>
      <c r="M393">
        <v>0</v>
      </c>
      <c r="N393">
        <v>1</v>
      </c>
      <c r="O393">
        <v>1</v>
      </c>
      <c r="P393">
        <v>0</v>
      </c>
      <c r="Q393">
        <v>0</v>
      </c>
    </row>
    <row r="394" spans="1:17" x14ac:dyDescent="0.3">
      <c r="A394">
        <v>1</v>
      </c>
      <c r="B394">
        <v>0</v>
      </c>
      <c r="C394">
        <v>0</v>
      </c>
      <c r="D394">
        <v>1</v>
      </c>
      <c r="E394">
        <v>0</v>
      </c>
      <c r="F394">
        <v>1</v>
      </c>
      <c r="G394">
        <v>1</v>
      </c>
      <c r="H394">
        <v>1</v>
      </c>
      <c r="I394">
        <v>1</v>
      </c>
      <c r="J394">
        <v>0</v>
      </c>
      <c r="K394">
        <v>0</v>
      </c>
      <c r="L394">
        <v>1</v>
      </c>
      <c r="M394">
        <v>0</v>
      </c>
      <c r="N394">
        <v>0</v>
      </c>
      <c r="O394">
        <v>0</v>
      </c>
      <c r="P394">
        <v>1</v>
      </c>
      <c r="Q394">
        <v>0</v>
      </c>
    </row>
    <row r="395" spans="1:17" x14ac:dyDescent="0.3">
      <c r="A395">
        <v>1</v>
      </c>
      <c r="B395">
        <v>0</v>
      </c>
      <c r="C395">
        <v>1</v>
      </c>
      <c r="D395">
        <v>1</v>
      </c>
      <c r="E395">
        <v>0</v>
      </c>
      <c r="F395">
        <v>0</v>
      </c>
      <c r="G395">
        <v>0</v>
      </c>
      <c r="H395">
        <v>1</v>
      </c>
      <c r="I395">
        <v>1</v>
      </c>
      <c r="J395">
        <v>1</v>
      </c>
      <c r="K395">
        <v>0</v>
      </c>
      <c r="L395">
        <v>1</v>
      </c>
      <c r="M395">
        <v>1</v>
      </c>
      <c r="N395">
        <v>0</v>
      </c>
      <c r="O395">
        <v>1</v>
      </c>
      <c r="P395">
        <v>0</v>
      </c>
      <c r="Q395">
        <v>0</v>
      </c>
    </row>
    <row r="396" spans="1:17" x14ac:dyDescent="0.3">
      <c r="A396">
        <v>0</v>
      </c>
      <c r="B396">
        <v>1</v>
      </c>
      <c r="C396">
        <v>0</v>
      </c>
      <c r="D396">
        <v>1</v>
      </c>
      <c r="E396">
        <v>0</v>
      </c>
      <c r="F396">
        <v>0</v>
      </c>
      <c r="G396">
        <v>0</v>
      </c>
      <c r="H396">
        <v>1</v>
      </c>
      <c r="I396">
        <v>1</v>
      </c>
      <c r="J396">
        <v>0</v>
      </c>
      <c r="K396">
        <v>1</v>
      </c>
      <c r="L396">
        <v>0</v>
      </c>
      <c r="M396">
        <v>1</v>
      </c>
      <c r="N396">
        <v>1</v>
      </c>
      <c r="O396">
        <v>1</v>
      </c>
      <c r="P396">
        <v>0</v>
      </c>
      <c r="Q396">
        <v>1</v>
      </c>
    </row>
    <row r="397" spans="1:17" x14ac:dyDescent="0.3">
      <c r="A397">
        <v>0</v>
      </c>
      <c r="B397">
        <v>0</v>
      </c>
      <c r="C397">
        <v>0</v>
      </c>
      <c r="D397">
        <v>0</v>
      </c>
      <c r="E397">
        <v>1</v>
      </c>
      <c r="F397">
        <v>1</v>
      </c>
      <c r="G397">
        <v>0</v>
      </c>
      <c r="H397">
        <v>1</v>
      </c>
      <c r="I397">
        <v>1</v>
      </c>
      <c r="J397">
        <v>0</v>
      </c>
      <c r="K397">
        <v>1</v>
      </c>
      <c r="L397">
        <v>0</v>
      </c>
      <c r="M397">
        <v>0</v>
      </c>
      <c r="N397">
        <v>0</v>
      </c>
      <c r="O397">
        <v>1</v>
      </c>
      <c r="P397">
        <v>1</v>
      </c>
      <c r="Q397">
        <v>0</v>
      </c>
    </row>
    <row r="398" spans="1:17" x14ac:dyDescent="0.3">
      <c r="A398">
        <v>1</v>
      </c>
      <c r="B398">
        <v>0</v>
      </c>
      <c r="C398">
        <v>0</v>
      </c>
      <c r="D398">
        <v>0</v>
      </c>
      <c r="E398">
        <v>0</v>
      </c>
      <c r="F398">
        <v>1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1</v>
      </c>
      <c r="P398">
        <v>0</v>
      </c>
      <c r="Q398">
        <v>0</v>
      </c>
    </row>
    <row r="399" spans="1:17" x14ac:dyDescent="0.3">
      <c r="A399">
        <v>0</v>
      </c>
      <c r="B399">
        <v>1</v>
      </c>
      <c r="C399">
        <v>1</v>
      </c>
      <c r="D399">
        <v>0</v>
      </c>
      <c r="E399">
        <v>0</v>
      </c>
      <c r="F399">
        <v>1</v>
      </c>
      <c r="G399">
        <v>1</v>
      </c>
      <c r="H399">
        <v>0</v>
      </c>
      <c r="I399">
        <v>1</v>
      </c>
      <c r="J399">
        <v>0</v>
      </c>
      <c r="K399">
        <v>1</v>
      </c>
      <c r="L399">
        <v>1</v>
      </c>
      <c r="M399">
        <v>0</v>
      </c>
      <c r="N399">
        <v>1</v>
      </c>
      <c r="O399">
        <v>1</v>
      </c>
      <c r="P399">
        <v>0</v>
      </c>
      <c r="Q399">
        <v>0</v>
      </c>
    </row>
    <row r="400" spans="1:17" x14ac:dyDescent="0.3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1</v>
      </c>
    </row>
    <row r="401" spans="1:17" x14ac:dyDescent="0.3">
      <c r="A401">
        <v>0</v>
      </c>
      <c r="B401">
        <v>0</v>
      </c>
      <c r="C401">
        <v>1</v>
      </c>
      <c r="D401">
        <v>0</v>
      </c>
      <c r="E401">
        <v>0</v>
      </c>
      <c r="F401">
        <v>1</v>
      </c>
      <c r="G401">
        <v>0</v>
      </c>
      <c r="H401">
        <v>0</v>
      </c>
      <c r="I401">
        <v>1</v>
      </c>
      <c r="J401">
        <v>1</v>
      </c>
      <c r="K401">
        <v>1</v>
      </c>
      <c r="L401">
        <v>0</v>
      </c>
      <c r="M401">
        <v>1</v>
      </c>
      <c r="N401">
        <v>1</v>
      </c>
      <c r="O401">
        <v>1</v>
      </c>
      <c r="P401">
        <v>1</v>
      </c>
      <c r="Q401">
        <v>0</v>
      </c>
    </row>
    <row r="402" spans="1:17" x14ac:dyDescent="0.3">
      <c r="A402">
        <v>1</v>
      </c>
      <c r="B402">
        <v>1</v>
      </c>
      <c r="C402">
        <v>0</v>
      </c>
      <c r="D402">
        <v>0</v>
      </c>
      <c r="E402">
        <v>1</v>
      </c>
      <c r="F402">
        <v>0</v>
      </c>
      <c r="G402">
        <v>0</v>
      </c>
      <c r="H402">
        <v>1</v>
      </c>
      <c r="I402">
        <v>0</v>
      </c>
      <c r="J402">
        <v>0</v>
      </c>
      <c r="K402">
        <v>0</v>
      </c>
      <c r="L402">
        <v>1</v>
      </c>
      <c r="M402">
        <v>1</v>
      </c>
      <c r="N402">
        <v>0</v>
      </c>
      <c r="O402">
        <v>0</v>
      </c>
      <c r="P402">
        <v>0</v>
      </c>
      <c r="Q402">
        <v>0</v>
      </c>
    </row>
    <row r="403" spans="1:17" x14ac:dyDescent="0.3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1</v>
      </c>
      <c r="H403">
        <v>1</v>
      </c>
      <c r="I403">
        <v>0</v>
      </c>
      <c r="J403">
        <v>1</v>
      </c>
      <c r="K403">
        <v>0</v>
      </c>
      <c r="L403">
        <v>1</v>
      </c>
      <c r="M403">
        <v>1</v>
      </c>
      <c r="N403">
        <v>0</v>
      </c>
      <c r="O403">
        <v>1</v>
      </c>
      <c r="P403">
        <v>0</v>
      </c>
      <c r="Q403">
        <v>1</v>
      </c>
    </row>
    <row r="404" spans="1:17" x14ac:dyDescent="0.3">
      <c r="A404">
        <v>0</v>
      </c>
      <c r="B404">
        <v>1</v>
      </c>
      <c r="C404">
        <v>1</v>
      </c>
      <c r="D404">
        <v>1</v>
      </c>
      <c r="E404">
        <v>1</v>
      </c>
      <c r="F404">
        <v>0</v>
      </c>
      <c r="G404">
        <v>1</v>
      </c>
      <c r="H404">
        <v>0</v>
      </c>
      <c r="I404">
        <v>1</v>
      </c>
      <c r="J404">
        <v>1</v>
      </c>
      <c r="K404">
        <v>1</v>
      </c>
      <c r="L404">
        <v>1</v>
      </c>
      <c r="M404">
        <v>0</v>
      </c>
      <c r="N404">
        <v>1</v>
      </c>
      <c r="O404">
        <v>1</v>
      </c>
      <c r="P404">
        <v>0</v>
      </c>
      <c r="Q404">
        <v>1</v>
      </c>
    </row>
    <row r="405" spans="1:17" x14ac:dyDescent="0.3">
      <c r="A405">
        <v>0</v>
      </c>
      <c r="B405">
        <v>0</v>
      </c>
      <c r="C405">
        <v>1</v>
      </c>
      <c r="D405">
        <v>1</v>
      </c>
      <c r="E405">
        <v>0</v>
      </c>
      <c r="F405">
        <v>0</v>
      </c>
      <c r="G405">
        <v>0</v>
      </c>
      <c r="H405">
        <v>1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O405">
        <v>1</v>
      </c>
      <c r="P405">
        <v>1</v>
      </c>
      <c r="Q405">
        <v>1</v>
      </c>
    </row>
    <row r="406" spans="1:17" x14ac:dyDescent="0.3">
      <c r="A406">
        <v>1</v>
      </c>
      <c r="B406">
        <v>1</v>
      </c>
      <c r="C406">
        <v>1</v>
      </c>
      <c r="D406">
        <v>0</v>
      </c>
      <c r="E406">
        <v>0</v>
      </c>
      <c r="F406">
        <v>1</v>
      </c>
      <c r="G406">
        <v>0</v>
      </c>
      <c r="H406">
        <v>0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0</v>
      </c>
      <c r="O406">
        <v>1</v>
      </c>
      <c r="P406">
        <v>0</v>
      </c>
      <c r="Q406">
        <v>0</v>
      </c>
    </row>
    <row r="407" spans="1:17" x14ac:dyDescent="0.3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1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1</v>
      </c>
      <c r="N407">
        <v>0</v>
      </c>
      <c r="O407">
        <v>1</v>
      </c>
      <c r="P407">
        <v>0</v>
      </c>
      <c r="Q407">
        <v>1</v>
      </c>
    </row>
    <row r="408" spans="1:17" x14ac:dyDescent="0.3">
      <c r="A408">
        <v>1</v>
      </c>
      <c r="B408">
        <v>1</v>
      </c>
      <c r="C408">
        <v>1</v>
      </c>
      <c r="D408">
        <v>1</v>
      </c>
      <c r="E408">
        <v>0</v>
      </c>
      <c r="F408">
        <v>1</v>
      </c>
      <c r="G408">
        <v>0</v>
      </c>
      <c r="H408">
        <v>1</v>
      </c>
      <c r="I408">
        <v>0</v>
      </c>
      <c r="J408">
        <v>0</v>
      </c>
      <c r="K408">
        <v>1</v>
      </c>
      <c r="L408">
        <v>1</v>
      </c>
      <c r="M408">
        <v>0</v>
      </c>
      <c r="N408">
        <v>1</v>
      </c>
      <c r="O408">
        <v>0</v>
      </c>
      <c r="P408">
        <v>0</v>
      </c>
      <c r="Q408">
        <v>1</v>
      </c>
    </row>
    <row r="409" spans="1:17" x14ac:dyDescent="0.3">
      <c r="A409">
        <v>1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1</v>
      </c>
      <c r="H409">
        <v>1</v>
      </c>
      <c r="I409">
        <v>0</v>
      </c>
      <c r="J409">
        <v>1</v>
      </c>
      <c r="K409">
        <v>1</v>
      </c>
      <c r="L409">
        <v>1</v>
      </c>
      <c r="M409">
        <v>1</v>
      </c>
      <c r="N409">
        <v>0</v>
      </c>
      <c r="O409">
        <v>0</v>
      </c>
      <c r="P409">
        <v>1</v>
      </c>
      <c r="Q409">
        <v>0</v>
      </c>
    </row>
    <row r="410" spans="1:17" x14ac:dyDescent="0.3">
      <c r="A410">
        <v>0</v>
      </c>
      <c r="B410">
        <v>0</v>
      </c>
      <c r="C410">
        <v>0</v>
      </c>
      <c r="D410">
        <v>1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1</v>
      </c>
    </row>
    <row r="411" spans="1:17" x14ac:dyDescent="0.3">
      <c r="A411">
        <v>0</v>
      </c>
      <c r="B411">
        <v>0</v>
      </c>
      <c r="C411">
        <v>0</v>
      </c>
      <c r="D411">
        <v>0</v>
      </c>
      <c r="E411">
        <v>0</v>
      </c>
      <c r="F411">
        <v>1</v>
      </c>
      <c r="G411">
        <v>0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0</v>
      </c>
      <c r="P411">
        <v>1</v>
      </c>
      <c r="Q411">
        <v>1</v>
      </c>
    </row>
    <row r="412" spans="1:17" x14ac:dyDescent="0.3">
      <c r="A412">
        <v>1</v>
      </c>
      <c r="B412">
        <v>0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0</v>
      </c>
      <c r="J412">
        <v>1</v>
      </c>
      <c r="K412">
        <v>1</v>
      </c>
      <c r="L412">
        <v>1</v>
      </c>
      <c r="M412">
        <v>0</v>
      </c>
      <c r="N412">
        <v>1</v>
      </c>
      <c r="O412">
        <v>0</v>
      </c>
      <c r="P412">
        <v>1</v>
      </c>
      <c r="Q412">
        <v>1</v>
      </c>
    </row>
    <row r="413" spans="1:17" x14ac:dyDescent="0.3">
      <c r="A413">
        <v>1</v>
      </c>
      <c r="B413">
        <v>0</v>
      </c>
      <c r="C413">
        <v>0</v>
      </c>
      <c r="D413">
        <v>0</v>
      </c>
      <c r="E413">
        <v>1</v>
      </c>
      <c r="F413">
        <v>0</v>
      </c>
      <c r="G413">
        <v>1</v>
      </c>
      <c r="H413">
        <v>1</v>
      </c>
      <c r="I413">
        <v>1</v>
      </c>
      <c r="J413">
        <v>0</v>
      </c>
      <c r="K413">
        <v>1</v>
      </c>
      <c r="L413">
        <v>1</v>
      </c>
      <c r="M413">
        <v>0</v>
      </c>
      <c r="N413">
        <v>0</v>
      </c>
      <c r="O413">
        <v>1</v>
      </c>
      <c r="P413">
        <v>1</v>
      </c>
      <c r="Q413">
        <v>0</v>
      </c>
    </row>
    <row r="414" spans="1:17" x14ac:dyDescent="0.3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1</v>
      </c>
      <c r="P414">
        <v>1</v>
      </c>
      <c r="Q414">
        <v>1</v>
      </c>
    </row>
    <row r="415" spans="1:17" x14ac:dyDescent="0.3">
      <c r="A415">
        <v>0</v>
      </c>
      <c r="B415">
        <v>1</v>
      </c>
      <c r="C415">
        <v>1</v>
      </c>
      <c r="D415">
        <v>0</v>
      </c>
      <c r="E415">
        <v>0</v>
      </c>
      <c r="F415">
        <v>0</v>
      </c>
      <c r="G415">
        <v>1</v>
      </c>
      <c r="H415">
        <v>1</v>
      </c>
      <c r="I415">
        <v>0</v>
      </c>
      <c r="J415">
        <v>1</v>
      </c>
      <c r="K415">
        <v>0</v>
      </c>
      <c r="L415">
        <v>1</v>
      </c>
      <c r="M415">
        <v>0</v>
      </c>
      <c r="N415">
        <v>1</v>
      </c>
      <c r="O415">
        <v>1</v>
      </c>
      <c r="P415">
        <v>1</v>
      </c>
      <c r="Q415">
        <v>1</v>
      </c>
    </row>
    <row r="416" spans="1:17" x14ac:dyDescent="0.3">
      <c r="A416">
        <v>1</v>
      </c>
      <c r="B416">
        <v>0</v>
      </c>
      <c r="C416">
        <v>1</v>
      </c>
      <c r="D416">
        <v>1</v>
      </c>
      <c r="E416">
        <v>1</v>
      </c>
      <c r="F416">
        <v>0</v>
      </c>
      <c r="G416">
        <v>0</v>
      </c>
      <c r="H416">
        <v>1</v>
      </c>
      <c r="I416">
        <v>0</v>
      </c>
      <c r="J416">
        <v>0</v>
      </c>
      <c r="K416">
        <v>1</v>
      </c>
      <c r="L416">
        <v>0</v>
      </c>
      <c r="M416">
        <v>0</v>
      </c>
      <c r="N416">
        <v>1</v>
      </c>
      <c r="O416">
        <v>0</v>
      </c>
      <c r="P416">
        <v>0</v>
      </c>
      <c r="Q416">
        <v>1</v>
      </c>
    </row>
    <row r="417" spans="1:17" x14ac:dyDescent="0.3">
      <c r="A417">
        <v>0</v>
      </c>
      <c r="B417">
        <v>0</v>
      </c>
      <c r="C417">
        <v>1</v>
      </c>
      <c r="D417">
        <v>1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1</v>
      </c>
      <c r="K417">
        <v>0</v>
      </c>
      <c r="L417">
        <v>0</v>
      </c>
      <c r="M417">
        <v>0</v>
      </c>
      <c r="N417">
        <v>1</v>
      </c>
      <c r="O417">
        <v>0</v>
      </c>
      <c r="P417">
        <v>0</v>
      </c>
      <c r="Q417">
        <v>0</v>
      </c>
    </row>
    <row r="418" spans="1:17" x14ac:dyDescent="0.3">
      <c r="A418">
        <v>1</v>
      </c>
      <c r="B418">
        <v>1</v>
      </c>
      <c r="C418">
        <v>0</v>
      </c>
      <c r="D418">
        <v>0</v>
      </c>
      <c r="E418">
        <v>1</v>
      </c>
      <c r="F418">
        <v>0</v>
      </c>
      <c r="G418">
        <v>1</v>
      </c>
      <c r="H418">
        <v>1</v>
      </c>
      <c r="I418">
        <v>1</v>
      </c>
      <c r="J418">
        <v>0</v>
      </c>
      <c r="K418">
        <v>0</v>
      </c>
      <c r="L418">
        <v>1</v>
      </c>
      <c r="M418">
        <v>0</v>
      </c>
      <c r="N418">
        <v>0</v>
      </c>
      <c r="O418">
        <v>1</v>
      </c>
      <c r="P418">
        <v>0</v>
      </c>
      <c r="Q418">
        <v>0</v>
      </c>
    </row>
    <row r="419" spans="1:17" x14ac:dyDescent="0.3">
      <c r="A419">
        <v>0</v>
      </c>
      <c r="B419">
        <v>0</v>
      </c>
      <c r="C419">
        <v>0</v>
      </c>
      <c r="D419">
        <v>0</v>
      </c>
      <c r="E419">
        <v>0</v>
      </c>
      <c r="F419">
        <v>1</v>
      </c>
      <c r="G419">
        <v>0</v>
      </c>
      <c r="H419">
        <v>0</v>
      </c>
      <c r="I419">
        <v>0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</row>
    <row r="420" spans="1:17" x14ac:dyDescent="0.3">
      <c r="A420">
        <v>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1</v>
      </c>
      <c r="I420">
        <v>0</v>
      </c>
      <c r="J420">
        <v>1</v>
      </c>
      <c r="K420">
        <v>0</v>
      </c>
      <c r="L420">
        <v>1</v>
      </c>
      <c r="M420">
        <v>1</v>
      </c>
      <c r="N420">
        <v>0</v>
      </c>
      <c r="O420">
        <v>1</v>
      </c>
      <c r="P420">
        <v>1</v>
      </c>
      <c r="Q420">
        <v>1</v>
      </c>
    </row>
  </sheetData>
  <mergeCells count="6">
    <mergeCell ref="V34:AA34"/>
    <mergeCell ref="V7:AC7"/>
    <mergeCell ref="V27:AB27"/>
    <mergeCell ref="S3:T4"/>
    <mergeCell ref="V25:AB25"/>
    <mergeCell ref="V28:W28"/>
  </mergeCells>
  <phoneticPr fontId="4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E74E94-7943-4931-8388-6F00CCED83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Formula</vt:lpstr>
      <vt:lpstr>Linear Regression</vt:lpstr>
      <vt:lpstr>Moving Average</vt:lpstr>
      <vt:lpstr>Smoothing</vt:lpstr>
      <vt:lpstr>Multiple Linear Regression</vt:lpstr>
      <vt:lpstr>Probability Distribution</vt:lpstr>
      <vt:lpstr>Binomial Logistic Regression</vt:lpstr>
      <vt:lpstr>MLR</vt:lpstr>
      <vt:lpstr>Market Basket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STANLEY NATHANAEL WIJAYA</cp:lastModifiedBy>
  <dcterms:created xsi:type="dcterms:W3CDTF">2015-06-05T18:17:20Z</dcterms:created>
  <dcterms:modified xsi:type="dcterms:W3CDTF">2024-08-27T05:34:52Z</dcterms:modified>
</cp:coreProperties>
</file>