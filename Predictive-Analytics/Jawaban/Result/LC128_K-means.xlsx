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xStyNWx\Documents\BINUS University\Assistant Lab\Post Training\Predictive Analytics\Qualification\Answer\"/>
    </mc:Choice>
  </mc:AlternateContent>
  <xr:revisionPtr revIDLastSave="0" documentId="13_ncr:1_{D1EE6FF2-27EB-460B-BB89-477D4B0DE09C}" xr6:coauthVersionLast="47" xr6:coauthVersionMax="47" xr10:uidLastSave="{00000000-0000-0000-0000-000000000000}"/>
  <bookViews>
    <workbookView xWindow="-108" yWindow="-108" windowWidth="23256" windowHeight="12456" activeTab="3" xr2:uid="{A88438D4-0D94-454C-8132-6F27E11DF913}"/>
  </bookViews>
  <sheets>
    <sheet name="MainTable" sheetId="3" r:id="rId1"/>
    <sheet name="Iterasi1" sheetId="2" r:id="rId2"/>
    <sheet name="Iterasi2" sheetId="4" r:id="rId3"/>
    <sheet name="Penguin Species" sheetId="1" r:id="rId4"/>
    <sheet name="Conclusion (BONUS)" sheetId="5" r:id="rId5"/>
  </sheets>
  <definedNames>
    <definedName name="ExternalData_1" localSheetId="1" hidden="1">Iterasi1!$A$1:$F$4</definedName>
    <definedName name="ExternalData_1" localSheetId="3" hidden="1">'Penguin Species'!$T$3:$Y$6</definedName>
    <definedName name="ExternalData_2" localSheetId="2" hidden="1">Iterasi2!$A$1:$F$4</definedName>
    <definedName name="ExternalData_2" localSheetId="0" hidden="1">MainTable!$A$1:$F$271</definedName>
    <definedName name="ExternalData_2" localSheetId="3" hidden="1">'Penguin Species'!$AA$3:$AF$6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5" l="1"/>
  <c r="V5" i="5"/>
  <c r="V4" i="5"/>
  <c r="V3" i="5"/>
  <c r="Q4" i="5"/>
  <c r="Q3" i="5"/>
  <c r="Q6" i="5"/>
  <c r="Q5" i="5"/>
  <c r="L6" i="5"/>
  <c r="L5" i="5"/>
  <c r="L4" i="5"/>
  <c r="L3" i="5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6" i="5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A13" i="1"/>
  <c r="AA22" i="1"/>
  <c r="AA40" i="1"/>
  <c r="AA50" i="1"/>
  <c r="AA59" i="1"/>
  <c r="AA68" i="1"/>
  <c r="AA77" i="1"/>
  <c r="AA86" i="1"/>
  <c r="AA104" i="1"/>
  <c r="AA114" i="1"/>
  <c r="AA123" i="1"/>
  <c r="AA132" i="1"/>
  <c r="AA141" i="1"/>
  <c r="AA150" i="1"/>
  <c r="AA168" i="1"/>
  <c r="AA178" i="1"/>
  <c r="AA187" i="1"/>
  <c r="AA196" i="1"/>
  <c r="AA205" i="1"/>
  <c r="AA214" i="1"/>
  <c r="AA232" i="1"/>
  <c r="AA242" i="1"/>
  <c r="AA251" i="1"/>
  <c r="AA260" i="1"/>
  <c r="AA269" i="1"/>
  <c r="AA278" i="1"/>
  <c r="T12" i="1"/>
  <c r="T13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A31" i="1" s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A95" i="1" s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A159" i="1" s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A223" i="1" s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C12" i="1"/>
  <c r="AA12" i="1" s="1"/>
  <c r="AC13" i="1"/>
  <c r="AC14" i="1"/>
  <c r="AA14" i="1" s="1"/>
  <c r="AC15" i="1"/>
  <c r="AA15" i="1" s="1"/>
  <c r="AC16" i="1"/>
  <c r="AA16" i="1" s="1"/>
  <c r="AC17" i="1"/>
  <c r="AC18" i="1"/>
  <c r="AA18" i="1" s="1"/>
  <c r="AC19" i="1"/>
  <c r="AA19" i="1" s="1"/>
  <c r="AC20" i="1"/>
  <c r="AA20" i="1" s="1"/>
  <c r="AC21" i="1"/>
  <c r="AA21" i="1" s="1"/>
  <c r="AC22" i="1"/>
  <c r="AC23" i="1"/>
  <c r="AA23" i="1" s="1"/>
  <c r="AC24" i="1"/>
  <c r="AA24" i="1" s="1"/>
  <c r="AC25" i="1"/>
  <c r="AC26" i="1"/>
  <c r="AA26" i="1" s="1"/>
  <c r="AC27" i="1"/>
  <c r="AA27" i="1" s="1"/>
  <c r="AC28" i="1"/>
  <c r="AA28" i="1" s="1"/>
  <c r="AC29" i="1"/>
  <c r="AA29" i="1" s="1"/>
  <c r="AC30" i="1"/>
  <c r="AA30" i="1" s="1"/>
  <c r="AC31" i="1"/>
  <c r="AC32" i="1"/>
  <c r="AA32" i="1" s="1"/>
  <c r="AC33" i="1"/>
  <c r="AC34" i="1"/>
  <c r="AA34" i="1" s="1"/>
  <c r="AC35" i="1"/>
  <c r="AA35" i="1" s="1"/>
  <c r="AC36" i="1"/>
  <c r="AA36" i="1" s="1"/>
  <c r="AC37" i="1"/>
  <c r="AA37" i="1" s="1"/>
  <c r="AC38" i="1"/>
  <c r="AA38" i="1" s="1"/>
  <c r="AC39" i="1"/>
  <c r="AA39" i="1" s="1"/>
  <c r="AC40" i="1"/>
  <c r="AC41" i="1"/>
  <c r="AC42" i="1"/>
  <c r="AA42" i="1" s="1"/>
  <c r="AC43" i="1"/>
  <c r="AA43" i="1" s="1"/>
  <c r="AC44" i="1"/>
  <c r="AA44" i="1" s="1"/>
  <c r="AC45" i="1"/>
  <c r="AA45" i="1" s="1"/>
  <c r="AC46" i="1"/>
  <c r="AA46" i="1" s="1"/>
  <c r="AC47" i="1"/>
  <c r="AA47" i="1" s="1"/>
  <c r="AC48" i="1"/>
  <c r="AA48" i="1" s="1"/>
  <c r="AC49" i="1"/>
  <c r="AC50" i="1"/>
  <c r="AC51" i="1"/>
  <c r="AA51" i="1" s="1"/>
  <c r="AC52" i="1"/>
  <c r="AA52" i="1" s="1"/>
  <c r="AC53" i="1"/>
  <c r="AA53" i="1" s="1"/>
  <c r="AC54" i="1"/>
  <c r="AA54" i="1" s="1"/>
  <c r="AC55" i="1"/>
  <c r="AA55" i="1" s="1"/>
  <c r="AC56" i="1"/>
  <c r="AA56" i="1" s="1"/>
  <c r="AC57" i="1"/>
  <c r="AC58" i="1"/>
  <c r="AA58" i="1" s="1"/>
  <c r="AC59" i="1"/>
  <c r="AC60" i="1"/>
  <c r="AA60" i="1" s="1"/>
  <c r="AC61" i="1"/>
  <c r="AA61" i="1" s="1"/>
  <c r="AC62" i="1"/>
  <c r="AA62" i="1" s="1"/>
  <c r="AC63" i="1"/>
  <c r="AA63" i="1" s="1"/>
  <c r="AC64" i="1"/>
  <c r="AA64" i="1" s="1"/>
  <c r="AC65" i="1"/>
  <c r="AC66" i="1"/>
  <c r="AA66" i="1" s="1"/>
  <c r="AC67" i="1"/>
  <c r="AA67" i="1" s="1"/>
  <c r="AC68" i="1"/>
  <c r="AC69" i="1"/>
  <c r="AA69" i="1" s="1"/>
  <c r="AC70" i="1"/>
  <c r="AA70" i="1" s="1"/>
  <c r="AC71" i="1"/>
  <c r="AA71" i="1" s="1"/>
  <c r="AC72" i="1"/>
  <c r="AA72" i="1" s="1"/>
  <c r="AC73" i="1"/>
  <c r="AC74" i="1"/>
  <c r="AA74" i="1" s="1"/>
  <c r="AC75" i="1"/>
  <c r="AA75" i="1" s="1"/>
  <c r="AC76" i="1"/>
  <c r="AA76" i="1" s="1"/>
  <c r="AC77" i="1"/>
  <c r="AC78" i="1"/>
  <c r="AA78" i="1" s="1"/>
  <c r="AC79" i="1"/>
  <c r="AA79" i="1" s="1"/>
  <c r="AC80" i="1"/>
  <c r="AA80" i="1" s="1"/>
  <c r="AC81" i="1"/>
  <c r="AC82" i="1"/>
  <c r="AA82" i="1" s="1"/>
  <c r="AC83" i="1"/>
  <c r="AA83" i="1" s="1"/>
  <c r="AC84" i="1"/>
  <c r="AA84" i="1" s="1"/>
  <c r="AC85" i="1"/>
  <c r="AA85" i="1" s="1"/>
  <c r="AC86" i="1"/>
  <c r="AC87" i="1"/>
  <c r="AA87" i="1" s="1"/>
  <c r="AC88" i="1"/>
  <c r="AA88" i="1" s="1"/>
  <c r="AC89" i="1"/>
  <c r="AC90" i="1"/>
  <c r="AA90" i="1" s="1"/>
  <c r="AC91" i="1"/>
  <c r="AA91" i="1" s="1"/>
  <c r="AC92" i="1"/>
  <c r="AA92" i="1" s="1"/>
  <c r="AC93" i="1"/>
  <c r="AA93" i="1" s="1"/>
  <c r="AC94" i="1"/>
  <c r="AA94" i="1" s="1"/>
  <c r="AC95" i="1"/>
  <c r="AC96" i="1"/>
  <c r="AA96" i="1" s="1"/>
  <c r="AC97" i="1"/>
  <c r="AC98" i="1"/>
  <c r="AA98" i="1" s="1"/>
  <c r="AC99" i="1"/>
  <c r="AA99" i="1" s="1"/>
  <c r="AC100" i="1"/>
  <c r="AA100" i="1" s="1"/>
  <c r="AC101" i="1"/>
  <c r="AA101" i="1" s="1"/>
  <c r="AC102" i="1"/>
  <c r="AA102" i="1" s="1"/>
  <c r="AC103" i="1"/>
  <c r="AA103" i="1" s="1"/>
  <c r="AC104" i="1"/>
  <c r="AC105" i="1"/>
  <c r="AC106" i="1"/>
  <c r="AA106" i="1" s="1"/>
  <c r="AC107" i="1"/>
  <c r="AA107" i="1" s="1"/>
  <c r="AC108" i="1"/>
  <c r="AA108" i="1" s="1"/>
  <c r="AC109" i="1"/>
  <c r="AA109" i="1" s="1"/>
  <c r="AC110" i="1"/>
  <c r="AA110" i="1" s="1"/>
  <c r="AC111" i="1"/>
  <c r="AA111" i="1" s="1"/>
  <c r="AC112" i="1"/>
  <c r="AA112" i="1" s="1"/>
  <c r="AC113" i="1"/>
  <c r="AC114" i="1"/>
  <c r="AC115" i="1"/>
  <c r="AA115" i="1" s="1"/>
  <c r="AC116" i="1"/>
  <c r="AA116" i="1" s="1"/>
  <c r="AC117" i="1"/>
  <c r="AA117" i="1" s="1"/>
  <c r="AC118" i="1"/>
  <c r="AA118" i="1" s="1"/>
  <c r="AC119" i="1"/>
  <c r="AA119" i="1" s="1"/>
  <c r="AC120" i="1"/>
  <c r="AA120" i="1" s="1"/>
  <c r="AC121" i="1"/>
  <c r="AC122" i="1"/>
  <c r="AA122" i="1" s="1"/>
  <c r="AC123" i="1"/>
  <c r="AC124" i="1"/>
  <c r="AA124" i="1" s="1"/>
  <c r="AC125" i="1"/>
  <c r="AA125" i="1" s="1"/>
  <c r="AC126" i="1"/>
  <c r="AA126" i="1" s="1"/>
  <c r="AC127" i="1"/>
  <c r="AA127" i="1" s="1"/>
  <c r="AC128" i="1"/>
  <c r="AA128" i="1" s="1"/>
  <c r="AC129" i="1"/>
  <c r="AC130" i="1"/>
  <c r="AA130" i="1" s="1"/>
  <c r="AC131" i="1"/>
  <c r="AA131" i="1" s="1"/>
  <c r="AC132" i="1"/>
  <c r="AC133" i="1"/>
  <c r="AA133" i="1" s="1"/>
  <c r="AC134" i="1"/>
  <c r="AA134" i="1" s="1"/>
  <c r="AC135" i="1"/>
  <c r="AA135" i="1" s="1"/>
  <c r="AC136" i="1"/>
  <c r="AA136" i="1" s="1"/>
  <c r="AC137" i="1"/>
  <c r="AC138" i="1"/>
  <c r="AA138" i="1" s="1"/>
  <c r="AC139" i="1"/>
  <c r="AA139" i="1" s="1"/>
  <c r="AC140" i="1"/>
  <c r="AA140" i="1" s="1"/>
  <c r="AC141" i="1"/>
  <c r="AC142" i="1"/>
  <c r="AA142" i="1" s="1"/>
  <c r="AC143" i="1"/>
  <c r="AA143" i="1" s="1"/>
  <c r="AC144" i="1"/>
  <c r="AA144" i="1" s="1"/>
  <c r="AC145" i="1"/>
  <c r="AC146" i="1"/>
  <c r="AA146" i="1" s="1"/>
  <c r="AC147" i="1"/>
  <c r="AA147" i="1" s="1"/>
  <c r="AC148" i="1"/>
  <c r="AA148" i="1" s="1"/>
  <c r="AC149" i="1"/>
  <c r="AA149" i="1" s="1"/>
  <c r="AC150" i="1"/>
  <c r="AC151" i="1"/>
  <c r="AA151" i="1" s="1"/>
  <c r="AC152" i="1"/>
  <c r="AA152" i="1" s="1"/>
  <c r="AC153" i="1"/>
  <c r="AC154" i="1"/>
  <c r="AA154" i="1" s="1"/>
  <c r="AC155" i="1"/>
  <c r="AA155" i="1" s="1"/>
  <c r="AC156" i="1"/>
  <c r="AA156" i="1" s="1"/>
  <c r="AC157" i="1"/>
  <c r="AA157" i="1" s="1"/>
  <c r="AC158" i="1"/>
  <c r="AA158" i="1" s="1"/>
  <c r="AC159" i="1"/>
  <c r="AC160" i="1"/>
  <c r="AA160" i="1" s="1"/>
  <c r="AC161" i="1"/>
  <c r="AC162" i="1"/>
  <c r="AA162" i="1" s="1"/>
  <c r="AC163" i="1"/>
  <c r="AA163" i="1" s="1"/>
  <c r="AC164" i="1"/>
  <c r="AA164" i="1" s="1"/>
  <c r="AC165" i="1"/>
  <c r="AA165" i="1" s="1"/>
  <c r="AC166" i="1"/>
  <c r="AA166" i="1" s="1"/>
  <c r="AC167" i="1"/>
  <c r="AA167" i="1" s="1"/>
  <c r="AC168" i="1"/>
  <c r="AC169" i="1"/>
  <c r="AC170" i="1"/>
  <c r="AA170" i="1" s="1"/>
  <c r="AC171" i="1"/>
  <c r="AA171" i="1" s="1"/>
  <c r="AC172" i="1"/>
  <c r="AA172" i="1" s="1"/>
  <c r="AC173" i="1"/>
  <c r="AA173" i="1" s="1"/>
  <c r="AC174" i="1"/>
  <c r="AA174" i="1" s="1"/>
  <c r="AC175" i="1"/>
  <c r="AA175" i="1" s="1"/>
  <c r="AC176" i="1"/>
  <c r="AA176" i="1" s="1"/>
  <c r="AC177" i="1"/>
  <c r="AC178" i="1"/>
  <c r="AC179" i="1"/>
  <c r="AA179" i="1" s="1"/>
  <c r="AC180" i="1"/>
  <c r="AA180" i="1" s="1"/>
  <c r="AC181" i="1"/>
  <c r="AA181" i="1" s="1"/>
  <c r="AC182" i="1"/>
  <c r="AA182" i="1" s="1"/>
  <c r="AC183" i="1"/>
  <c r="AA183" i="1" s="1"/>
  <c r="AC184" i="1"/>
  <c r="AA184" i="1" s="1"/>
  <c r="AC185" i="1"/>
  <c r="AC186" i="1"/>
  <c r="AA186" i="1" s="1"/>
  <c r="AC187" i="1"/>
  <c r="AC188" i="1"/>
  <c r="AA188" i="1" s="1"/>
  <c r="AC189" i="1"/>
  <c r="AA189" i="1" s="1"/>
  <c r="AC190" i="1"/>
  <c r="AA190" i="1" s="1"/>
  <c r="AC191" i="1"/>
  <c r="AA191" i="1" s="1"/>
  <c r="AC192" i="1"/>
  <c r="AA192" i="1" s="1"/>
  <c r="AC193" i="1"/>
  <c r="AC194" i="1"/>
  <c r="AA194" i="1" s="1"/>
  <c r="AC195" i="1"/>
  <c r="AA195" i="1" s="1"/>
  <c r="AC196" i="1"/>
  <c r="AC197" i="1"/>
  <c r="AA197" i="1" s="1"/>
  <c r="AC198" i="1"/>
  <c r="AA198" i="1" s="1"/>
  <c r="AC199" i="1"/>
  <c r="AA199" i="1" s="1"/>
  <c r="AC200" i="1"/>
  <c r="AA200" i="1" s="1"/>
  <c r="AC201" i="1"/>
  <c r="AC202" i="1"/>
  <c r="AA202" i="1" s="1"/>
  <c r="AC203" i="1"/>
  <c r="AA203" i="1" s="1"/>
  <c r="AC204" i="1"/>
  <c r="AA204" i="1" s="1"/>
  <c r="AC205" i="1"/>
  <c r="AC206" i="1"/>
  <c r="AA206" i="1" s="1"/>
  <c r="AC207" i="1"/>
  <c r="AA207" i="1" s="1"/>
  <c r="AC208" i="1"/>
  <c r="AA208" i="1" s="1"/>
  <c r="AC209" i="1"/>
  <c r="AC210" i="1"/>
  <c r="AA210" i="1" s="1"/>
  <c r="AC211" i="1"/>
  <c r="AA211" i="1" s="1"/>
  <c r="AC212" i="1"/>
  <c r="AA212" i="1" s="1"/>
  <c r="AC213" i="1"/>
  <c r="AA213" i="1" s="1"/>
  <c r="AC214" i="1"/>
  <c r="AC215" i="1"/>
  <c r="AA215" i="1" s="1"/>
  <c r="AC216" i="1"/>
  <c r="AA216" i="1" s="1"/>
  <c r="AC217" i="1"/>
  <c r="AC218" i="1"/>
  <c r="AA218" i="1" s="1"/>
  <c r="AC219" i="1"/>
  <c r="AA219" i="1" s="1"/>
  <c r="AC220" i="1"/>
  <c r="AA220" i="1" s="1"/>
  <c r="AC221" i="1"/>
  <c r="AA221" i="1" s="1"/>
  <c r="AC222" i="1"/>
  <c r="AA222" i="1" s="1"/>
  <c r="AC223" i="1"/>
  <c r="AC224" i="1"/>
  <c r="AA224" i="1" s="1"/>
  <c r="AC225" i="1"/>
  <c r="AC226" i="1"/>
  <c r="AA226" i="1" s="1"/>
  <c r="AC227" i="1"/>
  <c r="AA227" i="1" s="1"/>
  <c r="AC228" i="1"/>
  <c r="AA228" i="1" s="1"/>
  <c r="AC229" i="1"/>
  <c r="AA229" i="1" s="1"/>
  <c r="AC230" i="1"/>
  <c r="AA230" i="1" s="1"/>
  <c r="AC231" i="1"/>
  <c r="AA231" i="1" s="1"/>
  <c r="AC232" i="1"/>
  <c r="AC233" i="1"/>
  <c r="AC234" i="1"/>
  <c r="AA234" i="1" s="1"/>
  <c r="AC235" i="1"/>
  <c r="AA235" i="1" s="1"/>
  <c r="AC236" i="1"/>
  <c r="AA236" i="1" s="1"/>
  <c r="AC237" i="1"/>
  <c r="AA237" i="1" s="1"/>
  <c r="AC238" i="1"/>
  <c r="AA238" i="1" s="1"/>
  <c r="AC239" i="1"/>
  <c r="AA239" i="1" s="1"/>
  <c r="AC240" i="1"/>
  <c r="AA240" i="1" s="1"/>
  <c r="AC241" i="1"/>
  <c r="AC242" i="1"/>
  <c r="AC243" i="1"/>
  <c r="AA243" i="1" s="1"/>
  <c r="AC244" i="1"/>
  <c r="AA244" i="1" s="1"/>
  <c r="AC245" i="1"/>
  <c r="AA245" i="1" s="1"/>
  <c r="AC246" i="1"/>
  <c r="AA246" i="1" s="1"/>
  <c r="AC247" i="1"/>
  <c r="AA247" i="1" s="1"/>
  <c r="AC248" i="1"/>
  <c r="AA248" i="1" s="1"/>
  <c r="AC249" i="1"/>
  <c r="AC250" i="1"/>
  <c r="AA250" i="1" s="1"/>
  <c r="AC251" i="1"/>
  <c r="AC252" i="1"/>
  <c r="AA252" i="1" s="1"/>
  <c r="AC253" i="1"/>
  <c r="AA253" i="1" s="1"/>
  <c r="AC254" i="1"/>
  <c r="AA254" i="1" s="1"/>
  <c r="AC255" i="1"/>
  <c r="AA255" i="1" s="1"/>
  <c r="AC256" i="1"/>
  <c r="AA256" i="1" s="1"/>
  <c r="AC257" i="1"/>
  <c r="AC258" i="1"/>
  <c r="AA258" i="1" s="1"/>
  <c r="AC259" i="1"/>
  <c r="AA259" i="1" s="1"/>
  <c r="AC260" i="1"/>
  <c r="AC261" i="1"/>
  <c r="AA261" i="1" s="1"/>
  <c r="AC262" i="1"/>
  <c r="AA262" i="1" s="1"/>
  <c r="AC263" i="1"/>
  <c r="AA263" i="1" s="1"/>
  <c r="AC264" i="1"/>
  <c r="AA264" i="1" s="1"/>
  <c r="AC265" i="1"/>
  <c r="AC266" i="1"/>
  <c r="AA266" i="1" s="1"/>
  <c r="AC267" i="1"/>
  <c r="AA267" i="1" s="1"/>
  <c r="AC268" i="1"/>
  <c r="AA268" i="1" s="1"/>
  <c r="AC269" i="1"/>
  <c r="AC270" i="1"/>
  <c r="AA270" i="1" s="1"/>
  <c r="AC271" i="1"/>
  <c r="AA271" i="1" s="1"/>
  <c r="AC272" i="1"/>
  <c r="AA272" i="1" s="1"/>
  <c r="AC273" i="1"/>
  <c r="AC274" i="1"/>
  <c r="AA274" i="1" s="1"/>
  <c r="AC275" i="1"/>
  <c r="AA275" i="1" s="1"/>
  <c r="AC276" i="1"/>
  <c r="AA276" i="1" s="1"/>
  <c r="AC277" i="1"/>
  <c r="AA277" i="1" s="1"/>
  <c r="AC278" i="1"/>
  <c r="AC279" i="1"/>
  <c r="AA279" i="1" s="1"/>
  <c r="AC280" i="1"/>
  <c r="AA280" i="1" s="1"/>
  <c r="AC281" i="1"/>
  <c r="V12" i="1"/>
  <c r="AB15" i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B128" i="1" s="1"/>
  <c r="AB129" i="1" s="1"/>
  <c r="AB130" i="1" s="1"/>
  <c r="AB131" i="1" s="1"/>
  <c r="AB132" i="1" s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B147" i="1" s="1"/>
  <c r="AB148" i="1" s="1"/>
  <c r="AB149" i="1" s="1"/>
  <c r="AB150" i="1" s="1"/>
  <c r="AB151" i="1" s="1"/>
  <c r="AB152" i="1" s="1"/>
  <c r="AB153" i="1" s="1"/>
  <c r="AB154" i="1" s="1"/>
  <c r="AB155" i="1" s="1"/>
  <c r="AB156" i="1" s="1"/>
  <c r="AB157" i="1" s="1"/>
  <c r="AB158" i="1" s="1"/>
  <c r="AB159" i="1" s="1"/>
  <c r="AB160" i="1" s="1"/>
  <c r="AB161" i="1" s="1"/>
  <c r="AB162" i="1" s="1"/>
  <c r="AB163" i="1" s="1"/>
  <c r="AB164" i="1" s="1"/>
  <c r="AB165" i="1" s="1"/>
  <c r="AB166" i="1" s="1"/>
  <c r="AB167" i="1" s="1"/>
  <c r="AB168" i="1" s="1"/>
  <c r="AB169" i="1" s="1"/>
  <c r="AB170" i="1" s="1"/>
  <c r="AB171" i="1" s="1"/>
  <c r="AB172" i="1" s="1"/>
  <c r="AB173" i="1" s="1"/>
  <c r="AB174" i="1" s="1"/>
  <c r="AB175" i="1" s="1"/>
  <c r="AB176" i="1" s="1"/>
  <c r="AB177" i="1" s="1"/>
  <c r="AB178" i="1" s="1"/>
  <c r="AB179" i="1" s="1"/>
  <c r="AB180" i="1" s="1"/>
  <c r="AB181" i="1" s="1"/>
  <c r="AB182" i="1" s="1"/>
  <c r="AB183" i="1" s="1"/>
  <c r="AB184" i="1" s="1"/>
  <c r="AB185" i="1" s="1"/>
  <c r="AB186" i="1" s="1"/>
  <c r="AB187" i="1" s="1"/>
  <c r="AB188" i="1" s="1"/>
  <c r="AB189" i="1" s="1"/>
  <c r="AB190" i="1" s="1"/>
  <c r="AB191" i="1" s="1"/>
  <c r="AB192" i="1" s="1"/>
  <c r="AB193" i="1" s="1"/>
  <c r="AB194" i="1" s="1"/>
  <c r="AB195" i="1" s="1"/>
  <c r="AB196" i="1" s="1"/>
  <c r="AB197" i="1" s="1"/>
  <c r="AB198" i="1" s="1"/>
  <c r="AB199" i="1" s="1"/>
  <c r="AB200" i="1" s="1"/>
  <c r="AB201" i="1" s="1"/>
  <c r="AB202" i="1" s="1"/>
  <c r="AB203" i="1" s="1"/>
  <c r="AB204" i="1" s="1"/>
  <c r="AB205" i="1" s="1"/>
  <c r="AB206" i="1" s="1"/>
  <c r="AB207" i="1" s="1"/>
  <c r="AB208" i="1" s="1"/>
  <c r="AB209" i="1" s="1"/>
  <c r="AB210" i="1" s="1"/>
  <c r="AB211" i="1" s="1"/>
  <c r="AB212" i="1" s="1"/>
  <c r="AB213" i="1" s="1"/>
  <c r="AB214" i="1" s="1"/>
  <c r="AB215" i="1" s="1"/>
  <c r="AB216" i="1" s="1"/>
  <c r="AB217" i="1" s="1"/>
  <c r="AB218" i="1" s="1"/>
  <c r="AB219" i="1" s="1"/>
  <c r="AB220" i="1" s="1"/>
  <c r="AB221" i="1" s="1"/>
  <c r="AB222" i="1" s="1"/>
  <c r="AB223" i="1" s="1"/>
  <c r="AB224" i="1" s="1"/>
  <c r="AB225" i="1" s="1"/>
  <c r="AB226" i="1" s="1"/>
  <c r="AB227" i="1" s="1"/>
  <c r="AB228" i="1" s="1"/>
  <c r="AB229" i="1" s="1"/>
  <c r="AB230" i="1" s="1"/>
  <c r="AB231" i="1" s="1"/>
  <c r="AB232" i="1" s="1"/>
  <c r="AB233" i="1" s="1"/>
  <c r="AB234" i="1" s="1"/>
  <c r="AB235" i="1" s="1"/>
  <c r="AB236" i="1" s="1"/>
  <c r="AB237" i="1" s="1"/>
  <c r="AB238" i="1" s="1"/>
  <c r="AB239" i="1" s="1"/>
  <c r="AB240" i="1" s="1"/>
  <c r="AB241" i="1" s="1"/>
  <c r="AB242" i="1" s="1"/>
  <c r="AB243" i="1" s="1"/>
  <c r="AB244" i="1" s="1"/>
  <c r="AB245" i="1" s="1"/>
  <c r="AB246" i="1" s="1"/>
  <c r="AB247" i="1" s="1"/>
  <c r="AB248" i="1" s="1"/>
  <c r="AB249" i="1" s="1"/>
  <c r="AB250" i="1" s="1"/>
  <c r="AB251" i="1" s="1"/>
  <c r="AB252" i="1" s="1"/>
  <c r="AB253" i="1" s="1"/>
  <c r="AB254" i="1" s="1"/>
  <c r="AB255" i="1" s="1"/>
  <c r="AB256" i="1" s="1"/>
  <c r="AB257" i="1" s="1"/>
  <c r="AB258" i="1" s="1"/>
  <c r="AB259" i="1" s="1"/>
  <c r="AB260" i="1" s="1"/>
  <c r="AB261" i="1" s="1"/>
  <c r="AB262" i="1" s="1"/>
  <c r="AB263" i="1" s="1"/>
  <c r="AB264" i="1" s="1"/>
  <c r="AB265" i="1" s="1"/>
  <c r="AB266" i="1" s="1"/>
  <c r="AB267" i="1" s="1"/>
  <c r="AB268" i="1" s="1"/>
  <c r="AB269" i="1" s="1"/>
  <c r="AB270" i="1" s="1"/>
  <c r="AB271" i="1" s="1"/>
  <c r="AB272" i="1" s="1"/>
  <c r="AB273" i="1" s="1"/>
  <c r="AB274" i="1" s="1"/>
  <c r="AB275" i="1" s="1"/>
  <c r="AB276" i="1" s="1"/>
  <c r="AB277" i="1" s="1"/>
  <c r="AB278" i="1" s="1"/>
  <c r="AB279" i="1" s="1"/>
  <c r="AB280" i="1" s="1"/>
  <c r="AB281" i="1" s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K12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W13" i="1"/>
  <c r="W12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M12" i="1"/>
  <c r="U15" i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L15" i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Q4" i="1"/>
  <c r="Q5" i="1"/>
  <c r="Q6" i="1"/>
  <c r="P4" i="1"/>
  <c r="P5" i="1"/>
  <c r="P6" i="1"/>
  <c r="O4" i="1"/>
  <c r="O5" i="1"/>
  <c r="O6" i="1"/>
  <c r="N4" i="1"/>
  <c r="N6" i="1"/>
  <c r="N5" i="1"/>
  <c r="M4" i="1"/>
  <c r="M5" i="1"/>
  <c r="M6" i="1"/>
  <c r="L4" i="1"/>
  <c r="L5" i="1"/>
  <c r="L6" i="1"/>
  <c r="AA281" i="1" l="1"/>
  <c r="AA273" i="1"/>
  <c r="AA265" i="1"/>
  <c r="AA257" i="1"/>
  <c r="AA249" i="1"/>
  <c r="AA241" i="1"/>
  <c r="AA233" i="1"/>
  <c r="AA225" i="1"/>
  <c r="AA217" i="1"/>
  <c r="AA209" i="1"/>
  <c r="AA201" i="1"/>
  <c r="AA193" i="1"/>
  <c r="AA185" i="1"/>
  <c r="AA177" i="1"/>
  <c r="AA169" i="1"/>
  <c r="AA161" i="1"/>
  <c r="AA153" i="1"/>
  <c r="AA145" i="1"/>
  <c r="AA137" i="1"/>
  <c r="AA129" i="1"/>
  <c r="AA121" i="1"/>
  <c r="AA113" i="1"/>
  <c r="AA105" i="1"/>
  <c r="AA97" i="1"/>
  <c r="AA89" i="1"/>
  <c r="AA81" i="1"/>
  <c r="AA73" i="1"/>
  <c r="AA65" i="1"/>
  <c r="AA57" i="1"/>
  <c r="AA49" i="1"/>
  <c r="AA41" i="1"/>
  <c r="AA33" i="1"/>
  <c r="AA25" i="1"/>
  <c r="AA17" i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57980B-9E46-4376-A32C-F3F78FAE9AF5}" keepAlive="1" name="Query - Iterasi1" description="Connection to the 'Iterasi1' query in the workbook." type="5" refreshedVersion="8" background="1" saveData="1">
    <dbPr connection="Provider=Microsoft.Mashup.OleDb.1;Data Source=$Workbook$;Location=Iterasi1;Extended Properties=&quot;&quot;" command="SELECT * FROM [Iterasi1]"/>
  </connection>
  <connection id="2" xr16:uid="{C1648308-E73A-4B5E-8BE7-403E6D00A1BA}" keepAlive="1" name="Query - Iterasi1 (2)" description="Connection to the 'Iterasi1 (2)' query in the workbook." type="5" refreshedVersion="8" background="1" saveData="1">
    <dbPr connection="Provider=Microsoft.Mashup.OleDb.1;Data Source=$Workbook$;Location=&quot;Iterasi1 (2)&quot;;Extended Properties=&quot;&quot;" command="SELECT * FROM [Iterasi1 (2)]"/>
  </connection>
  <connection id="3" xr16:uid="{E7EAC62F-8DF0-4230-B044-ED7DB77F297B}" keepAlive="1" name="Query - MainTable" description="Connection to the 'MainTable' query in the workbook." type="5" refreshedVersion="8" background="1" saveData="1">
    <dbPr connection="Provider=Microsoft.Mashup.OleDb.1;Data Source=$Workbook$;Location=MainTable;Extended Properties=&quot;&quot;" command="SELECT * FROM [MainTable]"/>
  </connection>
  <connection id="4" xr16:uid="{16C9CB4E-9867-4CBE-9064-2C3E1852DB66}" keepAlive="1" name="Query - Table48" description="Connection to the 'Table48' query in the workbook." type="5" refreshedVersion="8" background="1" saveData="1">
    <dbPr connection="Provider=Microsoft.Mashup.OleDb.1;Data Source=$Workbook$;Location=Table48;Extended Properties=&quot;&quot;" command="SELECT * FROM [Table48]"/>
  </connection>
  <connection id="5" xr16:uid="{54D89A2D-DFCB-4976-A19A-FA5165E2A9F7}" keepAlive="1" name="Query - Table48 (2)" description="Connection to the 'Table48 (2)' query in the workbook." type="5" refreshedVersion="8" background="1" saveData="1">
    <dbPr connection="Provider=Microsoft.Mashup.OleDb.1;Data Source=$Workbook$;Location=&quot;Table48 (2)&quot;;Extended Properties=&quot;&quot;" command="SELECT * FROM [Table48 (2)]"/>
  </connection>
</connections>
</file>

<file path=xl/sharedStrings.xml><?xml version="1.0" encoding="utf-8"?>
<sst xmlns="http://schemas.openxmlformats.org/spreadsheetml/2006/main" count="77" uniqueCount="29">
  <si>
    <t>No</t>
  </si>
  <si>
    <t>Initial Cluster</t>
  </si>
  <si>
    <t>Iteration #1</t>
  </si>
  <si>
    <t>Cluster Assigment</t>
  </si>
  <si>
    <t>Cluster 1 Dist</t>
  </si>
  <si>
    <t>Cluster 2 Dist</t>
  </si>
  <si>
    <t>Cluster 3 Dist</t>
  </si>
  <si>
    <t>Iteration #2</t>
  </si>
  <si>
    <t>Iteration #3</t>
  </si>
  <si>
    <t>Culmen Length (mm)</t>
  </si>
  <si>
    <t>Culmen Depth (mm)</t>
  </si>
  <si>
    <t>Flipper Length (mm)</t>
  </si>
  <si>
    <t>Body mass (g)</t>
  </si>
  <si>
    <t>Gender</t>
  </si>
  <si>
    <t>Avg_CulmenLength</t>
  </si>
  <si>
    <t>Avg_CulmenDepth</t>
  </si>
  <si>
    <t>Avg_FlipperLength</t>
  </si>
  <si>
    <t>Avg_BodyMass</t>
  </si>
  <si>
    <t>Avg_Gender</t>
  </si>
  <si>
    <t>Avg_CulmentLength</t>
  </si>
  <si>
    <t>Avg_CulmentDepth</t>
  </si>
  <si>
    <t>Total</t>
  </si>
  <si>
    <t>Random Cluster Index</t>
  </si>
  <si>
    <t>Cluster Assigment (Iteration #2)</t>
  </si>
  <si>
    <t>Cluster Assigment (Iteration #1)</t>
  </si>
  <si>
    <t>Cluster Assigment (Iteration #3 / FINAL)</t>
  </si>
  <si>
    <t>Cluster Grouping Iteration #3</t>
  </si>
  <si>
    <t>Cluster Grouping Iteration #2</t>
  </si>
  <si>
    <t>Cluster Grouping Iteration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</si>
</sst>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/>
    <xf numFmtId="0" fontId="0" fillId="4" borderId="1" xfId="0" applyFill="1" applyBorder="1"/>
    <xf numFmtId="0" fontId="2" fillId="3" borderId="1" xfId="0" applyFont="1" applyFill="1" applyBorder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1" fillId="5" borderId="1" xfId="0" applyFont="1" applyFill="1" applyBorder="1"/>
  </cellXfs>
  <cellStyles count="1">
    <cellStyle name="Normal" xfId="0" builtinId="0"/>
  </cellStyles>
  <dxfs count="3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1CDDAAC-6E78-400F-BB5C-2996232CF94B}" autoFormatId="16" applyNumberFormats="0" applyBorderFormats="0" applyFontFormats="0" applyPatternFormats="0" applyAlignmentFormats="0" applyWidthHeightFormats="0">
  <queryTableRefresh nextId="7">
    <queryTableFields count="6">
      <queryTableField id="1" name="No" tableColumnId="1"/>
      <queryTableField id="2" name="Culmen Length (mm)" tableColumnId="2"/>
      <queryTableField id="3" name="Culmen Depth (mm)" tableColumnId="3"/>
      <queryTableField id="4" name="Flipper Length (mm)" tableColumnId="4"/>
      <queryTableField id="5" name="Body mass (g)" tableColumnId="5"/>
      <queryTableField id="6" name="Gend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A55269-821E-4EAE-AAEC-407298EA4031}" autoFormatId="16" applyNumberFormats="0" applyBorderFormats="0" applyFontFormats="0" applyPatternFormats="0" applyAlignmentFormats="0" applyWidthHeightFormats="0">
  <queryTableRefresh nextId="7">
    <queryTableFields count="6">
      <queryTableField id="1" name="Cluster Assigment" tableColumnId="1"/>
      <queryTableField id="2" name="Avg_CulmenLength" tableColumnId="2"/>
      <queryTableField id="3" name="Avg_CulmenDepth" tableColumnId="3"/>
      <queryTableField id="4" name="Avg_FlipperLength" tableColumnId="4"/>
      <queryTableField id="5" name="Avg_BodyMass" tableColumnId="5"/>
      <queryTableField id="6" name="Avg_Gend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A3F03CE-DC85-4C24-972B-C8D017DBD31B}" autoFormatId="16" applyNumberFormats="0" applyBorderFormats="0" applyFontFormats="0" applyPatternFormats="0" applyAlignmentFormats="0" applyWidthHeightFormats="0">
  <queryTableRefresh nextId="7">
    <queryTableFields count="6">
      <queryTableField id="1" name="Cluster Assigment" tableColumnId="1"/>
      <queryTableField id="2" name="Avg_CulmentLength" tableColumnId="2"/>
      <queryTableField id="3" name="Avg_CulmentDepth" tableColumnId="3"/>
      <queryTableField id="4" name="Avg_FlipperLength" tableColumnId="4"/>
      <queryTableField id="5" name="Avg_BodyMass" tableColumnId="5"/>
      <queryTableField id="6" name="Avg_Gender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A912AD4-7A1A-4656-8404-C08B8322CAC5}" autoFormatId="16" applyNumberFormats="0" applyBorderFormats="0" applyFontFormats="0" applyPatternFormats="0" applyAlignmentFormats="0" applyWidthHeightFormats="0">
  <queryTableRefresh nextId="7">
    <queryTableFields count="6">
      <queryTableField id="1" name="Cluster Assigment" tableColumnId="1"/>
      <queryTableField id="2" name="Avg_CulmenLength" tableColumnId="2"/>
      <queryTableField id="3" name="Avg_CulmenDepth" tableColumnId="3"/>
      <queryTableField id="4" name="Avg_FlipperLength" tableColumnId="4"/>
      <queryTableField id="5" name="Avg_BodyMass" tableColumnId="5"/>
      <queryTableField id="6" name="Avg_Gender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6B73D43E-1C52-4281-A0BB-C24023100E50}" autoFormatId="16" applyNumberFormats="0" applyBorderFormats="0" applyFontFormats="0" applyPatternFormats="0" applyAlignmentFormats="0" applyWidthHeightFormats="0">
  <queryTableRefresh nextId="7">
    <queryTableFields count="6">
      <queryTableField id="1" name="Cluster Assigment" tableColumnId="1"/>
      <queryTableField id="2" name="Avg_CulmentLength" tableColumnId="2"/>
      <queryTableField id="3" name="Avg_CulmentDepth" tableColumnId="3"/>
      <queryTableField id="4" name="Avg_FlipperLength" tableColumnId="4"/>
      <queryTableField id="5" name="Avg_BodyMass" tableColumnId="5"/>
      <queryTableField id="6" name="Avg_Gend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D11707-0980-4C47-93B2-24EDCFB576D2}" name="MainTable_1" displayName="MainTable_1" ref="A1:F271" tableType="queryTable" totalsRowShown="0">
  <autoFilter ref="A1:F271" xr:uid="{32D11707-0980-4C47-93B2-24EDCFB576D2}"/>
  <tableColumns count="6">
    <tableColumn id="1" xr3:uid="{1AE449A1-3E57-45BC-9A0D-59D323797F26}" uniqueName="1" name="No" queryTableFieldId="1"/>
    <tableColumn id="2" xr3:uid="{322874F4-B19C-451B-A551-FC4ECC5F3A13}" uniqueName="2" name="Culmen Length (mm)" queryTableFieldId="2"/>
    <tableColumn id="3" xr3:uid="{47582204-64FB-4663-867B-1B536CD32637}" uniqueName="3" name="Culmen Depth (mm)" queryTableFieldId="3"/>
    <tableColumn id="4" xr3:uid="{5733B12B-D7EB-442E-AF80-E640C31B00EB}" uniqueName="4" name="Flipper Length (mm)" queryTableFieldId="4"/>
    <tableColumn id="5" xr3:uid="{A2972F71-E04B-4590-B6D7-93F2066D4380}" uniqueName="5" name="Body mass (g)" queryTableFieldId="5"/>
    <tableColumn id="6" xr3:uid="{05D1B197-3DD9-413C-9EF6-033BAC5D88EE}" uniqueName="6" name="Gender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AF2F0B-8DE2-4C22-BD1A-15BAFBEDDF02}" name="Iterasi1" displayName="Iterasi1" ref="A1:F4" tableType="queryTable" totalsRowShown="0">
  <autoFilter ref="A1:F4" xr:uid="{82AF2F0B-8DE2-4C22-BD1A-15BAFBEDDF02}"/>
  <tableColumns count="6">
    <tableColumn id="1" xr3:uid="{890F6F1B-4C45-4C6F-8142-C9F946A82F25}" uniqueName="1" name="Cluster Assigment" queryTableFieldId="1"/>
    <tableColumn id="2" xr3:uid="{4C88CEAE-9102-4431-9790-42F98AC61DF4}" uniqueName="2" name="Avg_CulmenLength" queryTableFieldId="2"/>
    <tableColumn id="3" xr3:uid="{4D0265C2-B90E-4950-A0A5-41F42FC17051}" uniqueName="3" name="Avg_CulmenDepth" queryTableFieldId="3"/>
    <tableColumn id="4" xr3:uid="{F80C7601-FDBA-448E-AA7B-7533166CBE89}" uniqueName="4" name="Avg_FlipperLength" queryTableFieldId="4"/>
    <tableColumn id="5" xr3:uid="{0F16A114-F93F-4CCD-8353-EFFF11EDA3AC}" uniqueName="5" name="Avg_BodyMass" queryTableFieldId="5"/>
    <tableColumn id="6" xr3:uid="{EB427C9B-5979-4C7B-AD97-259B945BF7E7}" uniqueName="6" name="Avg_Gender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B9E664-AE64-46CC-B086-1A925FD1E6D2}" name="Table48_1" displayName="Table48_1" ref="A1:F4" tableType="queryTable" totalsRowShown="0">
  <autoFilter ref="A1:F4" xr:uid="{D2B9E664-AE64-46CC-B086-1A925FD1E6D2}"/>
  <tableColumns count="6">
    <tableColumn id="1" xr3:uid="{A923F895-0806-441C-8DD9-D4E8CD1A088A}" uniqueName="1" name="Cluster Assigment" queryTableFieldId="1"/>
    <tableColumn id="2" xr3:uid="{A8FC2373-EAF3-47AE-B50C-75D76D06BB69}" uniqueName="2" name="Avg_CulmentLength" queryTableFieldId="2"/>
    <tableColumn id="3" xr3:uid="{56E28601-7310-4F4B-B181-1A5058482018}" uniqueName="3" name="Avg_CulmentDepth" queryTableFieldId="3"/>
    <tableColumn id="4" xr3:uid="{BCB355CB-1A4D-4D28-B850-F86B803FD9DF}" uniqueName="4" name="Avg_FlipperLength" queryTableFieldId="4"/>
    <tableColumn id="5" xr3:uid="{C901DB16-692A-4F7D-9A57-6D63E60A2003}" uniqueName="5" name="Avg_BodyMass" queryTableFieldId="5"/>
    <tableColumn id="6" xr3:uid="{E62C2EDA-E855-490F-A24F-C4B895D6D161}" uniqueName="6" name="Avg_Gender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C9A5D-B5E3-4FD4-AD1C-A72D87B2AA4A}" name="MainTable" displayName="MainTable" ref="B2:G272" totalsRowShown="0" headerRowDxfId="31" tableBorderDxfId="30">
  <autoFilter ref="B2:G272" xr:uid="{6D6C9A5D-B5E3-4FD4-AD1C-A72D87B2AA4A}"/>
  <tableColumns count="6">
    <tableColumn id="1" xr3:uid="{652D1DC1-387E-445E-B8D3-EF9AAEBC143E}" name="No"/>
    <tableColumn id="3" xr3:uid="{4B102005-EF2C-4B38-A5D4-22FEC8FF9E7E}" name="Culmen Length (mm)" dataDxfId="29"/>
    <tableColumn id="4" xr3:uid="{2D53E7D5-D34C-4CA2-884D-202CE93FFAA3}" name="Culmen Depth (mm)" dataDxfId="28"/>
    <tableColumn id="5" xr3:uid="{2AD2DAD8-5C62-4761-9BCD-72BCA072774C}" name="Flipper Length (mm)" dataDxfId="27"/>
    <tableColumn id="6" xr3:uid="{A02EA4F5-E357-48C8-BAFA-6D2EA420A754}" name="Body mass (g)" dataDxfId="26"/>
    <tableColumn id="7" xr3:uid="{D553025F-4576-45BF-A631-7F0B753A0FC5}" name="Gender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07F196-5268-4BF3-BC24-3B3173800920}" name="Table2" displayName="Table2" ref="K3:Q6" totalsRowShown="0">
  <autoFilter ref="K3:Q6" xr:uid="{C007F196-5268-4BF3-BC24-3B3173800920}"/>
  <tableColumns count="7">
    <tableColumn id="1" xr3:uid="{66511586-320F-424A-80E6-D1F7C01F944B}" name="Initial Cluster"/>
    <tableColumn id="2" xr3:uid="{C5434DC9-DF03-4DAC-8C91-9E8963C17CB5}" name="No" dataDxfId="24">
      <calculatedColumnFormula>I4</calculatedColumnFormula>
    </tableColumn>
    <tableColumn id="3" xr3:uid="{71A030F6-B022-496D-B88C-FC0870A04060}" name="Culmen Length (mm)" dataDxfId="23">
      <calculatedColumnFormula>VLOOKUP(Table2[[#This Row],[No]],MainTable[],2)</calculatedColumnFormula>
    </tableColumn>
    <tableColumn id="4" xr3:uid="{D0D94A13-6E9A-45E3-8846-CD83C7170412}" name="Culmen Depth (mm)" dataDxfId="22">
      <calculatedColumnFormula>VLOOKUP(Table2[[#This Row],[No]],MainTable[],3)</calculatedColumnFormula>
    </tableColumn>
    <tableColumn id="5" xr3:uid="{FF9073EB-1720-4B85-9A91-AAD5D8D253D4}" name="Flipper Length (mm)" dataDxfId="21">
      <calculatedColumnFormula>VLOOKUP(Table2[[#This Row],[No]],MainTable[],4)</calculatedColumnFormula>
    </tableColumn>
    <tableColumn id="6" xr3:uid="{EE785AEB-9E9A-47DF-9311-5CB92CA1AAF0}" name="Body mass (g)" dataDxfId="20">
      <calculatedColumnFormula>VLOOKUP(Table2[[#This Row],[No]],MainTable[],5)</calculatedColumnFormula>
    </tableColumn>
    <tableColumn id="7" xr3:uid="{316FDBCF-1EB2-4816-925A-4B7E0FF4B9C7}" name="Gender" dataDxfId="19">
      <calculatedColumnFormula>VLOOKUP(Table2[[#This Row],[No]],MainTable[],6)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6D3DA2-7A3D-48EE-A684-022BC4E6AA73}" name="Table4" displayName="Table4" ref="K11:O281" totalsRowShown="0">
  <autoFilter ref="K11:O281" xr:uid="{126D3DA2-7A3D-48EE-A684-022BC4E6AA73}"/>
  <tableColumns count="5">
    <tableColumn id="1" xr3:uid="{D844CE2F-362C-4060-82AE-644BE9C85EDF}" name="Cluster Assigment" dataDxfId="15">
      <calculatedColumnFormula>MATCH(MIN(Table4[[#This Row],[Cluster 1 Dist]:[Cluster 3 Dist]]),Table4[[#This Row],[Cluster 1 Dist]:[Cluster 3 Dist]],0)</calculatedColumnFormula>
    </tableColumn>
    <tableColumn id="2" xr3:uid="{7C002AFE-373F-4193-8D50-C6177399EDB6}" name="No"/>
    <tableColumn id="3" xr3:uid="{A0CC9508-1F31-4EBA-963F-042CC3779C93}" name="Cluster 1 Dist" dataDxfId="18">
      <calculatedColumnFormula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calculatedColumnFormula>
    </tableColumn>
    <tableColumn id="4" xr3:uid="{F35084EA-BA33-4297-94F7-2A1A9EFEF901}" name="Cluster 2 Dist" dataDxfId="17">
      <calculatedColumnFormula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calculatedColumnFormula>
    </tableColumn>
    <tableColumn id="5" xr3:uid="{B8D7FFD1-F149-44A2-87E3-D67D043AA336}" name="Cluster 3 Dist" dataDxfId="16">
      <calculatedColumnFormula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F5087F-B0B2-484E-A3DB-E6449CEF82DB}" name="Table48" displayName="Table48" ref="T11:X281" totalsRowShown="0">
  <autoFilter ref="T11:X281" xr:uid="{B8F5087F-B0B2-484E-A3DB-E6449CEF82DB}"/>
  <tableColumns count="5">
    <tableColumn id="1" xr3:uid="{A47BA5EC-2FD1-46D7-9924-D42466DC4B7A}" name="Cluster Assigment" dataDxfId="11">
      <calculatedColumnFormula>MATCH(MIN(Table48[[#This Row],[Cluster 1 Dist]:[Cluster 3 Dist]]),Table48[[#This Row],[Cluster 1 Dist]:[Cluster 3 Dist]],0)</calculatedColumnFormula>
    </tableColumn>
    <tableColumn id="2" xr3:uid="{836FF279-CD58-41A6-AA87-CACCB560D158}" name="No"/>
    <tableColumn id="3" xr3:uid="{1C32F63B-5F96-45D3-B02E-B662E51DC8B2}" name="Cluster 1 Dist" dataDxfId="14">
      <calculatedColumnFormula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calculatedColumnFormula>
    </tableColumn>
    <tableColumn id="4" xr3:uid="{41577821-F212-4DAD-9F7B-2B79F699BDAA}" name="Cluster 2 Dist" dataDxfId="13">
      <calculatedColumnFormula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calculatedColumnFormula>
    </tableColumn>
    <tableColumn id="5" xr3:uid="{63E666D2-0D6F-4990-991F-EBF539CBF9CE}" name="Cluster 3 Dist" dataDxfId="12">
      <calculatedColumnFormula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A2AFC6-6B5C-44B0-8F58-5ACB9CE94BC1}" name="Table4810" displayName="Table4810" ref="AA11:AE281" totalsRowShown="0">
  <autoFilter ref="AA11:AE281" xr:uid="{9EA2AFC6-6B5C-44B0-8F58-5ACB9CE94BC1}"/>
  <tableColumns count="5">
    <tableColumn id="1" xr3:uid="{76C0E28C-A5EA-411C-BC7D-F3E7D458B86F}" name="Cluster Assigment" dataDxfId="8">
      <calculatedColumnFormula>MATCH(MIN(Table4810[[#This Row],[Cluster 1 Dist]:[Cluster 3 Dist]]),Table4810[[#This Row],[Cluster 1 Dist]:[Cluster 3 Dist]],0)</calculatedColumnFormula>
    </tableColumn>
    <tableColumn id="2" xr3:uid="{EC6D43B3-AB24-41B9-BFCB-2A160882CB06}" name="No"/>
    <tableColumn id="3" xr3:uid="{56694840-AC01-40F5-BB9D-3B1DB77A5F88}" name="Cluster 1 Dist" dataDxfId="10">
      <calculatedColumnFormula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calculatedColumnFormula>
    </tableColumn>
    <tableColumn id="4" xr3:uid="{A0997FDA-8830-43FD-AB79-1B38FD499C38}" name="Cluster 2 Dist" dataDxfId="7">
      <calculatedColumnFormula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calculatedColumnFormula>
    </tableColumn>
    <tableColumn id="5" xr3:uid="{1AAED740-772F-4E9A-AF0B-38D2A3155AC7}" name="Cluster 3 Dist" dataDxfId="9">
      <calculatedColumnFormula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A78D04-F9A9-408D-A2D9-312D10130035}" name="Iterasi17" displayName="Iterasi17" ref="T3:Y6" tableType="queryTable" totalsRowShown="0">
  <autoFilter ref="T3:Y6" xr:uid="{A4A78D04-F9A9-408D-A2D9-312D10130035}"/>
  <sortState xmlns:xlrd2="http://schemas.microsoft.com/office/spreadsheetml/2017/richdata2" ref="T4:Y6">
    <sortCondition ref="T3:T6"/>
  </sortState>
  <tableColumns count="6">
    <tableColumn id="1" xr3:uid="{829B5237-CE68-42B9-8913-8F746D9211F3}" uniqueName="1" name="Cluster Assigment" queryTableFieldId="1"/>
    <tableColumn id="2" xr3:uid="{1FB8BA2B-9E6C-4412-8780-24FA1B135A0A}" uniqueName="2" name="Avg_CulmenLength" queryTableFieldId="2"/>
    <tableColumn id="3" xr3:uid="{EB9DCE1C-9406-4236-A639-A1D91416AD8E}" uniqueName="3" name="Avg_CulmenDepth" queryTableFieldId="3"/>
    <tableColumn id="4" xr3:uid="{BD87D755-3432-48DB-9398-565EBA5616F9}" uniqueName="4" name="Avg_FlipperLength" queryTableFieldId="4"/>
    <tableColumn id="5" xr3:uid="{9D53697C-FBD4-4BDA-9610-7C66DA6DACD9}" uniqueName="5" name="Avg_BodyMass" queryTableFieldId="5"/>
    <tableColumn id="6" xr3:uid="{738108B3-4D33-4E27-BF44-38947FEFB1D2}" uniqueName="6" name="Avg_Gender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BDF1F0-CC8A-4BDC-90C4-70618213F8AD}" name="Table48_111" displayName="Table48_111" ref="AA3:AF6" tableType="queryTable" totalsRowShown="0">
  <autoFilter ref="AA3:AF6" xr:uid="{57BDF1F0-CC8A-4BDC-90C4-70618213F8AD}"/>
  <sortState xmlns:xlrd2="http://schemas.microsoft.com/office/spreadsheetml/2017/richdata2" ref="AA4:AF6">
    <sortCondition ref="AA3:AA6"/>
  </sortState>
  <tableColumns count="6">
    <tableColumn id="1" xr3:uid="{F6A3FFC6-66FF-4DD8-A1B6-9DB9A0DC65DE}" uniqueName="1" name="Cluster Assigment" queryTableFieldId="1"/>
    <tableColumn id="2" xr3:uid="{17B23CD3-A697-4797-9CAB-C8446A9A1768}" uniqueName="2" name="Avg_CulmentLength" queryTableFieldId="2"/>
    <tableColumn id="3" xr3:uid="{0172B913-6D21-49A0-BE95-D42CD25D2242}" uniqueName="3" name="Avg_CulmentDepth" queryTableFieldId="3"/>
    <tableColumn id="4" xr3:uid="{D2D203F1-7319-4B02-BB34-1D87BBAB052A}" uniqueName="4" name="Avg_FlipperLength" queryTableFieldId="4"/>
    <tableColumn id="5" xr3:uid="{D5EC9C2F-EEF4-4BF5-8448-C24919993C58}" uniqueName="5" name="Avg_BodyMass" queryTableFieldId="5"/>
    <tableColumn id="6" xr3:uid="{88133A4B-2BF3-479F-A7A3-AD2CFBCCC533}" uniqueName="6" name="Avg_Gender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ACA6C1-FC07-4BF4-8DDD-BD4E8A040698}" name="MainTable12" displayName="MainTable12" ref="B2:G272" totalsRowShown="0" headerRowDxfId="6" tableBorderDxfId="5">
  <autoFilter ref="B2:G272" xr:uid="{40ACA6C1-FC07-4BF4-8DDD-BD4E8A040698}"/>
  <tableColumns count="6">
    <tableColumn id="1" xr3:uid="{16CE6892-3E48-49A9-B7CB-1730A77732DF}" name="No"/>
    <tableColumn id="3" xr3:uid="{77033265-B5D8-456B-B615-DA0FAE00A1EB}" name="Culmen Length (mm)" dataDxfId="4"/>
    <tableColumn id="4" xr3:uid="{2A4FACF8-F240-4D58-8DE3-D2AE1B3B1FE1}" name="Culmen Depth (mm)" dataDxfId="3"/>
    <tableColumn id="5" xr3:uid="{3E81A512-B623-4546-B3F3-F4CB938808E1}" name="Flipper Length (mm)" dataDxfId="2"/>
    <tableColumn id="6" xr3:uid="{324752F0-31DF-4341-8FB4-CDCAB27373B2}" name="Body mass (g)" dataDxfId="1"/>
    <tableColumn id="7" xr3:uid="{BB4D3653-8820-44A7-889E-64C906B78511}" name="Ge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A871-0008-4D7A-BEC1-EECA31D088BE}">
  <dimension ref="A1:F271"/>
  <sheetViews>
    <sheetView workbookViewId="0">
      <selection activeCell="I12" sqref="I12"/>
    </sheetView>
  </sheetViews>
  <sheetFormatPr defaultRowHeight="14.4" x14ac:dyDescent="0.3"/>
  <cols>
    <col min="1" max="1" width="7.44140625" customWidth="1"/>
    <col min="2" max="2" width="21.77734375" customWidth="1"/>
    <col min="3" max="3" width="21" customWidth="1"/>
    <col min="4" max="4" width="21.44140625" customWidth="1"/>
    <col min="5" max="5" width="16" customWidth="1"/>
    <col min="6" max="6" width="12.21875" customWidth="1"/>
  </cols>
  <sheetData>
    <row r="1" spans="1:6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">
      <c r="A2">
        <v>1</v>
      </c>
      <c r="B2">
        <v>411</v>
      </c>
      <c r="C2">
        <v>176</v>
      </c>
      <c r="D2">
        <v>182</v>
      </c>
      <c r="E2">
        <v>3200</v>
      </c>
      <c r="F2">
        <v>0</v>
      </c>
    </row>
    <row r="3" spans="1:6" x14ac:dyDescent="0.3">
      <c r="A3">
        <v>2</v>
      </c>
      <c r="B3">
        <v>386</v>
      </c>
      <c r="C3">
        <v>212</v>
      </c>
      <c r="D3">
        <v>191</v>
      </c>
      <c r="E3">
        <v>3800</v>
      </c>
      <c r="F3">
        <v>1</v>
      </c>
    </row>
    <row r="4" spans="1:6" x14ac:dyDescent="0.3">
      <c r="A4">
        <v>3</v>
      </c>
      <c r="B4">
        <v>346</v>
      </c>
      <c r="C4">
        <v>211</v>
      </c>
      <c r="D4">
        <v>-132</v>
      </c>
      <c r="E4">
        <v>4400</v>
      </c>
      <c r="F4">
        <v>1</v>
      </c>
    </row>
    <row r="5" spans="1:6" x14ac:dyDescent="0.3">
      <c r="A5">
        <v>4</v>
      </c>
      <c r="B5">
        <v>366</v>
      </c>
      <c r="C5">
        <v>178</v>
      </c>
      <c r="D5">
        <v>185</v>
      </c>
      <c r="E5">
        <v>3700</v>
      </c>
      <c r="F5">
        <v>0</v>
      </c>
    </row>
    <row r="6" spans="1:6" x14ac:dyDescent="0.3">
      <c r="A6">
        <v>5</v>
      </c>
      <c r="B6">
        <v>387</v>
      </c>
      <c r="C6">
        <v>19</v>
      </c>
      <c r="D6">
        <v>195</v>
      </c>
      <c r="E6">
        <v>3450</v>
      </c>
      <c r="F6">
        <v>0</v>
      </c>
    </row>
    <row r="7" spans="1:6" x14ac:dyDescent="0.3">
      <c r="A7">
        <v>6</v>
      </c>
      <c r="B7">
        <v>425</v>
      </c>
      <c r="C7">
        <v>207</v>
      </c>
      <c r="D7">
        <v>197</v>
      </c>
      <c r="E7">
        <v>4500</v>
      </c>
      <c r="F7">
        <v>1</v>
      </c>
    </row>
    <row r="8" spans="1:6" x14ac:dyDescent="0.3">
      <c r="A8">
        <v>7</v>
      </c>
      <c r="B8">
        <v>344</v>
      </c>
      <c r="C8">
        <v>184</v>
      </c>
      <c r="D8">
        <v>184</v>
      </c>
      <c r="E8">
        <v>3325</v>
      </c>
      <c r="F8">
        <v>0</v>
      </c>
    </row>
    <row r="9" spans="1:6" x14ac:dyDescent="0.3">
      <c r="A9">
        <v>8</v>
      </c>
      <c r="B9">
        <v>46</v>
      </c>
      <c r="C9">
        <v>215</v>
      </c>
      <c r="D9">
        <v>194</v>
      </c>
      <c r="E9">
        <v>4200</v>
      </c>
      <c r="F9">
        <v>1</v>
      </c>
    </row>
    <row r="10" spans="1:6" x14ac:dyDescent="0.3">
      <c r="A10">
        <v>9</v>
      </c>
      <c r="B10">
        <v>378</v>
      </c>
      <c r="C10">
        <v>183</v>
      </c>
      <c r="D10">
        <v>174</v>
      </c>
      <c r="E10">
        <v>3400</v>
      </c>
      <c r="F10">
        <v>0</v>
      </c>
    </row>
    <row r="11" spans="1:6" x14ac:dyDescent="0.3">
      <c r="A11">
        <v>10</v>
      </c>
      <c r="B11">
        <v>377</v>
      </c>
      <c r="C11">
        <v>187</v>
      </c>
      <c r="D11">
        <v>180</v>
      </c>
      <c r="E11">
        <v>3600</v>
      </c>
      <c r="F11">
        <v>1</v>
      </c>
    </row>
    <row r="12" spans="1:6" x14ac:dyDescent="0.3">
      <c r="A12">
        <v>11</v>
      </c>
      <c r="B12">
        <v>359</v>
      </c>
      <c r="C12">
        <v>192</v>
      </c>
      <c r="D12">
        <v>189</v>
      </c>
      <c r="E12">
        <v>3800</v>
      </c>
      <c r="F12">
        <v>0</v>
      </c>
    </row>
    <row r="13" spans="1:6" x14ac:dyDescent="0.3">
      <c r="A13">
        <v>12</v>
      </c>
      <c r="B13">
        <v>382</v>
      </c>
      <c r="C13">
        <v>181</v>
      </c>
      <c r="D13">
        <v>185</v>
      </c>
      <c r="E13">
        <v>3950</v>
      </c>
      <c r="F13">
        <v>1</v>
      </c>
    </row>
    <row r="14" spans="1:6" x14ac:dyDescent="0.3">
      <c r="A14">
        <v>13</v>
      </c>
      <c r="B14">
        <v>388</v>
      </c>
      <c r="C14">
        <v>172</v>
      </c>
      <c r="D14">
        <v>180</v>
      </c>
      <c r="E14">
        <v>3800</v>
      </c>
      <c r="F14">
        <v>1</v>
      </c>
    </row>
    <row r="15" spans="1:6" x14ac:dyDescent="0.3">
      <c r="A15">
        <v>14</v>
      </c>
      <c r="B15">
        <v>353</v>
      </c>
      <c r="C15">
        <v>189</v>
      </c>
      <c r="D15">
        <v>187</v>
      </c>
      <c r="E15">
        <v>3800</v>
      </c>
      <c r="F15">
        <v>0</v>
      </c>
    </row>
    <row r="16" spans="1:6" x14ac:dyDescent="0.3">
      <c r="A16">
        <v>15</v>
      </c>
      <c r="B16">
        <v>406</v>
      </c>
      <c r="C16">
        <v>186</v>
      </c>
      <c r="D16">
        <v>183</v>
      </c>
      <c r="E16">
        <v>3550</v>
      </c>
      <c r="F16">
        <v>1</v>
      </c>
    </row>
    <row r="17" spans="1:6" x14ac:dyDescent="0.3">
      <c r="A17">
        <v>16</v>
      </c>
      <c r="B17">
        <v>405</v>
      </c>
      <c r="C17">
        <v>179</v>
      </c>
      <c r="D17">
        <v>187</v>
      </c>
      <c r="E17">
        <v>3200</v>
      </c>
      <c r="F17">
        <v>0</v>
      </c>
    </row>
    <row r="18" spans="1:6" x14ac:dyDescent="0.3">
      <c r="A18">
        <v>17</v>
      </c>
      <c r="B18">
        <v>379</v>
      </c>
      <c r="C18">
        <v>186</v>
      </c>
      <c r="D18">
        <v>172</v>
      </c>
      <c r="E18">
        <v>3150</v>
      </c>
      <c r="F18">
        <v>0</v>
      </c>
    </row>
    <row r="19" spans="1:6" x14ac:dyDescent="0.3">
      <c r="A19">
        <v>18</v>
      </c>
      <c r="B19">
        <v>405</v>
      </c>
      <c r="C19">
        <v>189</v>
      </c>
      <c r="D19">
        <v>180</v>
      </c>
      <c r="E19">
        <v>3950</v>
      </c>
      <c r="F19">
        <v>1</v>
      </c>
    </row>
    <row r="20" spans="1:6" x14ac:dyDescent="0.3">
      <c r="A20">
        <v>19</v>
      </c>
      <c r="B20">
        <v>395</v>
      </c>
      <c r="C20">
        <v>167</v>
      </c>
      <c r="D20">
        <v>178</v>
      </c>
      <c r="E20">
        <v>3250</v>
      </c>
      <c r="F20">
        <v>0</v>
      </c>
    </row>
    <row r="21" spans="1:6" x14ac:dyDescent="0.3">
      <c r="A21">
        <v>20</v>
      </c>
      <c r="B21">
        <v>372</v>
      </c>
      <c r="C21">
        <v>181</v>
      </c>
      <c r="D21">
        <v>178</v>
      </c>
      <c r="E21">
        <v>3900</v>
      </c>
      <c r="F21">
        <v>1</v>
      </c>
    </row>
    <row r="22" spans="1:6" x14ac:dyDescent="0.3">
      <c r="A22">
        <v>21</v>
      </c>
      <c r="B22">
        <v>395</v>
      </c>
      <c r="C22">
        <v>178</v>
      </c>
      <c r="D22">
        <v>188</v>
      </c>
      <c r="E22">
        <v>3300</v>
      </c>
      <c r="F22">
        <v>0</v>
      </c>
    </row>
    <row r="23" spans="1:6" x14ac:dyDescent="0.3">
      <c r="A23">
        <v>22</v>
      </c>
      <c r="B23">
        <v>409</v>
      </c>
      <c r="C23">
        <v>189</v>
      </c>
      <c r="D23">
        <v>184</v>
      </c>
      <c r="E23">
        <v>3900</v>
      </c>
      <c r="F23">
        <v>1</v>
      </c>
    </row>
    <row r="24" spans="1:6" x14ac:dyDescent="0.3">
      <c r="A24">
        <v>23</v>
      </c>
      <c r="B24">
        <v>364</v>
      </c>
      <c r="C24">
        <v>17</v>
      </c>
      <c r="D24">
        <v>195</v>
      </c>
      <c r="E24">
        <v>3325</v>
      </c>
      <c r="F24">
        <v>0</v>
      </c>
    </row>
    <row r="25" spans="1:6" x14ac:dyDescent="0.3">
      <c r="A25">
        <v>24</v>
      </c>
      <c r="B25">
        <v>392</v>
      </c>
      <c r="C25">
        <v>211</v>
      </c>
      <c r="D25">
        <v>196</v>
      </c>
      <c r="E25">
        <v>4150</v>
      </c>
      <c r="F25">
        <v>1</v>
      </c>
    </row>
    <row r="26" spans="1:6" x14ac:dyDescent="0.3">
      <c r="A26">
        <v>25</v>
      </c>
      <c r="B26">
        <v>388</v>
      </c>
      <c r="C26">
        <v>20</v>
      </c>
      <c r="D26">
        <v>190</v>
      </c>
      <c r="E26">
        <v>3950</v>
      </c>
      <c r="F26">
        <v>1</v>
      </c>
    </row>
    <row r="27" spans="1:6" x14ac:dyDescent="0.3">
      <c r="A27">
        <v>26</v>
      </c>
      <c r="B27">
        <v>422</v>
      </c>
      <c r="C27">
        <v>185</v>
      </c>
      <c r="D27">
        <v>180</v>
      </c>
      <c r="E27">
        <v>3550</v>
      </c>
      <c r="F27">
        <v>0</v>
      </c>
    </row>
    <row r="28" spans="1:6" x14ac:dyDescent="0.3">
      <c r="A28">
        <v>27</v>
      </c>
      <c r="B28">
        <v>376</v>
      </c>
      <c r="C28">
        <v>193</v>
      </c>
      <c r="D28">
        <v>181</v>
      </c>
      <c r="E28">
        <v>3300</v>
      </c>
      <c r="F28">
        <v>0</v>
      </c>
    </row>
    <row r="29" spans="1:6" x14ac:dyDescent="0.3">
      <c r="A29">
        <v>28</v>
      </c>
      <c r="B29">
        <v>398</v>
      </c>
      <c r="C29">
        <v>191</v>
      </c>
      <c r="D29">
        <v>184</v>
      </c>
      <c r="E29">
        <v>4650</v>
      </c>
      <c r="F29">
        <v>1</v>
      </c>
    </row>
    <row r="30" spans="1:6" x14ac:dyDescent="0.3">
      <c r="A30">
        <v>29</v>
      </c>
      <c r="B30">
        <v>365</v>
      </c>
      <c r="C30">
        <v>18</v>
      </c>
      <c r="D30">
        <v>182</v>
      </c>
      <c r="E30">
        <v>3150</v>
      </c>
      <c r="F30">
        <v>0</v>
      </c>
    </row>
    <row r="31" spans="1:6" x14ac:dyDescent="0.3">
      <c r="A31">
        <v>30</v>
      </c>
      <c r="B31">
        <v>408</v>
      </c>
      <c r="C31">
        <v>184</v>
      </c>
      <c r="D31">
        <v>195</v>
      </c>
      <c r="E31">
        <v>3900</v>
      </c>
      <c r="F31">
        <v>1</v>
      </c>
    </row>
    <row r="32" spans="1:6" x14ac:dyDescent="0.3">
      <c r="A32">
        <v>31</v>
      </c>
      <c r="B32">
        <v>36</v>
      </c>
      <c r="C32">
        <v>185</v>
      </c>
      <c r="D32">
        <v>186</v>
      </c>
      <c r="E32">
        <v>3100</v>
      </c>
      <c r="F32">
        <v>0</v>
      </c>
    </row>
    <row r="33" spans="1:6" x14ac:dyDescent="0.3">
      <c r="A33">
        <v>32</v>
      </c>
      <c r="B33">
        <v>441</v>
      </c>
      <c r="C33">
        <v>197</v>
      </c>
      <c r="D33">
        <v>196</v>
      </c>
      <c r="E33">
        <v>4400</v>
      </c>
      <c r="F33">
        <v>1</v>
      </c>
    </row>
    <row r="34" spans="1:6" x14ac:dyDescent="0.3">
      <c r="A34">
        <v>33</v>
      </c>
      <c r="B34">
        <v>37</v>
      </c>
      <c r="C34">
        <v>169</v>
      </c>
      <c r="D34">
        <v>185</v>
      </c>
      <c r="E34">
        <v>3000</v>
      </c>
      <c r="F34">
        <v>0</v>
      </c>
    </row>
    <row r="35" spans="1:6" x14ac:dyDescent="0.3">
      <c r="A35">
        <v>34</v>
      </c>
      <c r="B35">
        <v>396</v>
      </c>
      <c r="C35">
        <v>188</v>
      </c>
      <c r="D35">
        <v>190</v>
      </c>
      <c r="E35">
        <v>4600</v>
      </c>
      <c r="F35">
        <v>1</v>
      </c>
    </row>
    <row r="36" spans="1:6" x14ac:dyDescent="0.3">
      <c r="A36">
        <v>35</v>
      </c>
      <c r="B36">
        <v>411</v>
      </c>
      <c r="C36">
        <v>19</v>
      </c>
      <c r="D36">
        <v>182</v>
      </c>
      <c r="E36">
        <v>3425</v>
      </c>
      <c r="F36">
        <v>1</v>
      </c>
    </row>
    <row r="37" spans="1:6" x14ac:dyDescent="0.3">
      <c r="A37">
        <v>36</v>
      </c>
      <c r="B37">
        <v>375</v>
      </c>
      <c r="C37">
        <v>189</v>
      </c>
      <c r="D37">
        <v>179</v>
      </c>
      <c r="E37">
        <v>2975</v>
      </c>
      <c r="F37">
        <v>1</v>
      </c>
    </row>
    <row r="38" spans="1:6" x14ac:dyDescent="0.3">
      <c r="A38">
        <v>37</v>
      </c>
      <c r="B38">
        <v>36</v>
      </c>
      <c r="C38">
        <v>179</v>
      </c>
      <c r="D38">
        <v>190</v>
      </c>
      <c r="E38">
        <v>3450</v>
      </c>
      <c r="F38">
        <v>0</v>
      </c>
    </row>
    <row r="39" spans="1:6" x14ac:dyDescent="0.3">
      <c r="A39">
        <v>38</v>
      </c>
      <c r="B39">
        <v>423</v>
      </c>
      <c r="C39">
        <v>212</v>
      </c>
      <c r="D39">
        <v>191</v>
      </c>
      <c r="E39">
        <v>4150</v>
      </c>
      <c r="F39">
        <v>1</v>
      </c>
    </row>
    <row r="40" spans="1:6" x14ac:dyDescent="0.3">
      <c r="A40">
        <v>39</v>
      </c>
      <c r="B40">
        <v>396</v>
      </c>
      <c r="C40">
        <v>177</v>
      </c>
      <c r="D40">
        <v>186</v>
      </c>
      <c r="E40">
        <v>3500</v>
      </c>
      <c r="F40">
        <v>0</v>
      </c>
    </row>
    <row r="41" spans="1:6" x14ac:dyDescent="0.3">
      <c r="A41">
        <v>40</v>
      </c>
      <c r="B41">
        <v>401</v>
      </c>
      <c r="C41">
        <v>189</v>
      </c>
      <c r="D41">
        <v>188</v>
      </c>
      <c r="E41">
        <v>4300</v>
      </c>
      <c r="F41">
        <v>1</v>
      </c>
    </row>
    <row r="42" spans="1:6" x14ac:dyDescent="0.3">
      <c r="A42">
        <v>41</v>
      </c>
      <c r="B42">
        <v>35</v>
      </c>
      <c r="C42">
        <v>179</v>
      </c>
      <c r="D42">
        <v>190</v>
      </c>
      <c r="E42">
        <v>3450</v>
      </c>
      <c r="F42">
        <v>0</v>
      </c>
    </row>
    <row r="43" spans="1:6" x14ac:dyDescent="0.3">
      <c r="A43">
        <v>42</v>
      </c>
      <c r="B43">
        <v>42</v>
      </c>
      <c r="C43">
        <v>195</v>
      </c>
      <c r="D43">
        <v>200</v>
      </c>
      <c r="E43">
        <v>4050</v>
      </c>
      <c r="F43">
        <v>1</v>
      </c>
    </row>
    <row r="44" spans="1:6" x14ac:dyDescent="0.3">
      <c r="A44">
        <v>43</v>
      </c>
      <c r="B44">
        <v>345</v>
      </c>
      <c r="C44">
        <v>181</v>
      </c>
      <c r="D44">
        <v>187</v>
      </c>
      <c r="E44">
        <v>2900</v>
      </c>
      <c r="F44">
        <v>0</v>
      </c>
    </row>
    <row r="45" spans="1:6" x14ac:dyDescent="0.3">
      <c r="A45">
        <v>44</v>
      </c>
      <c r="B45">
        <v>414</v>
      </c>
      <c r="C45">
        <v>186</v>
      </c>
      <c r="D45">
        <v>191</v>
      </c>
      <c r="E45">
        <v>3700</v>
      </c>
      <c r="F45">
        <v>1</v>
      </c>
    </row>
    <row r="46" spans="1:6" x14ac:dyDescent="0.3">
      <c r="A46">
        <v>45</v>
      </c>
      <c r="B46">
        <v>39</v>
      </c>
      <c r="C46">
        <v>175</v>
      </c>
      <c r="D46">
        <v>186</v>
      </c>
      <c r="E46">
        <v>3550</v>
      </c>
      <c r="F46">
        <v>0</v>
      </c>
    </row>
    <row r="47" spans="1:6" x14ac:dyDescent="0.3">
      <c r="A47">
        <v>46</v>
      </c>
      <c r="B47">
        <v>406</v>
      </c>
      <c r="C47">
        <v>188</v>
      </c>
      <c r="D47">
        <v>193</v>
      </c>
      <c r="E47">
        <v>3800</v>
      </c>
      <c r="F47">
        <v>1</v>
      </c>
    </row>
    <row r="48" spans="1:6" x14ac:dyDescent="0.3">
      <c r="A48">
        <v>47</v>
      </c>
      <c r="B48">
        <v>365</v>
      </c>
      <c r="C48">
        <v>166</v>
      </c>
      <c r="D48">
        <v>181</v>
      </c>
      <c r="E48">
        <v>2850</v>
      </c>
      <c r="F48">
        <v>0</v>
      </c>
    </row>
    <row r="49" spans="1:6" x14ac:dyDescent="0.3">
      <c r="A49">
        <v>48</v>
      </c>
      <c r="B49">
        <v>376</v>
      </c>
      <c r="C49">
        <v>191</v>
      </c>
      <c r="D49">
        <v>194</v>
      </c>
      <c r="E49">
        <v>3750</v>
      </c>
      <c r="F49">
        <v>1</v>
      </c>
    </row>
    <row r="50" spans="1:6" x14ac:dyDescent="0.3">
      <c r="A50">
        <v>49</v>
      </c>
      <c r="B50">
        <v>357</v>
      </c>
      <c r="C50">
        <v>169</v>
      </c>
      <c r="D50">
        <v>185</v>
      </c>
      <c r="E50">
        <v>3150</v>
      </c>
      <c r="F50">
        <v>0</v>
      </c>
    </row>
    <row r="51" spans="1:6" x14ac:dyDescent="0.3">
      <c r="A51">
        <v>50</v>
      </c>
      <c r="B51">
        <v>413</v>
      </c>
      <c r="C51">
        <v>211</v>
      </c>
      <c r="D51">
        <v>195</v>
      </c>
      <c r="E51">
        <v>4400</v>
      </c>
      <c r="F51">
        <v>1</v>
      </c>
    </row>
    <row r="52" spans="1:6" x14ac:dyDescent="0.3">
      <c r="A52">
        <v>51</v>
      </c>
      <c r="B52">
        <v>376</v>
      </c>
      <c r="C52">
        <v>17</v>
      </c>
      <c r="D52">
        <v>185</v>
      </c>
      <c r="E52">
        <v>3600</v>
      </c>
      <c r="F52">
        <v>0</v>
      </c>
    </row>
    <row r="53" spans="1:6" x14ac:dyDescent="0.3">
      <c r="A53">
        <v>52</v>
      </c>
      <c r="B53">
        <v>411</v>
      </c>
      <c r="C53">
        <v>182</v>
      </c>
      <c r="D53">
        <v>192</v>
      </c>
      <c r="E53">
        <v>4050</v>
      </c>
      <c r="F53">
        <v>1</v>
      </c>
    </row>
    <row r="54" spans="1:6" x14ac:dyDescent="0.3">
      <c r="A54">
        <v>53</v>
      </c>
      <c r="B54">
        <v>364</v>
      </c>
      <c r="C54">
        <v>171</v>
      </c>
      <c r="D54">
        <v>184</v>
      </c>
      <c r="E54">
        <v>2850</v>
      </c>
      <c r="F54">
        <v>0</v>
      </c>
    </row>
    <row r="55" spans="1:6" x14ac:dyDescent="0.3">
      <c r="A55">
        <v>54</v>
      </c>
      <c r="B55">
        <v>416</v>
      </c>
      <c r="C55">
        <v>18</v>
      </c>
      <c r="D55">
        <v>192</v>
      </c>
      <c r="E55">
        <v>3950</v>
      </c>
      <c r="F55">
        <v>1</v>
      </c>
    </row>
    <row r="56" spans="1:6" x14ac:dyDescent="0.3">
      <c r="A56">
        <v>55</v>
      </c>
      <c r="B56">
        <v>355</v>
      </c>
      <c r="C56">
        <v>162</v>
      </c>
      <c r="D56">
        <v>195</v>
      </c>
      <c r="E56">
        <v>3350</v>
      </c>
      <c r="F56">
        <v>0</v>
      </c>
    </row>
    <row r="57" spans="1:6" x14ac:dyDescent="0.3">
      <c r="A57">
        <v>56</v>
      </c>
      <c r="B57">
        <v>411</v>
      </c>
      <c r="C57">
        <v>191</v>
      </c>
      <c r="D57">
        <v>188</v>
      </c>
      <c r="E57">
        <v>4100</v>
      </c>
      <c r="F57">
        <v>1</v>
      </c>
    </row>
    <row r="58" spans="1:6" x14ac:dyDescent="0.3">
      <c r="A58">
        <v>57</v>
      </c>
      <c r="B58">
        <v>359</v>
      </c>
      <c r="C58">
        <v>166</v>
      </c>
      <c r="D58">
        <v>190</v>
      </c>
      <c r="E58">
        <v>3050</v>
      </c>
      <c r="F58">
        <v>0</v>
      </c>
    </row>
    <row r="59" spans="1:6" x14ac:dyDescent="0.3">
      <c r="A59">
        <v>58</v>
      </c>
      <c r="B59">
        <v>418</v>
      </c>
      <c r="C59">
        <v>194</v>
      </c>
      <c r="D59">
        <v>198</v>
      </c>
      <c r="E59">
        <v>4450</v>
      </c>
      <c r="F59">
        <v>1</v>
      </c>
    </row>
    <row r="60" spans="1:6" x14ac:dyDescent="0.3">
      <c r="A60">
        <v>59</v>
      </c>
      <c r="B60">
        <v>335</v>
      </c>
      <c r="C60">
        <v>19</v>
      </c>
      <c r="D60">
        <v>190</v>
      </c>
      <c r="E60">
        <v>3600</v>
      </c>
      <c r="F60">
        <v>0</v>
      </c>
    </row>
    <row r="61" spans="1:6" x14ac:dyDescent="0.3">
      <c r="A61">
        <v>60</v>
      </c>
      <c r="B61">
        <v>397</v>
      </c>
      <c r="C61">
        <v>184</v>
      </c>
      <c r="D61">
        <v>190</v>
      </c>
      <c r="E61">
        <v>3900</v>
      </c>
      <c r="F61">
        <v>1</v>
      </c>
    </row>
    <row r="62" spans="1:6" x14ac:dyDescent="0.3">
      <c r="A62">
        <v>61</v>
      </c>
      <c r="B62">
        <v>396</v>
      </c>
      <c r="C62">
        <v>172</v>
      </c>
      <c r="D62">
        <v>196</v>
      </c>
      <c r="E62">
        <v>3550</v>
      </c>
      <c r="F62">
        <v>0</v>
      </c>
    </row>
    <row r="63" spans="1:6" x14ac:dyDescent="0.3">
      <c r="A63">
        <v>62</v>
      </c>
      <c r="B63">
        <v>458</v>
      </c>
      <c r="C63">
        <v>189</v>
      </c>
      <c r="D63">
        <v>197</v>
      </c>
      <c r="E63">
        <v>4150</v>
      </c>
      <c r="F63">
        <v>1</v>
      </c>
    </row>
    <row r="64" spans="1:6" x14ac:dyDescent="0.3">
      <c r="A64">
        <v>63</v>
      </c>
      <c r="B64">
        <v>355</v>
      </c>
      <c r="C64">
        <v>175</v>
      </c>
      <c r="D64">
        <v>190</v>
      </c>
      <c r="E64">
        <v>3700</v>
      </c>
      <c r="F64">
        <v>0</v>
      </c>
    </row>
    <row r="65" spans="1:6" x14ac:dyDescent="0.3">
      <c r="A65">
        <v>64</v>
      </c>
      <c r="B65">
        <v>428</v>
      </c>
      <c r="C65">
        <v>185</v>
      </c>
      <c r="D65">
        <v>195</v>
      </c>
      <c r="E65">
        <v>4250</v>
      </c>
      <c r="F65">
        <v>1</v>
      </c>
    </row>
    <row r="66" spans="1:6" x14ac:dyDescent="0.3">
      <c r="A66">
        <v>65</v>
      </c>
      <c r="B66">
        <v>409</v>
      </c>
      <c r="C66">
        <v>168</v>
      </c>
      <c r="D66">
        <v>191</v>
      </c>
      <c r="E66">
        <v>3700</v>
      </c>
      <c r="F66">
        <v>0</v>
      </c>
    </row>
    <row r="67" spans="1:6" x14ac:dyDescent="0.3">
      <c r="A67">
        <v>66</v>
      </c>
      <c r="B67">
        <v>372</v>
      </c>
      <c r="C67">
        <v>194</v>
      </c>
      <c r="D67">
        <v>184</v>
      </c>
      <c r="E67">
        <v>3900</v>
      </c>
      <c r="F67">
        <v>1</v>
      </c>
    </row>
    <row r="68" spans="1:6" x14ac:dyDescent="0.3">
      <c r="A68">
        <v>67</v>
      </c>
      <c r="B68">
        <v>362</v>
      </c>
      <c r="C68">
        <v>161</v>
      </c>
      <c r="D68">
        <v>187</v>
      </c>
      <c r="E68">
        <v>3550</v>
      </c>
      <c r="F68">
        <v>0</v>
      </c>
    </row>
    <row r="69" spans="1:6" x14ac:dyDescent="0.3">
      <c r="A69">
        <v>68</v>
      </c>
      <c r="B69">
        <v>421</v>
      </c>
      <c r="C69">
        <v>191</v>
      </c>
      <c r="D69">
        <v>195</v>
      </c>
      <c r="E69">
        <v>4000</v>
      </c>
      <c r="F69">
        <v>1</v>
      </c>
    </row>
    <row r="70" spans="1:6" x14ac:dyDescent="0.3">
      <c r="A70">
        <v>69</v>
      </c>
      <c r="B70">
        <v>346</v>
      </c>
      <c r="C70">
        <v>172</v>
      </c>
      <c r="D70">
        <v>189</v>
      </c>
      <c r="E70">
        <v>3200</v>
      </c>
      <c r="F70">
        <v>0</v>
      </c>
    </row>
    <row r="71" spans="1:6" x14ac:dyDescent="0.3">
      <c r="A71">
        <v>70</v>
      </c>
      <c r="B71">
        <v>429</v>
      </c>
      <c r="C71">
        <v>176</v>
      </c>
      <c r="D71">
        <v>196</v>
      </c>
      <c r="E71">
        <v>4700</v>
      </c>
      <c r="F71">
        <v>1</v>
      </c>
    </row>
    <row r="72" spans="1:6" x14ac:dyDescent="0.3">
      <c r="A72">
        <v>71</v>
      </c>
      <c r="B72">
        <v>367</v>
      </c>
      <c r="C72">
        <v>188</v>
      </c>
      <c r="D72">
        <v>187</v>
      </c>
      <c r="E72">
        <v>3800</v>
      </c>
      <c r="F72">
        <v>0</v>
      </c>
    </row>
    <row r="73" spans="1:6" x14ac:dyDescent="0.3">
      <c r="A73">
        <v>72</v>
      </c>
      <c r="B73">
        <v>351</v>
      </c>
      <c r="C73">
        <v>194</v>
      </c>
      <c r="D73">
        <v>193</v>
      </c>
      <c r="E73">
        <v>4200</v>
      </c>
      <c r="F73">
        <v>1</v>
      </c>
    </row>
    <row r="74" spans="1:6" x14ac:dyDescent="0.3">
      <c r="A74">
        <v>73</v>
      </c>
      <c r="B74">
        <v>373</v>
      </c>
      <c r="C74">
        <v>178</v>
      </c>
      <c r="D74">
        <v>191</v>
      </c>
      <c r="E74">
        <v>3350</v>
      </c>
      <c r="F74">
        <v>0</v>
      </c>
    </row>
    <row r="75" spans="1:6" x14ac:dyDescent="0.3">
      <c r="A75">
        <v>74</v>
      </c>
      <c r="B75">
        <v>413</v>
      </c>
      <c r="C75">
        <v>203</v>
      </c>
      <c r="D75">
        <v>194</v>
      </c>
      <c r="E75">
        <v>3550</v>
      </c>
      <c r="F75">
        <v>1</v>
      </c>
    </row>
    <row r="76" spans="1:6" x14ac:dyDescent="0.3">
      <c r="A76">
        <v>75</v>
      </c>
      <c r="B76">
        <v>363</v>
      </c>
      <c r="C76">
        <v>195</v>
      </c>
      <c r="D76">
        <v>190</v>
      </c>
      <c r="E76">
        <v>3800</v>
      </c>
      <c r="F76">
        <v>1</v>
      </c>
    </row>
    <row r="77" spans="1:6" x14ac:dyDescent="0.3">
      <c r="A77">
        <v>76</v>
      </c>
      <c r="B77">
        <v>369</v>
      </c>
      <c r="C77">
        <v>186</v>
      </c>
      <c r="D77">
        <v>189</v>
      </c>
      <c r="E77">
        <v>3500</v>
      </c>
      <c r="F77">
        <v>0</v>
      </c>
    </row>
    <row r="78" spans="1:6" x14ac:dyDescent="0.3">
      <c r="A78">
        <v>77</v>
      </c>
      <c r="B78">
        <v>383</v>
      </c>
      <c r="C78">
        <v>192</v>
      </c>
      <c r="D78">
        <v>189</v>
      </c>
      <c r="E78">
        <v>3950</v>
      </c>
      <c r="F78">
        <v>1</v>
      </c>
    </row>
    <row r="79" spans="1:6" x14ac:dyDescent="0.3">
      <c r="A79">
        <v>78</v>
      </c>
      <c r="B79">
        <v>389</v>
      </c>
      <c r="C79">
        <v>188</v>
      </c>
      <c r="D79">
        <v>190</v>
      </c>
      <c r="E79">
        <v>3600</v>
      </c>
      <c r="F79">
        <v>0</v>
      </c>
    </row>
    <row r="80" spans="1:6" x14ac:dyDescent="0.3">
      <c r="A80">
        <v>79</v>
      </c>
      <c r="B80">
        <v>357</v>
      </c>
      <c r="C80">
        <v>18</v>
      </c>
      <c r="D80">
        <v>202</v>
      </c>
      <c r="E80">
        <v>3550</v>
      </c>
      <c r="F80">
        <v>0</v>
      </c>
    </row>
    <row r="81" spans="1:6" x14ac:dyDescent="0.3">
      <c r="A81">
        <v>80</v>
      </c>
      <c r="B81">
        <v>411</v>
      </c>
      <c r="C81">
        <v>181</v>
      </c>
      <c r="D81">
        <v>205</v>
      </c>
      <c r="E81">
        <v>4300</v>
      </c>
      <c r="F81">
        <v>1</v>
      </c>
    </row>
    <row r="82" spans="1:6" x14ac:dyDescent="0.3">
      <c r="A82">
        <v>81</v>
      </c>
      <c r="B82">
        <v>34</v>
      </c>
      <c r="C82">
        <v>171</v>
      </c>
      <c r="D82">
        <v>185</v>
      </c>
      <c r="E82">
        <v>3400</v>
      </c>
      <c r="F82">
        <v>0</v>
      </c>
    </row>
    <row r="83" spans="1:6" x14ac:dyDescent="0.3">
      <c r="A83">
        <v>82</v>
      </c>
      <c r="B83">
        <v>396</v>
      </c>
      <c r="C83">
        <v>181</v>
      </c>
      <c r="D83">
        <v>186</v>
      </c>
      <c r="E83">
        <v>4450</v>
      </c>
      <c r="F83">
        <v>1</v>
      </c>
    </row>
    <row r="84" spans="1:6" x14ac:dyDescent="0.3">
      <c r="A84">
        <v>83</v>
      </c>
      <c r="B84">
        <v>362</v>
      </c>
      <c r="C84">
        <v>173</v>
      </c>
      <c r="D84">
        <v>187</v>
      </c>
      <c r="E84">
        <v>3300</v>
      </c>
      <c r="F84">
        <v>0</v>
      </c>
    </row>
    <row r="85" spans="1:6" x14ac:dyDescent="0.3">
      <c r="A85">
        <v>84</v>
      </c>
      <c r="B85">
        <v>408</v>
      </c>
      <c r="C85">
        <v>189</v>
      </c>
      <c r="D85">
        <v>208</v>
      </c>
      <c r="E85">
        <v>4300</v>
      </c>
      <c r="F85">
        <v>1</v>
      </c>
    </row>
    <row r="86" spans="1:6" x14ac:dyDescent="0.3">
      <c r="A86">
        <v>85</v>
      </c>
      <c r="B86">
        <v>381</v>
      </c>
      <c r="C86">
        <v>186</v>
      </c>
      <c r="D86">
        <v>190</v>
      </c>
      <c r="E86">
        <v>3700</v>
      </c>
      <c r="F86">
        <v>0</v>
      </c>
    </row>
    <row r="87" spans="1:6" x14ac:dyDescent="0.3">
      <c r="A87">
        <v>86</v>
      </c>
      <c r="B87">
        <v>403</v>
      </c>
      <c r="C87">
        <v>185</v>
      </c>
      <c r="D87">
        <v>196</v>
      </c>
      <c r="E87">
        <v>4350</v>
      </c>
      <c r="F87">
        <v>1</v>
      </c>
    </row>
    <row r="88" spans="1:6" x14ac:dyDescent="0.3">
      <c r="A88">
        <v>87</v>
      </c>
      <c r="B88">
        <v>331</v>
      </c>
      <c r="C88">
        <v>161</v>
      </c>
      <c r="D88">
        <v>178</v>
      </c>
      <c r="E88">
        <v>2900</v>
      </c>
      <c r="F88">
        <v>0</v>
      </c>
    </row>
    <row r="89" spans="1:6" x14ac:dyDescent="0.3">
      <c r="A89">
        <v>88</v>
      </c>
      <c r="B89">
        <v>432</v>
      </c>
      <c r="C89">
        <v>185</v>
      </c>
      <c r="D89">
        <v>192</v>
      </c>
      <c r="E89">
        <v>4100</v>
      </c>
      <c r="F89">
        <v>1</v>
      </c>
    </row>
    <row r="90" spans="1:6" x14ac:dyDescent="0.3">
      <c r="A90">
        <v>89</v>
      </c>
      <c r="B90">
        <v>35</v>
      </c>
      <c r="C90">
        <v>179</v>
      </c>
      <c r="D90">
        <v>192</v>
      </c>
      <c r="E90">
        <v>3725</v>
      </c>
      <c r="F90">
        <v>0</v>
      </c>
    </row>
    <row r="91" spans="1:6" x14ac:dyDescent="0.3">
      <c r="A91">
        <v>90</v>
      </c>
      <c r="B91">
        <v>41</v>
      </c>
      <c r="C91">
        <v>20</v>
      </c>
      <c r="D91">
        <v>203</v>
      </c>
      <c r="E91">
        <v>4725</v>
      </c>
      <c r="F91">
        <v>1</v>
      </c>
    </row>
    <row r="92" spans="1:6" x14ac:dyDescent="0.3">
      <c r="A92">
        <v>91</v>
      </c>
      <c r="B92">
        <v>377</v>
      </c>
      <c r="C92">
        <v>16</v>
      </c>
      <c r="D92">
        <v>183</v>
      </c>
      <c r="E92">
        <v>3075</v>
      </c>
      <c r="F92">
        <v>0</v>
      </c>
    </row>
    <row r="93" spans="1:6" x14ac:dyDescent="0.3">
      <c r="A93">
        <v>92</v>
      </c>
      <c r="B93">
        <v>378</v>
      </c>
      <c r="C93">
        <v>20</v>
      </c>
      <c r="D93">
        <v>190</v>
      </c>
      <c r="E93">
        <v>4250</v>
      </c>
      <c r="F93">
        <v>1</v>
      </c>
    </row>
    <row r="94" spans="1:6" x14ac:dyDescent="0.3">
      <c r="A94">
        <v>93</v>
      </c>
      <c r="B94">
        <v>379</v>
      </c>
      <c r="C94">
        <v>186</v>
      </c>
      <c r="D94">
        <v>193</v>
      </c>
      <c r="E94">
        <v>2925</v>
      </c>
      <c r="F94">
        <v>0</v>
      </c>
    </row>
    <row r="95" spans="1:6" x14ac:dyDescent="0.3">
      <c r="A95">
        <v>94</v>
      </c>
      <c r="B95">
        <v>397</v>
      </c>
      <c r="C95">
        <v>189</v>
      </c>
      <c r="D95">
        <v>184</v>
      </c>
      <c r="E95">
        <v>3550</v>
      </c>
      <c r="F95">
        <v>1</v>
      </c>
    </row>
    <row r="96" spans="1:6" x14ac:dyDescent="0.3">
      <c r="A96">
        <v>95</v>
      </c>
      <c r="B96">
        <v>386</v>
      </c>
      <c r="C96">
        <v>172</v>
      </c>
      <c r="D96">
        <v>199</v>
      </c>
      <c r="E96">
        <v>3750</v>
      </c>
      <c r="F96">
        <v>0</v>
      </c>
    </row>
    <row r="97" spans="1:6" x14ac:dyDescent="0.3">
      <c r="A97">
        <v>96</v>
      </c>
      <c r="B97">
        <v>382</v>
      </c>
      <c r="C97">
        <v>20</v>
      </c>
      <c r="D97">
        <v>190</v>
      </c>
      <c r="E97">
        <v>3900</v>
      </c>
      <c r="F97">
        <v>1</v>
      </c>
    </row>
    <row r="98" spans="1:6" x14ac:dyDescent="0.3">
      <c r="A98">
        <v>97</v>
      </c>
      <c r="B98">
        <v>381</v>
      </c>
      <c r="C98">
        <v>17</v>
      </c>
      <c r="D98">
        <v>181</v>
      </c>
      <c r="E98">
        <v>3175</v>
      </c>
      <c r="F98">
        <v>0</v>
      </c>
    </row>
    <row r="99" spans="1:6" x14ac:dyDescent="0.3">
      <c r="A99">
        <v>98</v>
      </c>
      <c r="B99">
        <v>432</v>
      </c>
      <c r="C99">
        <v>19</v>
      </c>
      <c r="D99">
        <v>197</v>
      </c>
      <c r="E99">
        <v>4775</v>
      </c>
      <c r="F99">
        <v>1</v>
      </c>
    </row>
    <row r="100" spans="1:6" x14ac:dyDescent="0.3">
      <c r="A100">
        <v>99</v>
      </c>
      <c r="B100">
        <v>381</v>
      </c>
      <c r="C100">
        <v>165</v>
      </c>
      <c r="D100">
        <v>198</v>
      </c>
      <c r="E100">
        <v>3825</v>
      </c>
      <c r="F100">
        <v>0</v>
      </c>
    </row>
    <row r="101" spans="1:6" x14ac:dyDescent="0.3">
      <c r="A101">
        <v>100</v>
      </c>
      <c r="B101">
        <v>456</v>
      </c>
      <c r="C101">
        <v>203</v>
      </c>
      <c r="D101">
        <v>191</v>
      </c>
      <c r="E101">
        <v>4600</v>
      </c>
      <c r="F101">
        <v>1</v>
      </c>
    </row>
    <row r="102" spans="1:6" x14ac:dyDescent="0.3">
      <c r="A102">
        <v>101</v>
      </c>
      <c r="B102">
        <v>397</v>
      </c>
      <c r="C102">
        <v>177</v>
      </c>
      <c r="D102">
        <v>193</v>
      </c>
      <c r="E102">
        <v>3200</v>
      </c>
      <c r="F102">
        <v>0</v>
      </c>
    </row>
    <row r="103" spans="1:6" x14ac:dyDescent="0.3">
      <c r="A103">
        <v>102</v>
      </c>
      <c r="B103">
        <v>422</v>
      </c>
      <c r="C103">
        <v>195</v>
      </c>
      <c r="D103">
        <v>197</v>
      </c>
      <c r="E103">
        <v>4275</v>
      </c>
      <c r="F103">
        <v>1</v>
      </c>
    </row>
    <row r="104" spans="1:6" x14ac:dyDescent="0.3">
      <c r="A104">
        <v>103</v>
      </c>
      <c r="B104">
        <v>396</v>
      </c>
      <c r="C104">
        <v>207</v>
      </c>
      <c r="D104">
        <v>191</v>
      </c>
      <c r="E104">
        <v>3900</v>
      </c>
      <c r="F104">
        <v>0</v>
      </c>
    </row>
    <row r="105" spans="1:6" x14ac:dyDescent="0.3">
      <c r="A105">
        <v>104</v>
      </c>
      <c r="B105">
        <v>427</v>
      </c>
      <c r="C105">
        <v>183</v>
      </c>
      <c r="D105">
        <v>196</v>
      </c>
      <c r="E105">
        <v>4075</v>
      </c>
      <c r="F105">
        <v>1</v>
      </c>
    </row>
    <row r="106" spans="1:6" x14ac:dyDescent="0.3">
      <c r="A106">
        <v>105</v>
      </c>
      <c r="B106">
        <v>386</v>
      </c>
      <c r="C106">
        <v>17</v>
      </c>
      <c r="D106">
        <v>188</v>
      </c>
      <c r="E106">
        <v>2900</v>
      </c>
      <c r="F106">
        <v>0</v>
      </c>
    </row>
    <row r="107" spans="1:6" x14ac:dyDescent="0.3">
      <c r="A107">
        <v>106</v>
      </c>
      <c r="B107">
        <v>373</v>
      </c>
      <c r="C107">
        <v>205</v>
      </c>
      <c r="D107">
        <v>199</v>
      </c>
      <c r="E107">
        <v>3775</v>
      </c>
      <c r="F107">
        <v>1</v>
      </c>
    </row>
    <row r="108" spans="1:6" x14ac:dyDescent="0.3">
      <c r="A108">
        <v>107</v>
      </c>
      <c r="B108">
        <v>357</v>
      </c>
      <c r="C108">
        <v>17</v>
      </c>
      <c r="D108">
        <v>189</v>
      </c>
      <c r="E108">
        <v>3350</v>
      </c>
      <c r="F108">
        <v>0</v>
      </c>
    </row>
    <row r="109" spans="1:6" x14ac:dyDescent="0.3">
      <c r="A109">
        <v>108</v>
      </c>
      <c r="B109">
        <v>411</v>
      </c>
      <c r="C109">
        <v>186</v>
      </c>
      <c r="D109">
        <v>189</v>
      </c>
      <c r="E109">
        <v>3325</v>
      </c>
      <c r="F109">
        <v>1</v>
      </c>
    </row>
    <row r="110" spans="1:6" x14ac:dyDescent="0.3">
      <c r="A110">
        <v>109</v>
      </c>
      <c r="B110">
        <v>362</v>
      </c>
      <c r="C110">
        <v>172</v>
      </c>
      <c r="D110">
        <v>187</v>
      </c>
      <c r="E110">
        <v>3150</v>
      </c>
      <c r="F110">
        <v>0</v>
      </c>
    </row>
    <row r="111" spans="1:6" x14ac:dyDescent="0.3">
      <c r="A111">
        <v>110</v>
      </c>
      <c r="B111">
        <v>377</v>
      </c>
      <c r="C111">
        <v>198</v>
      </c>
      <c r="D111">
        <v>198</v>
      </c>
      <c r="E111">
        <v>3500</v>
      </c>
      <c r="F111">
        <v>1</v>
      </c>
    </row>
    <row r="112" spans="1:6" x14ac:dyDescent="0.3">
      <c r="A112">
        <v>111</v>
      </c>
      <c r="B112">
        <v>402</v>
      </c>
      <c r="C112">
        <v>17</v>
      </c>
      <c r="D112">
        <v>176</v>
      </c>
      <c r="E112">
        <v>3450</v>
      </c>
      <c r="F112">
        <v>0</v>
      </c>
    </row>
    <row r="113" spans="1:6" x14ac:dyDescent="0.3">
      <c r="A113">
        <v>112</v>
      </c>
      <c r="B113">
        <v>414</v>
      </c>
      <c r="C113">
        <v>185</v>
      </c>
      <c r="D113">
        <v>202</v>
      </c>
      <c r="E113">
        <v>3875</v>
      </c>
      <c r="F113">
        <v>1</v>
      </c>
    </row>
    <row r="114" spans="1:6" x14ac:dyDescent="0.3">
      <c r="A114">
        <v>113</v>
      </c>
      <c r="B114">
        <v>352</v>
      </c>
      <c r="C114">
        <v>159</v>
      </c>
      <c r="D114">
        <v>186</v>
      </c>
      <c r="E114">
        <v>3050</v>
      </c>
      <c r="F114">
        <v>0</v>
      </c>
    </row>
    <row r="115" spans="1:6" x14ac:dyDescent="0.3">
      <c r="A115">
        <v>114</v>
      </c>
      <c r="B115">
        <v>406</v>
      </c>
      <c r="C115">
        <v>19</v>
      </c>
      <c r="D115">
        <v>199</v>
      </c>
      <c r="E115">
        <v>4000</v>
      </c>
      <c r="F115">
        <v>1</v>
      </c>
    </row>
    <row r="116" spans="1:6" x14ac:dyDescent="0.3">
      <c r="A116">
        <v>115</v>
      </c>
      <c r="B116">
        <v>388</v>
      </c>
      <c r="C116">
        <v>176</v>
      </c>
      <c r="D116">
        <v>191</v>
      </c>
      <c r="E116">
        <v>3275</v>
      </c>
      <c r="F116">
        <v>0</v>
      </c>
    </row>
    <row r="117" spans="1:6" x14ac:dyDescent="0.3">
      <c r="A117">
        <v>116</v>
      </c>
      <c r="B117">
        <v>415</v>
      </c>
      <c r="C117">
        <v>183</v>
      </c>
      <c r="D117">
        <v>195</v>
      </c>
      <c r="E117">
        <v>4300</v>
      </c>
      <c r="F117">
        <v>1</v>
      </c>
    </row>
    <row r="118" spans="1:6" x14ac:dyDescent="0.3">
      <c r="A118">
        <v>117</v>
      </c>
      <c r="B118">
        <v>39</v>
      </c>
      <c r="C118">
        <v>171</v>
      </c>
      <c r="D118">
        <v>191</v>
      </c>
      <c r="E118">
        <v>3050</v>
      </c>
      <c r="F118">
        <v>0</v>
      </c>
    </row>
    <row r="119" spans="1:6" x14ac:dyDescent="0.3">
      <c r="A119">
        <v>118</v>
      </c>
      <c r="B119">
        <v>441</v>
      </c>
      <c r="C119">
        <v>18</v>
      </c>
      <c r="D119">
        <v>210</v>
      </c>
      <c r="E119">
        <v>4000</v>
      </c>
      <c r="F119">
        <v>1</v>
      </c>
    </row>
    <row r="120" spans="1:6" x14ac:dyDescent="0.3">
      <c r="A120">
        <v>119</v>
      </c>
      <c r="B120">
        <v>385</v>
      </c>
      <c r="C120">
        <v>179</v>
      </c>
      <c r="D120">
        <v>190</v>
      </c>
      <c r="E120">
        <v>3325</v>
      </c>
      <c r="F120">
        <v>0</v>
      </c>
    </row>
    <row r="121" spans="1:6" x14ac:dyDescent="0.3">
      <c r="A121">
        <v>120</v>
      </c>
      <c r="B121">
        <v>431</v>
      </c>
      <c r="C121">
        <v>192</v>
      </c>
      <c r="D121">
        <v>197</v>
      </c>
      <c r="E121">
        <v>3500</v>
      </c>
      <c r="F121">
        <v>1</v>
      </c>
    </row>
    <row r="122" spans="1:6" x14ac:dyDescent="0.3">
      <c r="A122">
        <v>121</v>
      </c>
      <c r="B122">
        <v>368</v>
      </c>
      <c r="C122">
        <v>185</v>
      </c>
      <c r="D122">
        <v>193</v>
      </c>
      <c r="E122">
        <v>3500</v>
      </c>
      <c r="F122">
        <v>0</v>
      </c>
    </row>
    <row r="123" spans="1:6" x14ac:dyDescent="0.3">
      <c r="A123">
        <v>122</v>
      </c>
      <c r="B123">
        <v>375</v>
      </c>
      <c r="C123">
        <v>185</v>
      </c>
      <c r="D123">
        <v>199</v>
      </c>
      <c r="E123">
        <v>4475</v>
      </c>
      <c r="F123">
        <v>1</v>
      </c>
    </row>
    <row r="124" spans="1:6" x14ac:dyDescent="0.3">
      <c r="A124">
        <v>123</v>
      </c>
      <c r="B124">
        <v>381</v>
      </c>
      <c r="C124">
        <v>176</v>
      </c>
      <c r="D124">
        <v>187</v>
      </c>
      <c r="E124">
        <v>3425</v>
      </c>
      <c r="F124">
        <v>0</v>
      </c>
    </row>
    <row r="125" spans="1:6" x14ac:dyDescent="0.3">
      <c r="A125">
        <v>124</v>
      </c>
      <c r="B125">
        <v>411</v>
      </c>
      <c r="C125">
        <v>175</v>
      </c>
      <c r="D125">
        <v>190</v>
      </c>
      <c r="E125">
        <v>3900</v>
      </c>
      <c r="F125">
        <v>1</v>
      </c>
    </row>
    <row r="126" spans="1:6" x14ac:dyDescent="0.3">
      <c r="A126">
        <v>125</v>
      </c>
      <c r="B126">
        <v>356</v>
      </c>
      <c r="C126">
        <v>175</v>
      </c>
      <c r="D126">
        <v>191</v>
      </c>
      <c r="E126">
        <v>3175</v>
      </c>
      <c r="F126">
        <v>0</v>
      </c>
    </row>
    <row r="127" spans="1:6" x14ac:dyDescent="0.3">
      <c r="A127">
        <v>126</v>
      </c>
      <c r="B127">
        <v>402</v>
      </c>
      <c r="C127">
        <v>201</v>
      </c>
      <c r="D127">
        <v>200</v>
      </c>
      <c r="E127">
        <v>3975</v>
      </c>
      <c r="F127">
        <v>1</v>
      </c>
    </row>
    <row r="128" spans="1:6" x14ac:dyDescent="0.3">
      <c r="A128">
        <v>127</v>
      </c>
      <c r="B128">
        <v>37</v>
      </c>
      <c r="C128">
        <v>165</v>
      </c>
      <c r="D128">
        <v>185</v>
      </c>
      <c r="E128">
        <v>3400</v>
      </c>
      <c r="F128">
        <v>0</v>
      </c>
    </row>
    <row r="129" spans="1:6" x14ac:dyDescent="0.3">
      <c r="A129">
        <v>128</v>
      </c>
      <c r="B129">
        <v>397</v>
      </c>
      <c r="C129">
        <v>179</v>
      </c>
      <c r="D129">
        <v>193</v>
      </c>
      <c r="E129">
        <v>4250</v>
      </c>
      <c r="F129">
        <v>1</v>
      </c>
    </row>
    <row r="130" spans="1:6" x14ac:dyDescent="0.3">
      <c r="A130">
        <v>129</v>
      </c>
      <c r="B130">
        <v>402</v>
      </c>
      <c r="C130">
        <v>171</v>
      </c>
      <c r="D130">
        <v>193</v>
      </c>
      <c r="E130">
        <v>3400</v>
      </c>
      <c r="F130">
        <v>0</v>
      </c>
    </row>
    <row r="131" spans="1:6" x14ac:dyDescent="0.3">
      <c r="A131">
        <v>130</v>
      </c>
      <c r="B131">
        <v>406</v>
      </c>
      <c r="C131">
        <v>172</v>
      </c>
      <c r="D131">
        <v>187</v>
      </c>
      <c r="E131">
        <v>3475</v>
      </c>
      <c r="F131">
        <v>1</v>
      </c>
    </row>
    <row r="132" spans="1:6" x14ac:dyDescent="0.3">
      <c r="A132">
        <v>131</v>
      </c>
      <c r="B132">
        <v>321</v>
      </c>
      <c r="C132">
        <v>155</v>
      </c>
      <c r="D132">
        <v>188</v>
      </c>
      <c r="E132">
        <v>3050</v>
      </c>
      <c r="F132">
        <v>0</v>
      </c>
    </row>
    <row r="133" spans="1:6" x14ac:dyDescent="0.3">
      <c r="A133">
        <v>132</v>
      </c>
      <c r="B133">
        <v>407</v>
      </c>
      <c r="C133">
        <v>17</v>
      </c>
      <c r="D133">
        <v>190</v>
      </c>
      <c r="E133">
        <v>3725</v>
      </c>
      <c r="F133">
        <v>1</v>
      </c>
    </row>
    <row r="134" spans="1:6" x14ac:dyDescent="0.3">
      <c r="A134">
        <v>133</v>
      </c>
      <c r="B134">
        <v>373</v>
      </c>
      <c r="C134">
        <v>168</v>
      </c>
      <c r="D134">
        <v>192</v>
      </c>
      <c r="E134">
        <v>3000</v>
      </c>
      <c r="F134">
        <v>0</v>
      </c>
    </row>
    <row r="135" spans="1:6" x14ac:dyDescent="0.3">
      <c r="A135">
        <v>134</v>
      </c>
      <c r="B135">
        <v>39</v>
      </c>
      <c r="C135">
        <v>187</v>
      </c>
      <c r="D135">
        <v>185</v>
      </c>
      <c r="E135">
        <v>3650</v>
      </c>
      <c r="F135">
        <v>1</v>
      </c>
    </row>
    <row r="136" spans="1:6" x14ac:dyDescent="0.3">
      <c r="A136">
        <v>135</v>
      </c>
      <c r="B136">
        <v>392</v>
      </c>
      <c r="C136">
        <v>186</v>
      </c>
      <c r="D136">
        <v>190</v>
      </c>
      <c r="E136">
        <v>4250</v>
      </c>
      <c r="F136">
        <v>1</v>
      </c>
    </row>
    <row r="137" spans="1:6" x14ac:dyDescent="0.3">
      <c r="A137">
        <v>136</v>
      </c>
      <c r="B137">
        <v>366</v>
      </c>
      <c r="C137">
        <v>184</v>
      </c>
      <c r="D137">
        <v>184</v>
      </c>
      <c r="E137">
        <v>3475</v>
      </c>
      <c r="F137">
        <v>0</v>
      </c>
    </row>
    <row r="138" spans="1:6" x14ac:dyDescent="0.3">
      <c r="A138">
        <v>137</v>
      </c>
      <c r="B138">
        <v>36</v>
      </c>
      <c r="C138">
        <v>178</v>
      </c>
      <c r="D138">
        <v>195</v>
      </c>
      <c r="E138">
        <v>3450</v>
      </c>
      <c r="F138">
        <v>0</v>
      </c>
    </row>
    <row r="139" spans="1:6" x14ac:dyDescent="0.3">
      <c r="A139">
        <v>138</v>
      </c>
      <c r="B139">
        <v>378</v>
      </c>
      <c r="C139">
        <v>181</v>
      </c>
      <c r="D139">
        <v>193</v>
      </c>
      <c r="E139">
        <v>3750</v>
      </c>
      <c r="F139">
        <v>1</v>
      </c>
    </row>
    <row r="140" spans="1:6" x14ac:dyDescent="0.3">
      <c r="A140">
        <v>139</v>
      </c>
      <c r="B140">
        <v>36</v>
      </c>
      <c r="C140">
        <v>171</v>
      </c>
      <c r="D140">
        <v>187</v>
      </c>
      <c r="E140">
        <v>3700</v>
      </c>
      <c r="F140">
        <v>0</v>
      </c>
    </row>
    <row r="141" spans="1:6" x14ac:dyDescent="0.3">
      <c r="A141">
        <v>140</v>
      </c>
      <c r="B141">
        <v>415</v>
      </c>
      <c r="C141">
        <v>185</v>
      </c>
      <c r="D141">
        <v>201</v>
      </c>
      <c r="E141">
        <v>4000</v>
      </c>
      <c r="F141">
        <v>1</v>
      </c>
    </row>
    <row r="142" spans="1:6" x14ac:dyDescent="0.3">
      <c r="A142">
        <v>141</v>
      </c>
      <c r="B142">
        <v>465</v>
      </c>
      <c r="C142">
        <v>179</v>
      </c>
      <c r="D142">
        <v>192</v>
      </c>
      <c r="E142">
        <v>3500</v>
      </c>
      <c r="F142">
        <v>0</v>
      </c>
    </row>
    <row r="143" spans="1:6" x14ac:dyDescent="0.3">
      <c r="A143">
        <v>142</v>
      </c>
      <c r="B143">
        <v>50</v>
      </c>
      <c r="C143">
        <v>195</v>
      </c>
      <c r="D143">
        <v>196</v>
      </c>
      <c r="E143">
        <v>3900</v>
      </c>
      <c r="F143">
        <v>1</v>
      </c>
    </row>
    <row r="144" spans="1:6" x14ac:dyDescent="0.3">
      <c r="A144">
        <v>143</v>
      </c>
      <c r="B144">
        <v>513</v>
      </c>
      <c r="C144">
        <v>192</v>
      </c>
      <c r="D144">
        <v>193</v>
      </c>
      <c r="E144">
        <v>3650</v>
      </c>
      <c r="F144">
        <v>1</v>
      </c>
    </row>
    <row r="145" spans="1:6" x14ac:dyDescent="0.3">
      <c r="A145">
        <v>144</v>
      </c>
      <c r="B145">
        <v>454</v>
      </c>
      <c r="C145">
        <v>187</v>
      </c>
      <c r="D145">
        <v>188</v>
      </c>
      <c r="E145">
        <v>3525</v>
      </c>
      <c r="F145">
        <v>0</v>
      </c>
    </row>
    <row r="146" spans="1:6" x14ac:dyDescent="0.3">
      <c r="A146">
        <v>145</v>
      </c>
      <c r="B146">
        <v>527</v>
      </c>
      <c r="C146">
        <v>198</v>
      </c>
      <c r="D146">
        <v>197</v>
      </c>
      <c r="E146">
        <v>3725</v>
      </c>
      <c r="F146">
        <v>1</v>
      </c>
    </row>
    <row r="147" spans="1:6" x14ac:dyDescent="0.3">
      <c r="A147">
        <v>146</v>
      </c>
      <c r="B147">
        <v>452</v>
      </c>
      <c r="C147">
        <v>178</v>
      </c>
      <c r="D147">
        <v>198</v>
      </c>
      <c r="E147">
        <v>3950</v>
      </c>
      <c r="F147">
        <v>0</v>
      </c>
    </row>
    <row r="148" spans="1:6" x14ac:dyDescent="0.3">
      <c r="A148">
        <v>147</v>
      </c>
      <c r="B148">
        <v>461</v>
      </c>
      <c r="C148">
        <v>182</v>
      </c>
      <c r="D148">
        <v>178</v>
      </c>
      <c r="E148">
        <v>3250</v>
      </c>
      <c r="F148">
        <v>0</v>
      </c>
    </row>
    <row r="149" spans="1:6" x14ac:dyDescent="0.3">
      <c r="A149">
        <v>148</v>
      </c>
      <c r="B149">
        <v>513</v>
      </c>
      <c r="C149">
        <v>182</v>
      </c>
      <c r="D149">
        <v>197</v>
      </c>
      <c r="E149">
        <v>3750</v>
      </c>
      <c r="F149">
        <v>1</v>
      </c>
    </row>
    <row r="150" spans="1:6" x14ac:dyDescent="0.3">
      <c r="A150">
        <v>149</v>
      </c>
      <c r="B150">
        <v>46</v>
      </c>
      <c r="C150">
        <v>189</v>
      </c>
      <c r="D150">
        <v>195</v>
      </c>
      <c r="E150">
        <v>4150</v>
      </c>
      <c r="F150">
        <v>0</v>
      </c>
    </row>
    <row r="151" spans="1:6" x14ac:dyDescent="0.3">
      <c r="A151">
        <v>150</v>
      </c>
      <c r="B151">
        <v>513</v>
      </c>
      <c r="C151">
        <v>199</v>
      </c>
      <c r="D151">
        <v>198</v>
      </c>
      <c r="E151">
        <v>3700</v>
      </c>
      <c r="F151">
        <v>1</v>
      </c>
    </row>
    <row r="152" spans="1:6" x14ac:dyDescent="0.3">
      <c r="A152">
        <v>151</v>
      </c>
      <c r="B152">
        <v>466</v>
      </c>
      <c r="C152">
        <v>178</v>
      </c>
      <c r="D152">
        <v>193</v>
      </c>
      <c r="E152">
        <v>3800</v>
      </c>
      <c r="F152">
        <v>0</v>
      </c>
    </row>
    <row r="153" spans="1:6" x14ac:dyDescent="0.3">
      <c r="A153">
        <v>152</v>
      </c>
      <c r="B153">
        <v>517</v>
      </c>
      <c r="C153">
        <v>203</v>
      </c>
      <c r="D153">
        <v>194</v>
      </c>
      <c r="E153">
        <v>3775</v>
      </c>
      <c r="F153">
        <v>1</v>
      </c>
    </row>
    <row r="154" spans="1:6" x14ac:dyDescent="0.3">
      <c r="A154">
        <v>153</v>
      </c>
      <c r="B154">
        <v>47</v>
      </c>
      <c r="C154">
        <v>173</v>
      </c>
      <c r="D154">
        <v>185</v>
      </c>
      <c r="E154">
        <v>3700</v>
      </c>
      <c r="F154">
        <v>0</v>
      </c>
    </row>
    <row r="155" spans="1:6" x14ac:dyDescent="0.3">
      <c r="A155">
        <v>154</v>
      </c>
      <c r="B155">
        <v>52</v>
      </c>
      <c r="C155">
        <v>181</v>
      </c>
      <c r="D155">
        <v>201</v>
      </c>
      <c r="E155">
        <v>4050</v>
      </c>
      <c r="F155">
        <v>1</v>
      </c>
    </row>
    <row r="156" spans="1:6" x14ac:dyDescent="0.3">
      <c r="A156">
        <v>155</v>
      </c>
      <c r="B156">
        <v>459</v>
      </c>
      <c r="C156">
        <v>171</v>
      </c>
      <c r="D156">
        <v>190</v>
      </c>
      <c r="E156">
        <v>3575</v>
      </c>
      <c r="F156">
        <v>0</v>
      </c>
    </row>
    <row r="157" spans="1:6" x14ac:dyDescent="0.3">
      <c r="A157">
        <v>156</v>
      </c>
      <c r="B157">
        <v>505</v>
      </c>
      <c r="C157">
        <v>196</v>
      </c>
      <c r="D157">
        <v>201</v>
      </c>
      <c r="E157">
        <v>4050</v>
      </c>
      <c r="F157">
        <v>1</v>
      </c>
    </row>
    <row r="158" spans="1:6" x14ac:dyDescent="0.3">
      <c r="A158">
        <v>157</v>
      </c>
      <c r="B158">
        <v>503</v>
      </c>
      <c r="C158">
        <v>20</v>
      </c>
      <c r="D158">
        <v>197</v>
      </c>
      <c r="E158">
        <v>3300</v>
      </c>
      <c r="F158">
        <v>1</v>
      </c>
    </row>
    <row r="159" spans="1:6" x14ac:dyDescent="0.3">
      <c r="A159">
        <v>158</v>
      </c>
      <c r="B159">
        <v>58</v>
      </c>
      <c r="C159">
        <v>178</v>
      </c>
      <c r="D159">
        <v>181</v>
      </c>
      <c r="E159">
        <v>3700</v>
      </c>
      <c r="F159">
        <v>0</v>
      </c>
    </row>
    <row r="160" spans="1:6" x14ac:dyDescent="0.3">
      <c r="A160">
        <v>159</v>
      </c>
      <c r="B160">
        <v>464</v>
      </c>
      <c r="C160">
        <v>186</v>
      </c>
      <c r="D160">
        <v>190</v>
      </c>
      <c r="E160">
        <v>3450</v>
      </c>
      <c r="F160">
        <v>0</v>
      </c>
    </row>
    <row r="161" spans="1:6" x14ac:dyDescent="0.3">
      <c r="A161">
        <v>160</v>
      </c>
      <c r="B161">
        <v>492</v>
      </c>
      <c r="C161">
        <v>182</v>
      </c>
      <c r="D161">
        <v>195</v>
      </c>
      <c r="E161">
        <v>4400</v>
      </c>
      <c r="F161">
        <v>1</v>
      </c>
    </row>
    <row r="162" spans="1:6" x14ac:dyDescent="0.3">
      <c r="A162">
        <v>161</v>
      </c>
      <c r="B162">
        <v>424</v>
      </c>
      <c r="C162">
        <v>173</v>
      </c>
      <c r="D162">
        <v>181</v>
      </c>
      <c r="E162">
        <v>3600</v>
      </c>
      <c r="F162">
        <v>0</v>
      </c>
    </row>
    <row r="163" spans="1:6" x14ac:dyDescent="0.3">
      <c r="A163">
        <v>162</v>
      </c>
      <c r="B163">
        <v>485</v>
      </c>
      <c r="C163">
        <v>175</v>
      </c>
      <c r="D163">
        <v>191</v>
      </c>
      <c r="E163">
        <v>3400</v>
      </c>
      <c r="F163">
        <v>1</v>
      </c>
    </row>
    <row r="164" spans="1:6" x14ac:dyDescent="0.3">
      <c r="A164">
        <v>163</v>
      </c>
      <c r="B164">
        <v>432</v>
      </c>
      <c r="C164">
        <v>166</v>
      </c>
      <c r="D164">
        <v>187</v>
      </c>
      <c r="E164">
        <v>2900</v>
      </c>
      <c r="F164">
        <v>0</v>
      </c>
    </row>
    <row r="165" spans="1:6" x14ac:dyDescent="0.3">
      <c r="A165">
        <v>164</v>
      </c>
      <c r="B165">
        <v>506</v>
      </c>
      <c r="C165">
        <v>194</v>
      </c>
      <c r="D165">
        <v>193</v>
      </c>
      <c r="E165">
        <v>3800</v>
      </c>
      <c r="F165">
        <v>1</v>
      </c>
    </row>
    <row r="166" spans="1:6" x14ac:dyDescent="0.3">
      <c r="A166">
        <v>165</v>
      </c>
      <c r="B166">
        <v>467</v>
      </c>
      <c r="C166">
        <v>179</v>
      </c>
      <c r="D166">
        <v>195</v>
      </c>
      <c r="E166">
        <v>3300</v>
      </c>
      <c r="F166">
        <v>0</v>
      </c>
    </row>
    <row r="167" spans="1:6" x14ac:dyDescent="0.3">
      <c r="A167">
        <v>166</v>
      </c>
      <c r="B167">
        <v>52</v>
      </c>
      <c r="C167">
        <v>19</v>
      </c>
      <c r="D167">
        <v>197</v>
      </c>
      <c r="E167">
        <v>4150</v>
      </c>
      <c r="F167">
        <v>1</v>
      </c>
    </row>
    <row r="168" spans="1:6" x14ac:dyDescent="0.3">
      <c r="A168">
        <v>167</v>
      </c>
      <c r="B168">
        <v>505</v>
      </c>
      <c r="C168">
        <v>184</v>
      </c>
      <c r="D168">
        <v>200</v>
      </c>
      <c r="E168">
        <v>3400</v>
      </c>
      <c r="F168">
        <v>0</v>
      </c>
    </row>
    <row r="169" spans="1:6" x14ac:dyDescent="0.3">
      <c r="A169">
        <v>168</v>
      </c>
      <c r="B169">
        <v>495</v>
      </c>
      <c r="C169">
        <v>19</v>
      </c>
      <c r="D169">
        <v>200</v>
      </c>
      <c r="E169">
        <v>3800</v>
      </c>
      <c r="F169">
        <v>1</v>
      </c>
    </row>
    <row r="170" spans="1:6" x14ac:dyDescent="0.3">
      <c r="A170">
        <v>169</v>
      </c>
      <c r="B170">
        <v>464</v>
      </c>
      <c r="C170">
        <v>178</v>
      </c>
      <c r="D170">
        <v>191</v>
      </c>
      <c r="E170">
        <v>3700</v>
      </c>
      <c r="F170">
        <v>0</v>
      </c>
    </row>
    <row r="171" spans="1:6" x14ac:dyDescent="0.3">
      <c r="A171">
        <v>170</v>
      </c>
      <c r="B171">
        <v>528</v>
      </c>
      <c r="C171">
        <v>20</v>
      </c>
      <c r="D171">
        <v>205</v>
      </c>
      <c r="E171">
        <v>4550</v>
      </c>
      <c r="F171">
        <v>1</v>
      </c>
    </row>
    <row r="172" spans="1:6" x14ac:dyDescent="0.3">
      <c r="A172">
        <v>171</v>
      </c>
      <c r="B172">
        <v>409</v>
      </c>
      <c r="C172">
        <v>166</v>
      </c>
      <c r="D172">
        <v>187</v>
      </c>
      <c r="E172">
        <v>3200</v>
      </c>
      <c r="F172">
        <v>0</v>
      </c>
    </row>
    <row r="173" spans="1:6" x14ac:dyDescent="0.3">
      <c r="A173">
        <v>172</v>
      </c>
      <c r="B173">
        <v>542</v>
      </c>
      <c r="C173">
        <v>208</v>
      </c>
      <c r="D173">
        <v>201</v>
      </c>
      <c r="E173">
        <v>4300</v>
      </c>
      <c r="F173">
        <v>1</v>
      </c>
    </row>
    <row r="174" spans="1:6" x14ac:dyDescent="0.3">
      <c r="A174">
        <v>173</v>
      </c>
      <c r="B174">
        <v>425</v>
      </c>
      <c r="C174">
        <v>167</v>
      </c>
      <c r="D174">
        <v>187</v>
      </c>
      <c r="E174">
        <v>3350</v>
      </c>
      <c r="F174">
        <v>0</v>
      </c>
    </row>
    <row r="175" spans="1:6" x14ac:dyDescent="0.3">
      <c r="A175">
        <v>174</v>
      </c>
      <c r="B175">
        <v>51</v>
      </c>
      <c r="C175">
        <v>188</v>
      </c>
      <c r="D175">
        <v>203</v>
      </c>
      <c r="E175">
        <v>4100</v>
      </c>
      <c r="F175">
        <v>1</v>
      </c>
    </row>
    <row r="176" spans="1:6" x14ac:dyDescent="0.3">
      <c r="A176">
        <v>175</v>
      </c>
      <c r="B176">
        <v>497</v>
      </c>
      <c r="C176">
        <v>186</v>
      </c>
      <c r="D176">
        <v>195</v>
      </c>
      <c r="E176">
        <v>3600</v>
      </c>
      <c r="F176">
        <v>1</v>
      </c>
    </row>
    <row r="177" spans="1:6" x14ac:dyDescent="0.3">
      <c r="A177">
        <v>176</v>
      </c>
      <c r="B177">
        <v>475</v>
      </c>
      <c r="C177">
        <v>168</v>
      </c>
      <c r="D177">
        <v>199</v>
      </c>
      <c r="E177">
        <v>3900</v>
      </c>
      <c r="F177">
        <v>0</v>
      </c>
    </row>
    <row r="178" spans="1:6" x14ac:dyDescent="0.3">
      <c r="A178">
        <v>177</v>
      </c>
      <c r="B178">
        <v>476</v>
      </c>
      <c r="C178">
        <v>183</v>
      </c>
      <c r="D178">
        <v>195</v>
      </c>
      <c r="E178">
        <v>3850</v>
      </c>
      <c r="F178">
        <v>0</v>
      </c>
    </row>
    <row r="179" spans="1:6" x14ac:dyDescent="0.3">
      <c r="A179">
        <v>178</v>
      </c>
      <c r="B179">
        <v>52</v>
      </c>
      <c r="C179">
        <v>207</v>
      </c>
      <c r="D179">
        <v>210</v>
      </c>
      <c r="E179">
        <v>4800</v>
      </c>
      <c r="F179">
        <v>1</v>
      </c>
    </row>
    <row r="180" spans="1:6" x14ac:dyDescent="0.3">
      <c r="A180">
        <v>179</v>
      </c>
      <c r="B180">
        <v>469</v>
      </c>
      <c r="C180">
        <v>166</v>
      </c>
      <c r="D180">
        <v>192</v>
      </c>
      <c r="E180">
        <v>2700</v>
      </c>
      <c r="F180">
        <v>0</v>
      </c>
    </row>
    <row r="181" spans="1:6" x14ac:dyDescent="0.3">
      <c r="A181">
        <v>180</v>
      </c>
      <c r="B181">
        <v>535</v>
      </c>
      <c r="C181">
        <v>199</v>
      </c>
      <c r="D181">
        <v>205</v>
      </c>
      <c r="E181">
        <v>4500</v>
      </c>
      <c r="F181">
        <v>1</v>
      </c>
    </row>
    <row r="182" spans="1:6" x14ac:dyDescent="0.3">
      <c r="A182">
        <v>181</v>
      </c>
      <c r="B182">
        <v>49</v>
      </c>
      <c r="C182">
        <v>195</v>
      </c>
      <c r="D182">
        <v>210</v>
      </c>
      <c r="E182">
        <v>3950</v>
      </c>
      <c r="F182">
        <v>1</v>
      </c>
    </row>
    <row r="183" spans="1:6" x14ac:dyDescent="0.3">
      <c r="A183">
        <v>182</v>
      </c>
      <c r="B183">
        <v>462</v>
      </c>
      <c r="C183">
        <v>175</v>
      </c>
      <c r="D183">
        <v>187</v>
      </c>
      <c r="E183">
        <v>3650</v>
      </c>
      <c r="F183">
        <v>0</v>
      </c>
    </row>
    <row r="184" spans="1:6" x14ac:dyDescent="0.3">
      <c r="A184">
        <v>183</v>
      </c>
      <c r="B184">
        <v>509</v>
      </c>
      <c r="C184">
        <v>191</v>
      </c>
      <c r="D184">
        <v>196</v>
      </c>
      <c r="E184">
        <v>3550</v>
      </c>
      <c r="F184">
        <v>1</v>
      </c>
    </row>
    <row r="185" spans="1:6" x14ac:dyDescent="0.3">
      <c r="A185">
        <v>184</v>
      </c>
      <c r="B185">
        <v>455</v>
      </c>
      <c r="C185">
        <v>17</v>
      </c>
      <c r="D185">
        <v>196</v>
      </c>
      <c r="E185">
        <v>3500</v>
      </c>
      <c r="F185">
        <v>0</v>
      </c>
    </row>
    <row r="186" spans="1:6" x14ac:dyDescent="0.3">
      <c r="A186">
        <v>185</v>
      </c>
      <c r="B186">
        <v>509</v>
      </c>
      <c r="C186">
        <v>179</v>
      </c>
      <c r="D186">
        <v>196</v>
      </c>
      <c r="E186">
        <v>3675</v>
      </c>
      <c r="F186">
        <v>0</v>
      </c>
    </row>
    <row r="187" spans="1:6" x14ac:dyDescent="0.3">
      <c r="A187">
        <v>186</v>
      </c>
      <c r="B187">
        <v>508</v>
      </c>
      <c r="C187">
        <v>185</v>
      </c>
      <c r="D187">
        <v>201</v>
      </c>
      <c r="E187">
        <v>4450</v>
      </c>
      <c r="F187">
        <v>1</v>
      </c>
    </row>
    <row r="188" spans="1:6" x14ac:dyDescent="0.3">
      <c r="A188">
        <v>187</v>
      </c>
      <c r="B188">
        <v>501</v>
      </c>
      <c r="C188">
        <v>179</v>
      </c>
      <c r="D188">
        <v>190</v>
      </c>
      <c r="E188">
        <v>3400</v>
      </c>
      <c r="F188">
        <v>0</v>
      </c>
    </row>
    <row r="189" spans="1:6" x14ac:dyDescent="0.3">
      <c r="A189">
        <v>188</v>
      </c>
      <c r="B189">
        <v>49</v>
      </c>
      <c r="C189">
        <v>196</v>
      </c>
      <c r="D189">
        <v>212</v>
      </c>
      <c r="E189">
        <v>4300</v>
      </c>
      <c r="F189">
        <v>1</v>
      </c>
    </row>
    <row r="190" spans="1:6" x14ac:dyDescent="0.3">
      <c r="A190">
        <v>189</v>
      </c>
      <c r="B190">
        <v>515</v>
      </c>
      <c r="C190">
        <v>187</v>
      </c>
      <c r="D190">
        <v>187</v>
      </c>
      <c r="E190">
        <v>3250</v>
      </c>
      <c r="F190">
        <v>1</v>
      </c>
    </row>
    <row r="191" spans="1:6" x14ac:dyDescent="0.3">
      <c r="A191">
        <v>190</v>
      </c>
      <c r="B191">
        <v>498</v>
      </c>
      <c r="C191">
        <v>173</v>
      </c>
      <c r="D191">
        <v>198</v>
      </c>
      <c r="E191">
        <v>3675</v>
      </c>
      <c r="F191">
        <v>0</v>
      </c>
    </row>
    <row r="192" spans="1:6" x14ac:dyDescent="0.3">
      <c r="A192">
        <v>191</v>
      </c>
      <c r="B192">
        <v>481</v>
      </c>
      <c r="C192">
        <v>164</v>
      </c>
      <c r="D192">
        <v>199</v>
      </c>
      <c r="E192">
        <v>3325</v>
      </c>
      <c r="F192">
        <v>0</v>
      </c>
    </row>
    <row r="193" spans="1:6" x14ac:dyDescent="0.3">
      <c r="A193">
        <v>192</v>
      </c>
      <c r="B193">
        <v>514</v>
      </c>
      <c r="C193">
        <v>19</v>
      </c>
      <c r="D193">
        <v>201</v>
      </c>
      <c r="E193">
        <v>3950</v>
      </c>
      <c r="F193">
        <v>1</v>
      </c>
    </row>
    <row r="194" spans="1:6" x14ac:dyDescent="0.3">
      <c r="A194">
        <v>193</v>
      </c>
      <c r="B194">
        <v>457</v>
      </c>
      <c r="C194">
        <v>173</v>
      </c>
      <c r="D194">
        <v>193</v>
      </c>
      <c r="E194">
        <v>3600</v>
      </c>
      <c r="F194">
        <v>0</v>
      </c>
    </row>
    <row r="195" spans="1:6" x14ac:dyDescent="0.3">
      <c r="A195">
        <v>194</v>
      </c>
      <c r="B195">
        <v>507</v>
      </c>
      <c r="C195">
        <v>197</v>
      </c>
      <c r="D195">
        <v>203</v>
      </c>
      <c r="E195">
        <v>4050</v>
      </c>
      <c r="F195">
        <v>1</v>
      </c>
    </row>
    <row r="196" spans="1:6" x14ac:dyDescent="0.3">
      <c r="A196">
        <v>195</v>
      </c>
      <c r="B196">
        <v>425</v>
      </c>
      <c r="C196">
        <v>173</v>
      </c>
      <c r="D196">
        <v>187</v>
      </c>
      <c r="E196">
        <v>3350</v>
      </c>
      <c r="F196">
        <v>0</v>
      </c>
    </row>
    <row r="197" spans="1:6" x14ac:dyDescent="0.3">
      <c r="A197">
        <v>196</v>
      </c>
      <c r="B197">
        <v>522</v>
      </c>
      <c r="C197">
        <v>188</v>
      </c>
      <c r="D197">
        <v>197</v>
      </c>
      <c r="E197">
        <v>3450</v>
      </c>
      <c r="F197">
        <v>1</v>
      </c>
    </row>
    <row r="198" spans="1:6" x14ac:dyDescent="0.3">
      <c r="A198">
        <v>197</v>
      </c>
      <c r="B198">
        <v>452</v>
      </c>
      <c r="C198">
        <v>166</v>
      </c>
      <c r="D198">
        <v>191</v>
      </c>
      <c r="E198">
        <v>3250</v>
      </c>
      <c r="F198">
        <v>0</v>
      </c>
    </row>
    <row r="199" spans="1:6" x14ac:dyDescent="0.3">
      <c r="A199">
        <v>198</v>
      </c>
      <c r="B199">
        <v>493</v>
      </c>
      <c r="C199">
        <v>199</v>
      </c>
      <c r="D199">
        <v>203</v>
      </c>
      <c r="E199">
        <v>4050</v>
      </c>
      <c r="F199">
        <v>1</v>
      </c>
    </row>
    <row r="200" spans="1:6" x14ac:dyDescent="0.3">
      <c r="A200">
        <v>199</v>
      </c>
      <c r="B200">
        <v>502</v>
      </c>
      <c r="C200">
        <v>188</v>
      </c>
      <c r="D200">
        <v>202</v>
      </c>
      <c r="E200">
        <v>3800</v>
      </c>
      <c r="F200">
        <v>1</v>
      </c>
    </row>
    <row r="201" spans="1:6" x14ac:dyDescent="0.3">
      <c r="A201">
        <v>200</v>
      </c>
      <c r="B201">
        <v>456</v>
      </c>
      <c r="C201">
        <v>194</v>
      </c>
      <c r="D201">
        <v>194</v>
      </c>
      <c r="E201">
        <v>3525</v>
      </c>
      <c r="F201">
        <v>0</v>
      </c>
    </row>
    <row r="202" spans="1:6" x14ac:dyDescent="0.3">
      <c r="A202">
        <v>201</v>
      </c>
      <c r="B202">
        <v>519</v>
      </c>
      <c r="C202">
        <v>195</v>
      </c>
      <c r="D202">
        <v>206</v>
      </c>
      <c r="E202">
        <v>3950</v>
      </c>
      <c r="F202">
        <v>1</v>
      </c>
    </row>
    <row r="203" spans="1:6" x14ac:dyDescent="0.3">
      <c r="A203">
        <v>202</v>
      </c>
      <c r="B203">
        <v>468</v>
      </c>
      <c r="C203">
        <v>165</v>
      </c>
      <c r="D203">
        <v>189</v>
      </c>
      <c r="E203">
        <v>3650</v>
      </c>
      <c r="F203">
        <v>0</v>
      </c>
    </row>
    <row r="204" spans="1:6" x14ac:dyDescent="0.3">
      <c r="A204">
        <v>203</v>
      </c>
      <c r="B204">
        <v>457</v>
      </c>
      <c r="C204">
        <v>17</v>
      </c>
      <c r="D204">
        <v>195</v>
      </c>
      <c r="E204">
        <v>3650</v>
      </c>
      <c r="F204">
        <v>0</v>
      </c>
    </row>
    <row r="205" spans="1:6" x14ac:dyDescent="0.3">
      <c r="A205">
        <v>204</v>
      </c>
      <c r="B205">
        <v>558</v>
      </c>
      <c r="C205">
        <v>198</v>
      </c>
      <c r="D205">
        <v>207</v>
      </c>
      <c r="E205">
        <v>4000</v>
      </c>
      <c r="F205">
        <v>1</v>
      </c>
    </row>
    <row r="206" spans="1:6" x14ac:dyDescent="0.3">
      <c r="A206">
        <v>205</v>
      </c>
      <c r="B206">
        <v>435</v>
      </c>
      <c r="C206">
        <v>181</v>
      </c>
      <c r="D206">
        <v>202</v>
      </c>
      <c r="E206">
        <v>3400</v>
      </c>
      <c r="F206">
        <v>0</v>
      </c>
    </row>
    <row r="207" spans="1:6" x14ac:dyDescent="0.3">
      <c r="A207">
        <v>206</v>
      </c>
      <c r="B207">
        <v>496</v>
      </c>
      <c r="C207">
        <v>182</v>
      </c>
      <c r="D207">
        <v>193</v>
      </c>
      <c r="E207">
        <v>3775</v>
      </c>
      <c r="F207">
        <v>1</v>
      </c>
    </row>
    <row r="208" spans="1:6" x14ac:dyDescent="0.3">
      <c r="A208">
        <v>207</v>
      </c>
      <c r="B208">
        <v>508</v>
      </c>
      <c r="C208">
        <v>19</v>
      </c>
      <c r="D208">
        <v>210</v>
      </c>
      <c r="E208">
        <v>4100</v>
      </c>
      <c r="F208">
        <v>1</v>
      </c>
    </row>
    <row r="209" spans="1:6" x14ac:dyDescent="0.3">
      <c r="A209">
        <v>208</v>
      </c>
      <c r="B209">
        <v>502</v>
      </c>
      <c r="C209">
        <v>187</v>
      </c>
      <c r="D209">
        <v>198</v>
      </c>
      <c r="E209">
        <v>3775</v>
      </c>
      <c r="F209">
        <v>0</v>
      </c>
    </row>
    <row r="210" spans="1:6" x14ac:dyDescent="0.3">
      <c r="A210">
        <v>209</v>
      </c>
      <c r="B210">
        <v>461</v>
      </c>
      <c r="C210">
        <v>132</v>
      </c>
      <c r="D210">
        <v>211</v>
      </c>
      <c r="E210">
        <v>4500</v>
      </c>
      <c r="F210">
        <v>0</v>
      </c>
    </row>
    <row r="211" spans="1:6" x14ac:dyDescent="0.3">
      <c r="A211">
        <v>210</v>
      </c>
      <c r="B211">
        <v>50</v>
      </c>
      <c r="C211">
        <v>163</v>
      </c>
      <c r="D211">
        <v>230</v>
      </c>
      <c r="E211">
        <v>5700</v>
      </c>
      <c r="F211">
        <v>1</v>
      </c>
    </row>
    <row r="212" spans="1:6" x14ac:dyDescent="0.3">
      <c r="A212">
        <v>211</v>
      </c>
      <c r="B212">
        <v>487</v>
      </c>
      <c r="C212">
        <v>141</v>
      </c>
      <c r="D212">
        <v>210</v>
      </c>
      <c r="E212">
        <v>4450</v>
      </c>
      <c r="F212">
        <v>0</v>
      </c>
    </row>
    <row r="213" spans="1:6" x14ac:dyDescent="0.3">
      <c r="A213">
        <v>212</v>
      </c>
      <c r="B213">
        <v>50</v>
      </c>
      <c r="C213">
        <v>152</v>
      </c>
      <c r="D213">
        <v>218</v>
      </c>
      <c r="E213">
        <v>5700</v>
      </c>
      <c r="F213">
        <v>1</v>
      </c>
    </row>
    <row r="214" spans="1:6" x14ac:dyDescent="0.3">
      <c r="A214">
        <v>213</v>
      </c>
      <c r="B214">
        <v>476</v>
      </c>
      <c r="C214">
        <v>145</v>
      </c>
      <c r="D214">
        <v>215</v>
      </c>
      <c r="E214">
        <v>5400</v>
      </c>
      <c r="F214">
        <v>1</v>
      </c>
    </row>
    <row r="215" spans="1:6" x14ac:dyDescent="0.3">
      <c r="A215">
        <v>214</v>
      </c>
      <c r="B215">
        <v>465</v>
      </c>
      <c r="C215">
        <v>135</v>
      </c>
      <c r="D215">
        <v>210</v>
      </c>
      <c r="E215">
        <v>4550</v>
      </c>
      <c r="F215">
        <v>0</v>
      </c>
    </row>
    <row r="216" spans="1:6" x14ac:dyDescent="0.3">
      <c r="A216">
        <v>215</v>
      </c>
      <c r="B216">
        <v>454</v>
      </c>
      <c r="C216">
        <v>146</v>
      </c>
      <c r="D216">
        <v>211</v>
      </c>
      <c r="E216">
        <v>4800</v>
      </c>
      <c r="F216">
        <v>0</v>
      </c>
    </row>
    <row r="217" spans="1:6" x14ac:dyDescent="0.3">
      <c r="A217">
        <v>216</v>
      </c>
      <c r="B217">
        <v>467</v>
      </c>
      <c r="C217">
        <v>153</v>
      </c>
      <c r="D217">
        <v>219</v>
      </c>
      <c r="E217">
        <v>5200</v>
      </c>
      <c r="F217">
        <v>1</v>
      </c>
    </row>
    <row r="218" spans="1:6" x14ac:dyDescent="0.3">
      <c r="A218">
        <v>217</v>
      </c>
      <c r="B218">
        <v>433</v>
      </c>
      <c r="C218">
        <v>134</v>
      </c>
      <c r="D218">
        <v>209</v>
      </c>
      <c r="E218">
        <v>4400</v>
      </c>
      <c r="F218">
        <v>0</v>
      </c>
    </row>
    <row r="219" spans="1:6" x14ac:dyDescent="0.3">
      <c r="A219">
        <v>218</v>
      </c>
      <c r="B219">
        <v>468</v>
      </c>
      <c r="C219">
        <v>154</v>
      </c>
      <c r="D219">
        <v>215</v>
      </c>
      <c r="E219">
        <v>5150</v>
      </c>
      <c r="F219">
        <v>1</v>
      </c>
    </row>
    <row r="220" spans="1:6" x14ac:dyDescent="0.3">
      <c r="A220">
        <v>219</v>
      </c>
      <c r="B220">
        <v>409</v>
      </c>
      <c r="C220">
        <v>137</v>
      </c>
      <c r="D220">
        <v>214</v>
      </c>
      <c r="E220">
        <v>4650</v>
      </c>
      <c r="F220">
        <v>0</v>
      </c>
    </row>
    <row r="221" spans="1:6" x14ac:dyDescent="0.3">
      <c r="A221">
        <v>220</v>
      </c>
      <c r="B221">
        <v>49</v>
      </c>
      <c r="C221">
        <v>161</v>
      </c>
      <c r="D221">
        <v>216</v>
      </c>
      <c r="E221">
        <v>5550</v>
      </c>
      <c r="F221">
        <v>1</v>
      </c>
    </row>
    <row r="222" spans="1:6" x14ac:dyDescent="0.3">
      <c r="A222">
        <v>221</v>
      </c>
      <c r="B222">
        <v>455</v>
      </c>
      <c r="C222">
        <v>137</v>
      </c>
      <c r="D222">
        <v>214</v>
      </c>
      <c r="E222">
        <v>4650</v>
      </c>
      <c r="F222">
        <v>0</v>
      </c>
    </row>
    <row r="223" spans="1:6" x14ac:dyDescent="0.3">
      <c r="A223">
        <v>222</v>
      </c>
      <c r="B223">
        <v>484</v>
      </c>
      <c r="C223">
        <v>146</v>
      </c>
      <c r="D223">
        <v>213</v>
      </c>
      <c r="E223">
        <v>5850</v>
      </c>
      <c r="F223">
        <v>1</v>
      </c>
    </row>
    <row r="224" spans="1:6" x14ac:dyDescent="0.3">
      <c r="A224">
        <v>223</v>
      </c>
      <c r="B224">
        <v>458</v>
      </c>
      <c r="C224">
        <v>146</v>
      </c>
      <c r="D224">
        <v>210</v>
      </c>
      <c r="E224">
        <v>4200</v>
      </c>
      <c r="F224">
        <v>0</v>
      </c>
    </row>
    <row r="225" spans="1:6" x14ac:dyDescent="0.3">
      <c r="A225">
        <v>224</v>
      </c>
      <c r="B225">
        <v>493</v>
      </c>
      <c r="C225">
        <v>157</v>
      </c>
      <c r="D225">
        <v>217</v>
      </c>
      <c r="E225">
        <v>5850</v>
      </c>
      <c r="F225">
        <v>1</v>
      </c>
    </row>
    <row r="226" spans="1:6" x14ac:dyDescent="0.3">
      <c r="A226">
        <v>225</v>
      </c>
      <c r="B226">
        <v>42</v>
      </c>
      <c r="C226">
        <v>135</v>
      </c>
      <c r="D226">
        <v>210</v>
      </c>
      <c r="E226">
        <v>4150</v>
      </c>
      <c r="F226">
        <v>0</v>
      </c>
    </row>
    <row r="227" spans="1:6" x14ac:dyDescent="0.3">
      <c r="A227">
        <v>226</v>
      </c>
      <c r="B227">
        <v>492</v>
      </c>
      <c r="C227">
        <v>152</v>
      </c>
      <c r="D227">
        <v>221</v>
      </c>
      <c r="E227">
        <v>6300</v>
      </c>
      <c r="F227">
        <v>1</v>
      </c>
    </row>
    <row r="228" spans="1:6" x14ac:dyDescent="0.3">
      <c r="A228">
        <v>227</v>
      </c>
      <c r="B228">
        <v>462</v>
      </c>
      <c r="C228">
        <v>145</v>
      </c>
      <c r="D228">
        <v>209</v>
      </c>
      <c r="E228">
        <v>4800</v>
      </c>
      <c r="F228">
        <v>0</v>
      </c>
    </row>
    <row r="229" spans="1:6" x14ac:dyDescent="0.3">
      <c r="A229">
        <v>228</v>
      </c>
      <c r="B229">
        <v>487</v>
      </c>
      <c r="C229">
        <v>151</v>
      </c>
      <c r="D229">
        <v>222</v>
      </c>
      <c r="E229">
        <v>5350</v>
      </c>
      <c r="F229">
        <v>1</v>
      </c>
    </row>
    <row r="230" spans="1:6" x14ac:dyDescent="0.3">
      <c r="A230">
        <v>229</v>
      </c>
      <c r="B230">
        <v>502</v>
      </c>
      <c r="C230">
        <v>143</v>
      </c>
      <c r="D230">
        <v>218</v>
      </c>
      <c r="E230">
        <v>5700</v>
      </c>
      <c r="F230">
        <v>1</v>
      </c>
    </row>
    <row r="231" spans="1:6" x14ac:dyDescent="0.3">
      <c r="A231">
        <v>230</v>
      </c>
      <c r="B231">
        <v>451</v>
      </c>
      <c r="C231">
        <v>145</v>
      </c>
      <c r="D231">
        <v>215</v>
      </c>
      <c r="E231">
        <v>5000</v>
      </c>
      <c r="F231">
        <v>0</v>
      </c>
    </row>
    <row r="232" spans="1:6" x14ac:dyDescent="0.3">
      <c r="A232">
        <v>231</v>
      </c>
      <c r="B232">
        <v>465</v>
      </c>
      <c r="C232">
        <v>145</v>
      </c>
      <c r="D232">
        <v>213</v>
      </c>
      <c r="E232">
        <v>4400</v>
      </c>
      <c r="F232">
        <v>0</v>
      </c>
    </row>
    <row r="233" spans="1:6" x14ac:dyDescent="0.3">
      <c r="A233">
        <v>232</v>
      </c>
      <c r="B233">
        <v>463</v>
      </c>
      <c r="C233">
        <v>158</v>
      </c>
      <c r="D233">
        <v>215</v>
      </c>
      <c r="E233">
        <v>5050</v>
      </c>
      <c r="F233">
        <v>1</v>
      </c>
    </row>
    <row r="234" spans="1:6" x14ac:dyDescent="0.3">
      <c r="A234">
        <v>233</v>
      </c>
      <c r="B234">
        <v>429</v>
      </c>
      <c r="C234">
        <v>131</v>
      </c>
      <c r="D234">
        <v>215</v>
      </c>
      <c r="E234">
        <v>5000</v>
      </c>
      <c r="F234">
        <v>0</v>
      </c>
    </row>
    <row r="235" spans="1:6" x14ac:dyDescent="0.3">
      <c r="A235">
        <v>234</v>
      </c>
      <c r="B235">
        <v>461</v>
      </c>
      <c r="C235">
        <v>151</v>
      </c>
      <c r="D235">
        <v>215</v>
      </c>
      <c r="E235">
        <v>5100</v>
      </c>
      <c r="F235">
        <v>1</v>
      </c>
    </row>
    <row r="236" spans="1:6" x14ac:dyDescent="0.3">
      <c r="A236">
        <v>235</v>
      </c>
      <c r="B236">
        <v>445</v>
      </c>
      <c r="C236">
        <v>143</v>
      </c>
      <c r="D236">
        <v>216</v>
      </c>
      <c r="E236">
        <v>4100</v>
      </c>
      <c r="F236">
        <v>1</v>
      </c>
    </row>
    <row r="237" spans="1:6" x14ac:dyDescent="0.3">
      <c r="A237">
        <v>236</v>
      </c>
      <c r="B237">
        <v>478</v>
      </c>
      <c r="C237">
        <v>15</v>
      </c>
      <c r="D237">
        <v>215</v>
      </c>
      <c r="E237">
        <v>5650</v>
      </c>
      <c r="F237">
        <v>1</v>
      </c>
    </row>
    <row r="238" spans="1:6" x14ac:dyDescent="0.3">
      <c r="A238">
        <v>237</v>
      </c>
      <c r="B238">
        <v>482</v>
      </c>
      <c r="C238">
        <v>143</v>
      </c>
      <c r="D238">
        <v>210</v>
      </c>
      <c r="E238">
        <v>4600</v>
      </c>
      <c r="F238">
        <v>0</v>
      </c>
    </row>
    <row r="239" spans="1:6" x14ac:dyDescent="0.3">
      <c r="A239">
        <v>238</v>
      </c>
      <c r="B239">
        <v>50</v>
      </c>
      <c r="C239">
        <v>153</v>
      </c>
      <c r="D239">
        <v>220</v>
      </c>
      <c r="E239">
        <v>5550</v>
      </c>
      <c r="F239">
        <v>1</v>
      </c>
    </row>
    <row r="240" spans="1:6" x14ac:dyDescent="0.3">
      <c r="A240">
        <v>239</v>
      </c>
      <c r="B240">
        <v>473</v>
      </c>
      <c r="C240">
        <v>153</v>
      </c>
      <c r="D240">
        <v>222</v>
      </c>
      <c r="E240">
        <v>5250</v>
      </c>
      <c r="F240">
        <v>1</v>
      </c>
    </row>
    <row r="241" spans="1:6" x14ac:dyDescent="0.3">
      <c r="A241">
        <v>240</v>
      </c>
      <c r="B241">
        <v>428</v>
      </c>
      <c r="C241">
        <v>142</v>
      </c>
      <c r="D241">
        <v>209</v>
      </c>
      <c r="E241">
        <v>4700</v>
      </c>
      <c r="F241">
        <v>0</v>
      </c>
    </row>
    <row r="242" spans="1:6" x14ac:dyDescent="0.3">
      <c r="A242">
        <v>241</v>
      </c>
      <c r="B242">
        <v>451</v>
      </c>
      <c r="C242">
        <v>145</v>
      </c>
      <c r="D242">
        <v>207</v>
      </c>
      <c r="E242">
        <v>5050</v>
      </c>
      <c r="F242">
        <v>0</v>
      </c>
    </row>
    <row r="243" spans="1:6" x14ac:dyDescent="0.3">
      <c r="A243">
        <v>242</v>
      </c>
      <c r="B243">
        <v>596</v>
      </c>
      <c r="C243">
        <v>17</v>
      </c>
      <c r="D243">
        <v>230</v>
      </c>
      <c r="E243">
        <v>6050</v>
      </c>
      <c r="F243">
        <v>1</v>
      </c>
    </row>
    <row r="244" spans="1:6" x14ac:dyDescent="0.3">
      <c r="A244">
        <v>243</v>
      </c>
      <c r="B244">
        <v>491</v>
      </c>
      <c r="C244">
        <v>148</v>
      </c>
      <c r="D244">
        <v>220</v>
      </c>
      <c r="E244">
        <v>5150</v>
      </c>
      <c r="F244">
        <v>0</v>
      </c>
    </row>
    <row r="245" spans="1:6" x14ac:dyDescent="0.3">
      <c r="A245">
        <v>244</v>
      </c>
      <c r="B245">
        <v>484</v>
      </c>
      <c r="C245">
        <v>163</v>
      </c>
      <c r="D245">
        <v>220</v>
      </c>
      <c r="E245">
        <v>5400</v>
      </c>
      <c r="F245">
        <v>1</v>
      </c>
    </row>
    <row r="246" spans="1:6" x14ac:dyDescent="0.3">
      <c r="A246">
        <v>245</v>
      </c>
      <c r="B246">
        <v>426</v>
      </c>
      <c r="C246">
        <v>137</v>
      </c>
      <c r="D246">
        <v>213</v>
      </c>
      <c r="E246">
        <v>4950</v>
      </c>
      <c r="F246">
        <v>0</v>
      </c>
    </row>
    <row r="247" spans="1:6" x14ac:dyDescent="0.3">
      <c r="A247">
        <v>246</v>
      </c>
      <c r="B247">
        <v>444</v>
      </c>
      <c r="C247">
        <v>173</v>
      </c>
      <c r="D247">
        <v>219</v>
      </c>
      <c r="E247">
        <v>5250</v>
      </c>
      <c r="F247">
        <v>1</v>
      </c>
    </row>
    <row r="248" spans="1:6" x14ac:dyDescent="0.3">
      <c r="A248">
        <v>247</v>
      </c>
      <c r="B248">
        <v>44</v>
      </c>
      <c r="C248">
        <v>136</v>
      </c>
      <c r="D248">
        <v>208</v>
      </c>
      <c r="E248">
        <v>4350</v>
      </c>
      <c r="F248">
        <v>0</v>
      </c>
    </row>
    <row r="249" spans="1:6" x14ac:dyDescent="0.3">
      <c r="A249">
        <v>248</v>
      </c>
      <c r="B249">
        <v>487</v>
      </c>
      <c r="C249">
        <v>157</v>
      </c>
      <c r="D249">
        <v>208</v>
      </c>
      <c r="E249">
        <v>5350</v>
      </c>
      <c r="F249">
        <v>1</v>
      </c>
    </row>
    <row r="250" spans="1:6" x14ac:dyDescent="0.3">
      <c r="A250">
        <v>249</v>
      </c>
      <c r="B250">
        <v>427</v>
      </c>
      <c r="C250">
        <v>137</v>
      </c>
      <c r="D250">
        <v>208</v>
      </c>
      <c r="E250">
        <v>3950</v>
      </c>
      <c r="F250">
        <v>0</v>
      </c>
    </row>
    <row r="251" spans="1:6" x14ac:dyDescent="0.3">
      <c r="A251">
        <v>250</v>
      </c>
      <c r="B251">
        <v>496</v>
      </c>
      <c r="C251">
        <v>16</v>
      </c>
      <c r="D251">
        <v>225</v>
      </c>
      <c r="E251">
        <v>5700</v>
      </c>
      <c r="F251">
        <v>1</v>
      </c>
    </row>
    <row r="252" spans="1:6" x14ac:dyDescent="0.3">
      <c r="A252">
        <v>251</v>
      </c>
      <c r="B252">
        <v>453</v>
      </c>
      <c r="C252">
        <v>137</v>
      </c>
      <c r="D252">
        <v>210</v>
      </c>
      <c r="E252">
        <v>4300</v>
      </c>
      <c r="F252">
        <v>0</v>
      </c>
    </row>
    <row r="253" spans="1:6" x14ac:dyDescent="0.3">
      <c r="A253">
        <v>252</v>
      </c>
      <c r="B253">
        <v>496</v>
      </c>
      <c r="C253">
        <v>15</v>
      </c>
      <c r="D253">
        <v>216</v>
      </c>
      <c r="E253">
        <v>4750</v>
      </c>
      <c r="F253">
        <v>1</v>
      </c>
    </row>
    <row r="254" spans="1:6" x14ac:dyDescent="0.3">
      <c r="A254">
        <v>253</v>
      </c>
      <c r="B254">
        <v>505</v>
      </c>
      <c r="C254">
        <v>159</v>
      </c>
      <c r="D254">
        <v>222</v>
      </c>
      <c r="E254">
        <v>5550</v>
      </c>
      <c r="F254">
        <v>1</v>
      </c>
    </row>
    <row r="255" spans="1:6" x14ac:dyDescent="0.3">
      <c r="A255">
        <v>254</v>
      </c>
      <c r="B255">
        <v>436</v>
      </c>
      <c r="C255">
        <v>139</v>
      </c>
      <c r="D255">
        <v>217</v>
      </c>
      <c r="E255">
        <v>4900</v>
      </c>
      <c r="F255">
        <v>0</v>
      </c>
    </row>
    <row r="256" spans="1:6" x14ac:dyDescent="0.3">
      <c r="A256">
        <v>255</v>
      </c>
      <c r="B256">
        <v>455</v>
      </c>
      <c r="C256">
        <v>139</v>
      </c>
      <c r="D256">
        <v>210</v>
      </c>
      <c r="E256">
        <v>4200</v>
      </c>
      <c r="F256">
        <v>0</v>
      </c>
    </row>
    <row r="257" spans="1:6" x14ac:dyDescent="0.3">
      <c r="A257">
        <v>256</v>
      </c>
      <c r="B257">
        <v>505</v>
      </c>
      <c r="C257">
        <v>159</v>
      </c>
      <c r="D257">
        <v>225</v>
      </c>
      <c r="E257">
        <v>5400</v>
      </c>
      <c r="F257">
        <v>1</v>
      </c>
    </row>
    <row r="258" spans="1:6" x14ac:dyDescent="0.3">
      <c r="A258">
        <v>257</v>
      </c>
      <c r="B258">
        <v>449</v>
      </c>
      <c r="C258">
        <v>133</v>
      </c>
      <c r="D258">
        <v>213</v>
      </c>
      <c r="E258">
        <v>5100</v>
      </c>
      <c r="F258">
        <v>0</v>
      </c>
    </row>
    <row r="259" spans="1:6" x14ac:dyDescent="0.3">
      <c r="A259">
        <v>258</v>
      </c>
      <c r="B259">
        <v>452</v>
      </c>
      <c r="C259">
        <v>158</v>
      </c>
      <c r="D259">
        <v>215</v>
      </c>
      <c r="E259">
        <v>5300</v>
      </c>
      <c r="F259">
        <v>1</v>
      </c>
    </row>
    <row r="260" spans="1:6" x14ac:dyDescent="0.3">
      <c r="A260">
        <v>259</v>
      </c>
      <c r="B260">
        <v>466</v>
      </c>
      <c r="C260">
        <v>142</v>
      </c>
      <c r="D260">
        <v>210</v>
      </c>
      <c r="E260">
        <v>4850</v>
      </c>
      <c r="F260">
        <v>0</v>
      </c>
    </row>
    <row r="261" spans="1:6" x14ac:dyDescent="0.3">
      <c r="A261">
        <v>260</v>
      </c>
      <c r="B261">
        <v>485</v>
      </c>
      <c r="C261">
        <v>141</v>
      </c>
      <c r="D261">
        <v>220</v>
      </c>
      <c r="E261">
        <v>5300</v>
      </c>
      <c r="F261">
        <v>1</v>
      </c>
    </row>
    <row r="262" spans="1:6" x14ac:dyDescent="0.3">
      <c r="A262">
        <v>261</v>
      </c>
      <c r="B262">
        <v>451</v>
      </c>
      <c r="C262">
        <v>144</v>
      </c>
      <c r="D262">
        <v>210</v>
      </c>
      <c r="E262">
        <v>4400</v>
      </c>
      <c r="F262">
        <v>0</v>
      </c>
    </row>
    <row r="263" spans="1:6" x14ac:dyDescent="0.3">
      <c r="A263">
        <v>262</v>
      </c>
      <c r="B263">
        <v>501</v>
      </c>
      <c r="C263">
        <v>15</v>
      </c>
      <c r="D263">
        <v>225</v>
      </c>
      <c r="E263">
        <v>5000</v>
      </c>
      <c r="F263">
        <v>1</v>
      </c>
    </row>
    <row r="264" spans="1:6" x14ac:dyDescent="0.3">
      <c r="A264">
        <v>263</v>
      </c>
      <c r="B264">
        <v>465</v>
      </c>
      <c r="C264">
        <v>144</v>
      </c>
      <c r="D264">
        <v>217</v>
      </c>
      <c r="E264">
        <v>4900</v>
      </c>
      <c r="F264">
        <v>0</v>
      </c>
    </row>
    <row r="265" spans="1:6" x14ac:dyDescent="0.3">
      <c r="A265">
        <v>264</v>
      </c>
      <c r="B265">
        <v>45</v>
      </c>
      <c r="C265">
        <v>154</v>
      </c>
      <c r="D265">
        <v>220</v>
      </c>
      <c r="E265">
        <v>5050</v>
      </c>
      <c r="F265">
        <v>1</v>
      </c>
    </row>
    <row r="266" spans="1:6" x14ac:dyDescent="0.3">
      <c r="A266">
        <v>265</v>
      </c>
      <c r="B266">
        <v>438</v>
      </c>
      <c r="C266">
        <v>139</v>
      </c>
      <c r="D266">
        <v>208</v>
      </c>
      <c r="E266">
        <v>4300</v>
      </c>
      <c r="F266">
        <v>0</v>
      </c>
    </row>
    <row r="267" spans="1:6" x14ac:dyDescent="0.3">
      <c r="A267">
        <v>266</v>
      </c>
      <c r="B267">
        <v>455</v>
      </c>
      <c r="C267">
        <v>15</v>
      </c>
      <c r="D267">
        <v>220</v>
      </c>
      <c r="E267">
        <v>5000</v>
      </c>
      <c r="F267">
        <v>1</v>
      </c>
    </row>
    <row r="268" spans="1:6" x14ac:dyDescent="0.3">
      <c r="A268">
        <v>267</v>
      </c>
      <c r="B268">
        <v>432</v>
      </c>
      <c r="C268">
        <v>145</v>
      </c>
      <c r="D268">
        <v>208</v>
      </c>
      <c r="E268">
        <v>4450</v>
      </c>
      <c r="F268">
        <v>0</v>
      </c>
    </row>
    <row r="269" spans="1:6" x14ac:dyDescent="0.3">
      <c r="A269">
        <v>268</v>
      </c>
      <c r="B269">
        <v>504</v>
      </c>
      <c r="C269">
        <v>153</v>
      </c>
      <c r="D269">
        <v>224</v>
      </c>
      <c r="E269">
        <v>5550</v>
      </c>
      <c r="F269">
        <v>1</v>
      </c>
    </row>
    <row r="270" spans="1:6" x14ac:dyDescent="0.3">
      <c r="A270">
        <v>269</v>
      </c>
      <c r="B270">
        <v>453</v>
      </c>
      <c r="C270">
        <v>138</v>
      </c>
      <c r="D270">
        <v>208</v>
      </c>
      <c r="E270">
        <v>4200</v>
      </c>
      <c r="F270">
        <v>0</v>
      </c>
    </row>
    <row r="271" spans="1:6" x14ac:dyDescent="0.3">
      <c r="A271">
        <v>270</v>
      </c>
      <c r="B271">
        <v>462</v>
      </c>
      <c r="C271">
        <v>149</v>
      </c>
      <c r="D271">
        <v>221</v>
      </c>
      <c r="E271">
        <v>5300</v>
      </c>
      <c r="F27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5B3F-B911-4136-AC25-7F7574029FFF}">
  <dimension ref="A1:F4"/>
  <sheetViews>
    <sheetView workbookViewId="0">
      <selection activeCell="D12" sqref="D12"/>
    </sheetView>
  </sheetViews>
  <sheetFormatPr defaultRowHeight="14.4" x14ac:dyDescent="0.3"/>
  <cols>
    <col min="1" max="1" width="18.33203125" bestFit="1" customWidth="1"/>
    <col min="2" max="2" width="18.88671875" bestFit="1" customWidth="1"/>
    <col min="3" max="4" width="18.44140625" bestFit="1" customWidth="1"/>
    <col min="5" max="5" width="15.33203125" bestFit="1" customWidth="1"/>
    <col min="6" max="6" width="13" bestFit="1" customWidth="1"/>
  </cols>
  <sheetData>
    <row r="1" spans="1:6" x14ac:dyDescent="0.3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">
      <c r="A2">
        <v>1</v>
      </c>
      <c r="B2">
        <v>376.34343434343435</v>
      </c>
      <c r="C2">
        <v>153.16161616161617</v>
      </c>
      <c r="D2">
        <v>188.69696969696969</v>
      </c>
      <c r="E2">
        <v>3340.909090909091</v>
      </c>
      <c r="F2">
        <v>0.17171717171717171</v>
      </c>
    </row>
    <row r="3" spans="1:6" x14ac:dyDescent="0.3">
      <c r="A3">
        <v>3</v>
      </c>
      <c r="B3">
        <v>374.17142857142858</v>
      </c>
      <c r="C3">
        <v>166.82857142857142</v>
      </c>
      <c r="D3">
        <v>194.1</v>
      </c>
      <c r="E3">
        <v>3860.3571428571427</v>
      </c>
      <c r="F3">
        <v>0.7</v>
      </c>
    </row>
    <row r="4" spans="1:6" x14ac:dyDescent="0.3">
      <c r="A4">
        <v>2</v>
      </c>
      <c r="B4">
        <v>400.41584158415844</v>
      </c>
      <c r="C4">
        <v>147.02970297029702</v>
      </c>
      <c r="D4">
        <v>204.80198019801981</v>
      </c>
      <c r="E4">
        <v>4762.8712871287125</v>
      </c>
      <c r="F4">
        <v>0.70297029702970293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30CE-3DCB-4BEE-B29E-BC2D0C352C76}">
  <dimension ref="A1:F4"/>
  <sheetViews>
    <sheetView workbookViewId="0">
      <selection sqref="A1:F4"/>
    </sheetView>
  </sheetViews>
  <sheetFormatPr defaultRowHeight="14.4" x14ac:dyDescent="0.3"/>
  <cols>
    <col min="1" max="1" width="18.33203125" bestFit="1" customWidth="1"/>
    <col min="2" max="2" width="19.6640625" bestFit="1" customWidth="1"/>
    <col min="3" max="3" width="19.109375" bestFit="1" customWidth="1"/>
    <col min="4" max="4" width="18.44140625" bestFit="1" customWidth="1"/>
    <col min="5" max="5" width="15.33203125" bestFit="1" customWidth="1"/>
    <col min="6" max="6" width="13" bestFit="1" customWidth="1"/>
  </cols>
  <sheetData>
    <row r="1" spans="1:6" x14ac:dyDescent="0.3">
      <c r="A1" t="s">
        <v>3</v>
      </c>
      <c r="B1" t="s">
        <v>19</v>
      </c>
      <c r="C1" t="s">
        <v>20</v>
      </c>
      <c r="D1" t="s">
        <v>16</v>
      </c>
      <c r="E1" t="s">
        <v>17</v>
      </c>
      <c r="F1" t="s">
        <v>18</v>
      </c>
    </row>
    <row r="2" spans="1:6" x14ac:dyDescent="0.3">
      <c r="A2">
        <v>1</v>
      </c>
      <c r="B2">
        <v>369.1521739130435</v>
      </c>
      <c r="C2">
        <v>152.97826086956522</v>
      </c>
      <c r="D2">
        <v>188.40217391304347</v>
      </c>
      <c r="E2">
        <v>3317.391304347826</v>
      </c>
      <c r="F2">
        <v>0.17391304347826086</v>
      </c>
    </row>
    <row r="3" spans="1:6" x14ac:dyDescent="0.3">
      <c r="A3">
        <v>3</v>
      </c>
      <c r="B3">
        <v>377.08571428571429</v>
      </c>
      <c r="C3">
        <v>164.56190476190477</v>
      </c>
      <c r="D3">
        <v>195.56190476190477</v>
      </c>
      <c r="E3">
        <v>3940.4761904761904</v>
      </c>
      <c r="F3">
        <v>0.67619047619047623</v>
      </c>
    </row>
    <row r="4" spans="1:6" x14ac:dyDescent="0.3">
      <c r="A4">
        <v>2</v>
      </c>
      <c r="B4">
        <v>415.56164383561645</v>
      </c>
      <c r="C4">
        <v>141.61643835616439</v>
      </c>
      <c r="D4">
        <v>206.65753424657532</v>
      </c>
      <c r="E4">
        <v>4973.6301369863013</v>
      </c>
      <c r="F4">
        <v>0.68493150684931514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6FF5-ACEE-4586-AB10-AE581939A072}">
  <dimension ref="B2:AI281"/>
  <sheetViews>
    <sheetView tabSelected="1" workbookViewId="0">
      <selection activeCell="I12" sqref="I12"/>
    </sheetView>
  </sheetViews>
  <sheetFormatPr defaultRowHeight="14.4" x14ac:dyDescent="0.3"/>
  <cols>
    <col min="3" max="3" width="21.33203125" customWidth="1"/>
    <col min="4" max="4" width="21" customWidth="1"/>
    <col min="5" max="5" width="20.88671875" customWidth="1"/>
    <col min="6" max="6" width="16.77734375" customWidth="1"/>
    <col min="7" max="7" width="12.5546875" customWidth="1"/>
    <col min="8" max="8" width="13.44140625" bestFit="1" customWidth="1"/>
    <col min="9" max="9" width="19.109375" customWidth="1"/>
    <col min="10" max="10" width="15.6640625" bestFit="1" customWidth="1"/>
    <col min="11" max="11" width="19.6640625" customWidth="1"/>
    <col min="12" max="12" width="13.109375" customWidth="1"/>
    <col min="13" max="13" width="22.21875" customWidth="1"/>
    <col min="14" max="14" width="21.88671875" customWidth="1"/>
    <col min="15" max="15" width="21.6640625" customWidth="1"/>
    <col min="16" max="16" width="16.5546875" customWidth="1"/>
    <col min="17" max="17" width="14" customWidth="1"/>
    <col min="18" max="18" width="11.33203125" customWidth="1"/>
    <col min="20" max="20" width="18.77734375" customWidth="1"/>
    <col min="21" max="21" width="21.5546875" customWidth="1"/>
    <col min="22" max="22" width="21.44140625" customWidth="1"/>
    <col min="23" max="23" width="20.109375" customWidth="1"/>
    <col min="24" max="24" width="17.6640625" customWidth="1"/>
    <col min="25" max="25" width="13.77734375" customWidth="1"/>
    <col min="27" max="27" width="22.6640625" customWidth="1"/>
    <col min="28" max="28" width="23.109375" customWidth="1"/>
    <col min="29" max="29" width="20.6640625" customWidth="1"/>
    <col min="30" max="30" width="20.77734375" customWidth="1"/>
    <col min="31" max="31" width="17.109375" customWidth="1"/>
    <col min="32" max="32" width="17" customWidth="1"/>
  </cols>
  <sheetData>
    <row r="2" spans="2:35" x14ac:dyDescent="0.3">
      <c r="B2" s="1" t="s">
        <v>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2:35" x14ac:dyDescent="0.3">
      <c r="B3">
        <v>1</v>
      </c>
      <c r="C3">
        <v>411</v>
      </c>
      <c r="D3">
        <v>176</v>
      </c>
      <c r="E3">
        <v>182</v>
      </c>
      <c r="F3">
        <v>3200</v>
      </c>
      <c r="G3">
        <v>0</v>
      </c>
      <c r="I3" s="3" t="s">
        <v>22</v>
      </c>
      <c r="K3" t="s">
        <v>1</v>
      </c>
      <c r="L3" s="1" t="s">
        <v>0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T3" t="s">
        <v>3</v>
      </c>
      <c r="U3" t="s">
        <v>14</v>
      </c>
      <c r="V3" t="s">
        <v>15</v>
      </c>
      <c r="W3" t="s">
        <v>16</v>
      </c>
      <c r="X3" t="s">
        <v>17</v>
      </c>
      <c r="Y3" t="s">
        <v>18</v>
      </c>
      <c r="Z3" s="5"/>
      <c r="AA3" t="s">
        <v>3</v>
      </c>
      <c r="AB3" t="s">
        <v>19</v>
      </c>
      <c r="AC3" t="s">
        <v>20</v>
      </c>
      <c r="AD3" t="s">
        <v>16</v>
      </c>
      <c r="AE3" t="s">
        <v>17</v>
      </c>
      <c r="AF3" t="s">
        <v>18</v>
      </c>
      <c r="AG3" s="5"/>
      <c r="AH3" s="5"/>
      <c r="AI3" s="5"/>
    </row>
    <row r="4" spans="2:35" x14ac:dyDescent="0.3">
      <c r="B4">
        <v>2</v>
      </c>
      <c r="C4">
        <v>386</v>
      </c>
      <c r="D4">
        <v>212</v>
      </c>
      <c r="E4">
        <v>191</v>
      </c>
      <c r="F4">
        <v>3800</v>
      </c>
      <c r="G4">
        <v>1</v>
      </c>
      <c r="I4" s="2">
        <v>15</v>
      </c>
      <c r="K4">
        <v>1</v>
      </c>
      <c r="L4">
        <f t="shared" ref="L4:L6" si="0">I4</f>
        <v>15</v>
      </c>
      <c r="M4">
        <f>VLOOKUP(Table2[[#This Row],[No]],MainTable[],2)</f>
        <v>406</v>
      </c>
      <c r="N4">
        <f>VLOOKUP(Table2[[#This Row],[No]],MainTable[],3)</f>
        <v>186</v>
      </c>
      <c r="O4">
        <f>VLOOKUP(Table2[[#This Row],[No]],MainTable[],4)</f>
        <v>183</v>
      </c>
      <c r="P4">
        <f>VLOOKUP(Table2[[#This Row],[No]],MainTable[],5)</f>
        <v>3550</v>
      </c>
      <c r="Q4">
        <f>VLOOKUP(Table2[[#This Row],[No]],MainTable[],6)</f>
        <v>1</v>
      </c>
      <c r="T4">
        <v>1</v>
      </c>
      <c r="U4">
        <v>376.34343434343435</v>
      </c>
      <c r="V4">
        <v>153.16161616161617</v>
      </c>
      <c r="W4">
        <v>188.69696969696969</v>
      </c>
      <c r="X4">
        <v>3340.909090909091</v>
      </c>
      <c r="Y4">
        <v>0.17171717171717171</v>
      </c>
      <c r="AA4">
        <v>1</v>
      </c>
      <c r="AB4">
        <v>369.1521739130435</v>
      </c>
      <c r="AC4">
        <v>152.97826086956522</v>
      </c>
      <c r="AD4">
        <v>188.40217391304347</v>
      </c>
      <c r="AE4">
        <v>3317.391304347826</v>
      </c>
      <c r="AF4">
        <v>0.17391304347826086</v>
      </c>
    </row>
    <row r="5" spans="2:35" x14ac:dyDescent="0.3">
      <c r="B5">
        <v>3</v>
      </c>
      <c r="C5">
        <v>346</v>
      </c>
      <c r="D5">
        <v>211</v>
      </c>
      <c r="E5">
        <v>-132</v>
      </c>
      <c r="F5">
        <v>4400</v>
      </c>
      <c r="G5">
        <v>1</v>
      </c>
      <c r="I5" s="2">
        <v>50</v>
      </c>
      <c r="K5">
        <v>2</v>
      </c>
      <c r="L5">
        <f t="shared" si="0"/>
        <v>50</v>
      </c>
      <c r="M5">
        <f>VLOOKUP(Table2[[#This Row],[No]],MainTable[],2)</f>
        <v>413</v>
      </c>
      <c r="N5">
        <f>VLOOKUP(Table2[[#This Row],[No]],MainTable[],3)</f>
        <v>211</v>
      </c>
      <c r="O5">
        <f>VLOOKUP(Table2[[#This Row],[No]],MainTable[],4)</f>
        <v>195</v>
      </c>
      <c r="P5">
        <f>VLOOKUP(Table2[[#This Row],[No]],MainTable[],5)</f>
        <v>4400</v>
      </c>
      <c r="Q5">
        <f>VLOOKUP(Table2[[#This Row],[No]],MainTable[],6)</f>
        <v>1</v>
      </c>
      <c r="T5">
        <v>2</v>
      </c>
      <c r="U5">
        <v>400.41584158415844</v>
      </c>
      <c r="V5">
        <v>147.02970297029702</v>
      </c>
      <c r="W5">
        <v>204.80198019801981</v>
      </c>
      <c r="X5">
        <v>4762.8712871287125</v>
      </c>
      <c r="Y5">
        <v>0.70297029702970293</v>
      </c>
      <c r="AA5">
        <v>2</v>
      </c>
      <c r="AB5">
        <v>415.56164383561645</v>
      </c>
      <c r="AC5">
        <v>141.61643835616439</v>
      </c>
      <c r="AD5">
        <v>206.65753424657532</v>
      </c>
      <c r="AE5">
        <v>4973.6301369863013</v>
      </c>
      <c r="AF5">
        <v>0.68493150684931514</v>
      </c>
    </row>
    <row r="6" spans="2:35" x14ac:dyDescent="0.3">
      <c r="B6">
        <f>1+B5</f>
        <v>4</v>
      </c>
      <c r="C6">
        <v>366</v>
      </c>
      <c r="D6">
        <v>178</v>
      </c>
      <c r="E6">
        <v>185</v>
      </c>
      <c r="F6">
        <v>3700</v>
      </c>
      <c r="G6">
        <v>0</v>
      </c>
      <c r="I6" s="2">
        <v>75</v>
      </c>
      <c r="K6">
        <v>3</v>
      </c>
      <c r="L6">
        <f t="shared" si="0"/>
        <v>75</v>
      </c>
      <c r="M6">
        <f>VLOOKUP(Table2[[#This Row],[No]],MainTable[],2)</f>
        <v>363</v>
      </c>
      <c r="N6">
        <f>VLOOKUP(Table2[[#This Row],[No]],MainTable[],3)</f>
        <v>195</v>
      </c>
      <c r="O6">
        <f>VLOOKUP(Table2[[#This Row],[No]],MainTable[],4)</f>
        <v>190</v>
      </c>
      <c r="P6">
        <f>VLOOKUP(Table2[[#This Row],[No]],MainTable[],5)</f>
        <v>3800</v>
      </c>
      <c r="Q6">
        <f>VLOOKUP(Table2[[#This Row],[No]],MainTable[],6)</f>
        <v>1</v>
      </c>
      <c r="T6">
        <v>3</v>
      </c>
      <c r="U6">
        <v>374.17142857142858</v>
      </c>
      <c r="V6">
        <v>166.82857142857142</v>
      </c>
      <c r="W6">
        <v>194.1</v>
      </c>
      <c r="X6">
        <v>3860.3571428571427</v>
      </c>
      <c r="Y6">
        <v>0.7</v>
      </c>
      <c r="AA6">
        <v>3</v>
      </c>
      <c r="AB6">
        <v>377.08571428571429</v>
      </c>
      <c r="AC6">
        <v>164.56190476190477</v>
      </c>
      <c r="AD6">
        <v>195.56190476190477</v>
      </c>
      <c r="AE6">
        <v>3940.4761904761904</v>
      </c>
      <c r="AF6">
        <v>0.67619047619047623</v>
      </c>
    </row>
    <row r="7" spans="2:35" x14ac:dyDescent="0.3">
      <c r="B7">
        <f t="shared" ref="B7:B70" si="1">1+B6</f>
        <v>5</v>
      </c>
      <c r="C7">
        <v>387</v>
      </c>
      <c r="D7">
        <v>19</v>
      </c>
      <c r="E7">
        <v>195</v>
      </c>
      <c r="F7">
        <v>3450</v>
      </c>
      <c r="G7">
        <v>0</v>
      </c>
    </row>
    <row r="8" spans="2:35" x14ac:dyDescent="0.3">
      <c r="B8">
        <f t="shared" si="1"/>
        <v>6</v>
      </c>
      <c r="C8">
        <v>425</v>
      </c>
      <c r="D8">
        <v>207</v>
      </c>
      <c r="E8">
        <v>197</v>
      </c>
      <c r="F8">
        <v>4500</v>
      </c>
      <c r="G8">
        <v>1</v>
      </c>
    </row>
    <row r="9" spans="2:35" ht="15" customHeight="1" x14ac:dyDescent="0.3">
      <c r="B9">
        <f t="shared" si="1"/>
        <v>7</v>
      </c>
      <c r="C9">
        <v>344</v>
      </c>
      <c r="D9">
        <v>184</v>
      </c>
      <c r="E9">
        <v>184</v>
      </c>
      <c r="F9">
        <v>3325</v>
      </c>
      <c r="G9">
        <v>0</v>
      </c>
      <c r="K9" s="6" t="s">
        <v>2</v>
      </c>
      <c r="L9" s="6"/>
      <c r="M9" s="6"/>
      <c r="N9" s="6"/>
      <c r="O9" s="6"/>
      <c r="T9" s="6" t="s">
        <v>7</v>
      </c>
      <c r="U9" s="6"/>
      <c r="V9" s="6"/>
      <c r="W9" s="6"/>
      <c r="X9" s="6"/>
      <c r="AA9" s="6" t="s">
        <v>8</v>
      </c>
      <c r="AB9" s="6"/>
      <c r="AC9" s="6"/>
      <c r="AD9" s="6"/>
      <c r="AE9" s="6"/>
    </row>
    <row r="10" spans="2:35" ht="15" customHeight="1" x14ac:dyDescent="0.3">
      <c r="B10">
        <f t="shared" si="1"/>
        <v>8</v>
      </c>
      <c r="C10">
        <v>46</v>
      </c>
      <c r="D10">
        <v>215</v>
      </c>
      <c r="E10">
        <v>194</v>
      </c>
      <c r="F10">
        <v>4200</v>
      </c>
      <c r="G10">
        <v>1</v>
      </c>
      <c r="K10" s="6"/>
      <c r="L10" s="6"/>
      <c r="M10" s="6"/>
      <c r="N10" s="6"/>
      <c r="O10" s="6"/>
      <c r="T10" s="6"/>
      <c r="U10" s="6"/>
      <c r="V10" s="6"/>
      <c r="W10" s="6"/>
      <c r="X10" s="6"/>
      <c r="AA10" s="6"/>
      <c r="AB10" s="6"/>
      <c r="AC10" s="6"/>
      <c r="AD10" s="6"/>
      <c r="AE10" s="6"/>
    </row>
    <row r="11" spans="2:35" x14ac:dyDescent="0.3">
      <c r="B11">
        <f t="shared" si="1"/>
        <v>9</v>
      </c>
      <c r="C11">
        <v>378</v>
      </c>
      <c r="D11">
        <v>183</v>
      </c>
      <c r="E11">
        <v>174</v>
      </c>
      <c r="F11">
        <v>3400</v>
      </c>
      <c r="G11">
        <v>0</v>
      </c>
      <c r="K11" t="s">
        <v>3</v>
      </c>
      <c r="L11" t="s">
        <v>0</v>
      </c>
      <c r="M11" t="s">
        <v>4</v>
      </c>
      <c r="N11" t="s">
        <v>5</v>
      </c>
      <c r="O11" t="s">
        <v>6</v>
      </c>
      <c r="T11" t="s">
        <v>3</v>
      </c>
      <c r="U11" t="s">
        <v>0</v>
      </c>
      <c r="V11" t="s">
        <v>4</v>
      </c>
      <c r="W11" t="s">
        <v>5</v>
      </c>
      <c r="X11" t="s">
        <v>6</v>
      </c>
      <c r="AA11" t="s">
        <v>3</v>
      </c>
      <c r="AB11" t="s">
        <v>0</v>
      </c>
      <c r="AC11" t="s">
        <v>4</v>
      </c>
      <c r="AD11" t="s">
        <v>5</v>
      </c>
      <c r="AE11" t="s">
        <v>6</v>
      </c>
    </row>
    <row r="12" spans="2:35" x14ac:dyDescent="0.3">
      <c r="B12">
        <f t="shared" si="1"/>
        <v>10</v>
      </c>
      <c r="C12">
        <v>377</v>
      </c>
      <c r="D12">
        <v>187</v>
      </c>
      <c r="E12">
        <v>180</v>
      </c>
      <c r="F12">
        <v>3600</v>
      </c>
      <c r="G12">
        <v>1</v>
      </c>
      <c r="K12">
        <f>MATCH(MIN(Table4[[#This Row],[Cluster 1 Dist]:[Cluster 3 Dist]]),Table4[[#This Row],[Cluster 1 Dist]:[Cluster 3 Dist]],0)</f>
        <v>1</v>
      </c>
      <c r="L12">
        <v>1</v>
      </c>
      <c r="M12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350.18138157246455</v>
      </c>
      <c r="N12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1200.5827751554659</v>
      </c>
      <c r="O12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602.27070325560419</v>
      </c>
      <c r="T12">
        <f>MATCH(MIN(Table48[[#This Row],[Cluster 1 Dist]:[Cluster 3 Dist]]),Table48[[#This Row],[Cluster 1 Dist]:[Cluster 3 Dist]],0)</f>
        <v>1</v>
      </c>
      <c r="U12">
        <v>1</v>
      </c>
      <c r="V12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147.04733969097455</v>
      </c>
      <c r="W12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1563.342056978865</v>
      </c>
      <c r="X12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661.55794523077031</v>
      </c>
      <c r="AA12">
        <f>MATCH(MIN(Table4810[[#This Row],[Cluster 1 Dist]:[Cluster 3 Dist]]),Table4810[[#This Row],[Cluster 1 Dist]:[Cluster 3 Dist]],0)</f>
        <v>1</v>
      </c>
      <c r="AB12">
        <v>1</v>
      </c>
      <c r="AC12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126.89750759505644</v>
      </c>
      <c r="AD12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1774.1407395858239</v>
      </c>
      <c r="AE12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741.46502274527313</v>
      </c>
    </row>
    <row r="13" spans="2:35" x14ac:dyDescent="0.3">
      <c r="B13">
        <f t="shared" si="1"/>
        <v>11</v>
      </c>
      <c r="C13">
        <v>359</v>
      </c>
      <c r="D13">
        <v>192</v>
      </c>
      <c r="E13">
        <v>189</v>
      </c>
      <c r="F13">
        <v>3800</v>
      </c>
      <c r="G13">
        <v>0</v>
      </c>
      <c r="K13">
        <f>MATCH(MIN(Table4[[#This Row],[Cluster 1 Dist]:[Cluster 3 Dist]]),Table4[[#This Row],[Cluster 1 Dist]:[Cluster 3 Dist]],0)</f>
        <v>3</v>
      </c>
      <c r="L13">
        <v>2</v>
      </c>
      <c r="M13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252.26969695149674</v>
      </c>
      <c r="N13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600.62134494205247</v>
      </c>
      <c r="O13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28.61817604250837</v>
      </c>
      <c r="T13">
        <f>MATCH(MIN(Table48[[#This Row],[Cluster 1 Dist]:[Cluster 3 Dist]]),Table48[[#This Row],[Cluster 1 Dist]:[Cluster 3 Dist]],0)</f>
        <v>3</v>
      </c>
      <c r="U13">
        <v>2</v>
      </c>
      <c r="V13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462.95319146100519</v>
      </c>
      <c r="W13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965.26714149277961</v>
      </c>
      <c r="X13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76.374457478282736</v>
      </c>
      <c r="AA13">
        <f>MATCH(MIN(Table4810[[#This Row],[Cluster 1 Dist]:[Cluster 3 Dist]]),Table4810[[#This Row],[Cluster 1 Dist]:[Cluster 3 Dist]],0)</f>
        <v>3</v>
      </c>
      <c r="AB13">
        <v>2</v>
      </c>
      <c r="AC13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486.50385319436879</v>
      </c>
      <c r="AD13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1176.2145606245733</v>
      </c>
      <c r="AE13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148.60791798548902</v>
      </c>
    </row>
    <row r="14" spans="2:35" x14ac:dyDescent="0.3">
      <c r="B14">
        <f t="shared" si="1"/>
        <v>12</v>
      </c>
      <c r="C14">
        <v>382</v>
      </c>
      <c r="D14">
        <v>181</v>
      </c>
      <c r="E14">
        <v>185</v>
      </c>
      <c r="F14">
        <v>3950</v>
      </c>
      <c r="G14">
        <v>1</v>
      </c>
      <c r="K14">
        <f>MATCH(MIN(Table4[[#This Row],[Cluster 1 Dist]:[Cluster 3 Dist]]),Table4[[#This Row],[Cluster 1 Dist]:[Cluster 3 Dist]],0)</f>
        <v>2</v>
      </c>
      <c r="L14">
        <v>3</v>
      </c>
      <c r="M14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908.81791355584539</v>
      </c>
      <c r="N14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333.79334924470857</v>
      </c>
      <c r="O14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681.34352569023508</v>
      </c>
      <c r="T14">
        <f>MATCH(MIN(Table48[[#This Row],[Cluster 1 Dist]:[Cluster 3 Dist]]),Table48[[#This Row],[Cluster 1 Dist]:[Cluster 3 Dist]],0)</f>
        <v>2</v>
      </c>
      <c r="U14">
        <v>3</v>
      </c>
      <c r="V14" s="4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1108.5065578502733</v>
      </c>
      <c r="W14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502.15985087597454</v>
      </c>
      <c r="X14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632.69302015677579</v>
      </c>
      <c r="AA14">
        <f>MATCH(MIN(Table4810[[#This Row],[Cluster 1 Dist]:[Cluster 3 Dist]]),Table4810[[#This Row],[Cluster 1 Dist]:[Cluster 3 Dist]],0)</f>
        <v>3</v>
      </c>
      <c r="AB14">
        <v>3</v>
      </c>
      <c r="AC14" s="4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1130.753009608281</v>
      </c>
      <c r="AD14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673.34497826043491</v>
      </c>
      <c r="AE14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567.08187781406389</v>
      </c>
    </row>
    <row r="15" spans="2:35" x14ac:dyDescent="0.3">
      <c r="B15">
        <f t="shared" si="1"/>
        <v>13</v>
      </c>
      <c r="C15">
        <v>388</v>
      </c>
      <c r="D15">
        <v>172</v>
      </c>
      <c r="E15">
        <v>180</v>
      </c>
      <c r="F15">
        <v>3800</v>
      </c>
      <c r="G15">
        <v>1</v>
      </c>
      <c r="K15">
        <f>MATCH(MIN(Table4[[#This Row],[Cluster 1 Dist]:[Cluster 3 Dist]]),Table4[[#This Row],[Cluster 1 Dist]:[Cluster 3 Dist]],0)</f>
        <v>3</v>
      </c>
      <c r="L15">
        <f>1+L14</f>
        <v>4</v>
      </c>
      <c r="M15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155.46382215808282</v>
      </c>
      <c r="N15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702.42366133267467</v>
      </c>
      <c r="O15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101.6070863670443</v>
      </c>
      <c r="T15">
        <f>MATCH(MIN(Table48[[#This Row],[Cluster 1 Dist]:[Cluster 3 Dist]]),Table48[[#This Row],[Cluster 1 Dist]:[Cluster 3 Dist]],0)</f>
        <v>3</v>
      </c>
      <c r="U15">
        <f>1+U14</f>
        <v>4</v>
      </c>
      <c r="V15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360.11652282168711</v>
      </c>
      <c r="W15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1064.0637175656827</v>
      </c>
      <c r="X15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161.21192985176546</v>
      </c>
      <c r="AA15">
        <f>MATCH(MIN(Table4810[[#This Row],[Cluster 1 Dist]:[Cluster 3 Dist]]),Table4810[[#This Row],[Cluster 1 Dist]:[Cluster 3 Dist]],0)</f>
        <v>3</v>
      </c>
      <c r="AB15">
        <f>1+AB14</f>
        <v>4</v>
      </c>
      <c r="AC15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383.45409458138374</v>
      </c>
      <c r="AD15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1275.2973629150711</v>
      </c>
      <c r="AE15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241.33852721137012</v>
      </c>
    </row>
    <row r="16" spans="2:35" x14ac:dyDescent="0.3">
      <c r="B16">
        <f t="shared" si="1"/>
        <v>14</v>
      </c>
      <c r="C16">
        <v>353</v>
      </c>
      <c r="D16">
        <v>189</v>
      </c>
      <c r="E16">
        <v>187</v>
      </c>
      <c r="F16">
        <v>3800</v>
      </c>
      <c r="G16">
        <v>0</v>
      </c>
      <c r="K16">
        <f>MATCH(MIN(Table4[[#This Row],[Cluster 1 Dist]:[Cluster 3 Dist]]),Table4[[#This Row],[Cluster 1 Dist]:[Cluster 3 Dist]],0)</f>
        <v>1</v>
      </c>
      <c r="L16">
        <f t="shared" ref="L16:L79" si="2">1+L15</f>
        <v>5</v>
      </c>
      <c r="M16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195.94642124825859</v>
      </c>
      <c r="N16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969.55711538825813</v>
      </c>
      <c r="O16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392.52770602850444</v>
      </c>
      <c r="T16">
        <f>MATCH(MIN(Table48[[#This Row],[Cluster 1 Dist]:[Cluster 3 Dist]]),Table48[[#This Row],[Cluster 1 Dist]:[Cluster 3 Dist]],0)</f>
        <v>1</v>
      </c>
      <c r="U16">
        <f t="shared" ref="U16:U79" si="3">1+U15</f>
        <v>5</v>
      </c>
      <c r="V16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173.35941210894342</v>
      </c>
      <c r="W16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1319.2039945353852</v>
      </c>
      <c r="X16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436.36239923873779</v>
      </c>
      <c r="AA16">
        <f>MATCH(MIN(Table4810[[#This Row],[Cluster 1 Dist]:[Cluster 3 Dist]]),Table4810[[#This Row],[Cluster 1 Dist]:[Cluster 3 Dist]],0)</f>
        <v>1</v>
      </c>
      <c r="AB16">
        <f t="shared" ref="AB16:AB79" si="4">1+AB15</f>
        <v>5</v>
      </c>
      <c r="AC16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189.46595208388985</v>
      </c>
      <c r="AD16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1528.8674631970289</v>
      </c>
      <c r="AE16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511.71694087033706</v>
      </c>
    </row>
    <row r="17" spans="2:31" x14ac:dyDescent="0.3">
      <c r="B17">
        <f t="shared" si="1"/>
        <v>15</v>
      </c>
      <c r="C17">
        <v>406</v>
      </c>
      <c r="D17">
        <v>186</v>
      </c>
      <c r="E17">
        <v>183</v>
      </c>
      <c r="F17">
        <v>3550</v>
      </c>
      <c r="G17">
        <v>1</v>
      </c>
      <c r="K17">
        <f>MATCH(MIN(Table4[[#This Row],[Cluster 1 Dist]:[Cluster 3 Dist]]),Table4[[#This Row],[Cluster 1 Dist]:[Cluster 3 Dist]],0)</f>
        <v>2</v>
      </c>
      <c r="L17">
        <f t="shared" si="2"/>
        <v>6</v>
      </c>
      <c r="M1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950.52511802687252</v>
      </c>
      <c r="N1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100.81666528902848</v>
      </c>
      <c r="O1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702.87765649506889</v>
      </c>
      <c r="T17">
        <f>MATCH(MIN(Table48[[#This Row],[Cluster 1 Dist]:[Cluster 3 Dist]]),Table48[[#This Row],[Cluster 1 Dist]:[Cluster 3 Dist]],0)</f>
        <v>2</v>
      </c>
      <c r="U17">
        <f t="shared" si="3"/>
        <v>6</v>
      </c>
      <c r="V1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1161.3902853294699</v>
      </c>
      <c r="W1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270.85621663385683</v>
      </c>
      <c r="X1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642.92205751616314</v>
      </c>
      <c r="AA17">
        <f>MATCH(MIN(Table4810[[#This Row],[Cluster 1 Dist]:[Cluster 3 Dist]]),Table4810[[#This Row],[Cluster 1 Dist]:[Cluster 3 Dist]],0)</f>
        <v>2</v>
      </c>
      <c r="AB17">
        <f t="shared" si="4"/>
        <v>6</v>
      </c>
      <c r="AC1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1185.1899679133862</v>
      </c>
      <c r="AD1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478.31262433460893</v>
      </c>
      <c r="AE1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563.17478379052602</v>
      </c>
    </row>
    <row r="18" spans="2:31" x14ac:dyDescent="0.3">
      <c r="B18">
        <f t="shared" si="1"/>
        <v>16</v>
      </c>
      <c r="C18">
        <v>405</v>
      </c>
      <c r="D18">
        <v>179</v>
      </c>
      <c r="E18">
        <v>187</v>
      </c>
      <c r="F18">
        <v>3200</v>
      </c>
      <c r="G18">
        <v>0</v>
      </c>
      <c r="K18">
        <f>MATCH(MIN(Table4[[#This Row],[Cluster 1 Dist]:[Cluster 3 Dist]]),Table4[[#This Row],[Cluster 1 Dist]:[Cluster 3 Dist]],0)</f>
        <v>1</v>
      </c>
      <c r="L18">
        <f t="shared" si="2"/>
        <v>7</v>
      </c>
      <c r="M18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233.39880033967611</v>
      </c>
      <c r="N18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1077.607071246287</v>
      </c>
      <c r="O18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475.54600198088093</v>
      </c>
      <c r="T18">
        <f>MATCH(MIN(Table48[[#This Row],[Cluster 1 Dist]:[Cluster 3 Dist]]),Table48[[#This Row],[Cluster 1 Dist]:[Cluster 3 Dist]],0)</f>
        <v>1</v>
      </c>
      <c r="U18">
        <f t="shared" si="3"/>
        <v>7</v>
      </c>
      <c r="V18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47.668583444094267</v>
      </c>
      <c r="W18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1439.6029330828314</v>
      </c>
      <c r="X18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536.57706200450605</v>
      </c>
      <c r="AA18">
        <f>MATCH(MIN(Table4810[[#This Row],[Cluster 1 Dist]:[Cluster 3 Dist]]),Table4810[[#This Row],[Cluster 1 Dist]:[Cluster 3 Dist]],0)</f>
        <v>1</v>
      </c>
      <c r="AB18">
        <f t="shared" si="4"/>
        <v>7</v>
      </c>
      <c r="AC18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40.893542053281692</v>
      </c>
      <c r="AD18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1650.8823691392572</v>
      </c>
      <c r="AE18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616.78000936691228</v>
      </c>
    </row>
    <row r="19" spans="2:31" x14ac:dyDescent="0.3">
      <c r="B19">
        <f t="shared" si="1"/>
        <v>17</v>
      </c>
      <c r="C19">
        <v>379</v>
      </c>
      <c r="D19">
        <v>186</v>
      </c>
      <c r="E19">
        <v>172</v>
      </c>
      <c r="F19">
        <v>3150</v>
      </c>
      <c r="G19">
        <v>0</v>
      </c>
      <c r="K19">
        <f>MATCH(MIN(Table4[[#This Row],[Cluster 1 Dist]:[Cluster 3 Dist]]),Table4[[#This Row],[Cluster 1 Dist]:[Cluster 3 Dist]],0)</f>
        <v>2</v>
      </c>
      <c r="L19">
        <f t="shared" si="2"/>
        <v>8</v>
      </c>
      <c r="M19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743.68138338941901</v>
      </c>
      <c r="N19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417.97846834496153</v>
      </c>
      <c r="O19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510.78860598098703</v>
      </c>
      <c r="T19">
        <f>MATCH(MIN(Table48[[#This Row],[Cluster 1 Dist]:[Cluster 3 Dist]]),Table48[[#This Row],[Cluster 1 Dist]:[Cluster 3 Dist]],0)</f>
        <v>3</v>
      </c>
      <c r="U19">
        <f t="shared" si="3"/>
        <v>8</v>
      </c>
      <c r="V19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922.50570111790694</v>
      </c>
      <c r="W19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668.70876091231958</v>
      </c>
      <c r="X19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474.73607769937593</v>
      </c>
      <c r="AA19">
        <f>MATCH(MIN(Table4810[[#This Row],[Cluster 1 Dist]:[Cluster 3 Dist]]),Table4810[[#This Row],[Cluster 1 Dist]:[Cluster 3 Dist]],0)</f>
        <v>3</v>
      </c>
      <c r="AB19">
        <f t="shared" si="4"/>
        <v>8</v>
      </c>
      <c r="AC19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941.96823266333195</v>
      </c>
      <c r="AD19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860.59564082606153</v>
      </c>
      <c r="AE19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423.69435182000291</v>
      </c>
    </row>
    <row r="20" spans="2:31" x14ac:dyDescent="0.3">
      <c r="B20">
        <f t="shared" si="1"/>
        <v>18</v>
      </c>
      <c r="C20">
        <v>405</v>
      </c>
      <c r="D20">
        <v>189</v>
      </c>
      <c r="E20">
        <v>180</v>
      </c>
      <c r="F20">
        <v>3950</v>
      </c>
      <c r="G20">
        <v>1</v>
      </c>
      <c r="K20">
        <f>MATCH(MIN(Table4[[#This Row],[Cluster 1 Dist]:[Cluster 3 Dist]]),Table4[[#This Row],[Cluster 1 Dist]:[Cluster 3 Dist]],0)</f>
        <v>1</v>
      </c>
      <c r="L20">
        <f t="shared" si="2"/>
        <v>9</v>
      </c>
      <c r="M20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152.88884851420656</v>
      </c>
      <c r="N20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1001.2247499937264</v>
      </c>
      <c r="O20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400.78173611081633</v>
      </c>
      <c r="T20">
        <f>MATCH(MIN(Table48[[#This Row],[Cluster 1 Dist]:[Cluster 3 Dist]]),Table48[[#This Row],[Cluster 1 Dist]:[Cluster 3 Dist]],0)</f>
        <v>1</v>
      </c>
      <c r="U20">
        <f t="shared" si="3"/>
        <v>9</v>
      </c>
      <c r="V20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67.829486966304117</v>
      </c>
      <c r="W20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1363.8781960474191</v>
      </c>
      <c r="X20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461.09583823844707</v>
      </c>
      <c r="AA20">
        <f>MATCH(MIN(Table4810[[#This Row],[Cluster 1 Dist]:[Cluster 3 Dist]]),Table4810[[#This Row],[Cluster 1 Dist]:[Cluster 3 Dist]],0)</f>
        <v>1</v>
      </c>
      <c r="AB20">
        <f t="shared" si="4"/>
        <v>9</v>
      </c>
      <c r="AC20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89.505521077767369</v>
      </c>
      <c r="AD20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1574.9610369681286</v>
      </c>
      <c r="AE20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541.22147473705547</v>
      </c>
    </row>
    <row r="21" spans="2:31" x14ac:dyDescent="0.3">
      <c r="B21">
        <f t="shared" si="1"/>
        <v>19</v>
      </c>
      <c r="C21">
        <v>395</v>
      </c>
      <c r="D21">
        <v>167</v>
      </c>
      <c r="E21">
        <v>178</v>
      </c>
      <c r="F21">
        <v>3250</v>
      </c>
      <c r="G21">
        <v>0</v>
      </c>
      <c r="K21">
        <f>MATCH(MIN(Table4[[#This Row],[Cluster 1 Dist]:[Cluster 3 Dist]]),Table4[[#This Row],[Cluster 1 Dist]:[Cluster 3 Dist]],0)</f>
        <v>1</v>
      </c>
      <c r="L21">
        <f t="shared" si="2"/>
        <v>10</v>
      </c>
      <c r="M21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57.887822553625213</v>
      </c>
      <c r="N21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801.30955316906091</v>
      </c>
      <c r="O21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200.89798406156294</v>
      </c>
      <c r="T21">
        <f>MATCH(MIN(Table48[[#This Row],[Cluster 1 Dist]:[Cluster 3 Dist]]),Table48[[#This Row],[Cluster 1 Dist]:[Cluster 3 Dist]],0)</f>
        <v>1</v>
      </c>
      <c r="U21">
        <f t="shared" si="3"/>
        <v>10</v>
      </c>
      <c r="V21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261.43811850447997</v>
      </c>
      <c r="W21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1164.0578951059579</v>
      </c>
      <c r="X21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261.53322768564868</v>
      </c>
      <c r="AA21">
        <f>MATCH(MIN(Table4810[[#This Row],[Cluster 1 Dist]:[Cluster 3 Dist]]),Table4810[[#This Row],[Cluster 1 Dist]:[Cluster 3 Dist]],0)</f>
        <v>1</v>
      </c>
      <c r="AB21">
        <f t="shared" si="4"/>
        <v>10</v>
      </c>
      <c r="AC21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284.88246859380155</v>
      </c>
      <c r="AD21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1375.1789500570653</v>
      </c>
      <c r="AE21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341.5695968297793</v>
      </c>
    </row>
    <row r="22" spans="2:31" x14ac:dyDescent="0.3">
      <c r="B22">
        <f t="shared" si="1"/>
        <v>20</v>
      </c>
      <c r="C22">
        <v>372</v>
      </c>
      <c r="D22">
        <v>181</v>
      </c>
      <c r="E22">
        <v>178</v>
      </c>
      <c r="F22">
        <v>3900</v>
      </c>
      <c r="G22">
        <v>1</v>
      </c>
      <c r="K22">
        <f>MATCH(MIN(Table4[[#This Row],[Cluster 1 Dist]:[Cluster 3 Dist]]),Table4[[#This Row],[Cluster 1 Dist]:[Cluster 3 Dist]],0)</f>
        <v>3</v>
      </c>
      <c r="L22">
        <f t="shared" si="2"/>
        <v>11</v>
      </c>
      <c r="M22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254.52308343252483</v>
      </c>
      <c r="N22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602.75534008418379</v>
      </c>
      <c r="O22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5.196152422706632</v>
      </c>
      <c r="T22">
        <f>MATCH(MIN(Table48[[#This Row],[Cluster 1 Dist]:[Cluster 3 Dist]]),Table48[[#This Row],[Cluster 1 Dist]:[Cluster 3 Dist]],0)</f>
        <v>3</v>
      </c>
      <c r="U22">
        <f t="shared" si="3"/>
        <v>11</v>
      </c>
      <c r="V22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461.05726205979187</v>
      </c>
      <c r="W22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964.93984883586631</v>
      </c>
      <c r="X22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67.329471668074277</v>
      </c>
      <c r="AA22">
        <f>MATCH(MIN(Table4810[[#This Row],[Cluster 1 Dist]:[Cluster 3 Dist]]),Table4810[[#This Row],[Cluster 1 Dist]:[Cluster 3 Dist]],0)</f>
        <v>3</v>
      </c>
      <c r="AB22">
        <f t="shared" si="4"/>
        <v>11</v>
      </c>
      <c r="AC22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484.29051562135101</v>
      </c>
      <c r="AD22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1176.2047776329714</v>
      </c>
      <c r="AE22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144.41959025660816</v>
      </c>
    </row>
    <row r="23" spans="2:31" x14ac:dyDescent="0.3">
      <c r="B23">
        <f t="shared" si="1"/>
        <v>21</v>
      </c>
      <c r="C23">
        <v>395</v>
      </c>
      <c r="D23">
        <v>178</v>
      </c>
      <c r="E23">
        <v>188</v>
      </c>
      <c r="F23">
        <v>3300</v>
      </c>
      <c r="G23">
        <v>0</v>
      </c>
      <c r="K23">
        <f>MATCH(MIN(Table4[[#This Row],[Cluster 1 Dist]:[Cluster 3 Dist]]),Table4[[#This Row],[Cluster 1 Dist]:[Cluster 3 Dist]],0)</f>
        <v>3</v>
      </c>
      <c r="L23">
        <f t="shared" si="2"/>
        <v>12</v>
      </c>
      <c r="M23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400.75553645582988</v>
      </c>
      <c r="N23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452.1736392139639</v>
      </c>
      <c r="O23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151.92761434314698</v>
      </c>
      <c r="T23">
        <f>MATCH(MIN(Table48[[#This Row],[Cluster 1 Dist]:[Cluster 3 Dist]]),Table48[[#This Row],[Cluster 1 Dist]:[Cluster 3 Dist]],0)</f>
        <v>3</v>
      </c>
      <c r="U23">
        <f t="shared" si="3"/>
        <v>12</v>
      </c>
      <c r="V23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609.76475916892264</v>
      </c>
      <c r="W23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814.0301348145756</v>
      </c>
      <c r="X23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91.54702482933061</v>
      </c>
      <c r="AA23">
        <f>MATCH(MIN(Table4810[[#This Row],[Cluster 1 Dist]:[Cluster 3 Dist]]),Table4810[[#This Row],[Cluster 1 Dist]:[Cluster 3 Dist]],0)</f>
        <v>3</v>
      </c>
      <c r="AB23">
        <f t="shared" si="4"/>
        <v>12</v>
      </c>
      <c r="AC23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633.36901054661178</v>
      </c>
      <c r="AD23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1025.1659642560776</v>
      </c>
      <c r="AE23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22.287279147338403</v>
      </c>
    </row>
    <row r="24" spans="2:31" x14ac:dyDescent="0.3">
      <c r="B24">
        <f t="shared" si="1"/>
        <v>22</v>
      </c>
      <c r="C24">
        <v>409</v>
      </c>
      <c r="D24">
        <v>189</v>
      </c>
      <c r="E24">
        <v>184</v>
      </c>
      <c r="F24">
        <v>3900</v>
      </c>
      <c r="G24">
        <v>1</v>
      </c>
      <c r="K24">
        <f>MATCH(MIN(Table4[[#This Row],[Cluster 1 Dist]:[Cluster 3 Dist]]),Table4[[#This Row],[Cluster 1 Dist]:[Cluster 3 Dist]],0)</f>
        <v>3</v>
      </c>
      <c r="L24">
        <f t="shared" si="2"/>
        <v>13</v>
      </c>
      <c r="M24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251.05577069647293</v>
      </c>
      <c r="N24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601.97259073814985</v>
      </c>
      <c r="O24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35.411862419251548</v>
      </c>
      <c r="T24">
        <f>MATCH(MIN(Table48[[#This Row],[Cluster 1 Dist]:[Cluster 3 Dist]]),Table48[[#This Row],[Cluster 1 Dist]:[Cluster 3 Dist]],0)</f>
        <v>3</v>
      </c>
      <c r="U24">
        <f t="shared" si="3"/>
        <v>13</v>
      </c>
      <c r="V24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459.70810997068457</v>
      </c>
      <c r="W24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963.5943186223576</v>
      </c>
      <c r="X24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63.7170130742333</v>
      </c>
      <c r="AA24">
        <f>MATCH(MIN(Table4810[[#This Row],[Cluster 1 Dist]:[Cluster 3 Dist]]),Table4810[[#This Row],[Cluster 1 Dist]:[Cluster 3 Dist]],0)</f>
        <v>3</v>
      </c>
      <c r="AB24">
        <f t="shared" si="4"/>
        <v>13</v>
      </c>
      <c r="AC24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483.42476061220526</v>
      </c>
      <c r="AD24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1174.6494059385691</v>
      </c>
      <c r="AE24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141.95169853352675</v>
      </c>
    </row>
    <row r="25" spans="2:31" x14ac:dyDescent="0.3">
      <c r="B25">
        <f t="shared" si="1"/>
        <v>23</v>
      </c>
      <c r="C25">
        <v>364</v>
      </c>
      <c r="D25">
        <v>17</v>
      </c>
      <c r="E25">
        <v>195</v>
      </c>
      <c r="F25">
        <v>3325</v>
      </c>
      <c r="G25">
        <v>0</v>
      </c>
      <c r="K25">
        <f>MATCH(MIN(Table4[[#This Row],[Cluster 1 Dist]:[Cluster 3 Dist]]),Table4[[#This Row],[Cluster 1 Dist]:[Cluster 3 Dist]],0)</f>
        <v>3</v>
      </c>
      <c r="L25">
        <f t="shared" si="2"/>
        <v>14</v>
      </c>
      <c r="M25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255.60712040160382</v>
      </c>
      <c r="N25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603.44759507350761</v>
      </c>
      <c r="O25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12.083045973594572</v>
      </c>
      <c r="T25">
        <f>MATCH(MIN(Table48[[#This Row],[Cluster 1 Dist]:[Cluster 3 Dist]]),Table48[[#This Row],[Cluster 1 Dist]:[Cluster 3 Dist]],0)</f>
        <v>3</v>
      </c>
      <c r="U25">
        <f t="shared" si="3"/>
        <v>14</v>
      </c>
      <c r="V25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461.08207261392232</v>
      </c>
      <c r="W25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965.11568638635663</v>
      </c>
      <c r="X25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68.071185728842636</v>
      </c>
      <c r="AA25">
        <f>MATCH(MIN(Table4810[[#This Row],[Cluster 1 Dist]:[Cluster 3 Dist]]),Table4810[[#This Row],[Cluster 1 Dist]:[Cluster 3 Dist]],0)</f>
        <v>3</v>
      </c>
      <c r="AB25">
        <f t="shared" si="4"/>
        <v>14</v>
      </c>
      <c r="AC25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484.22268417394503</v>
      </c>
      <c r="AD25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1176.4156354876359</v>
      </c>
      <c r="AE25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144.86084933112261</v>
      </c>
    </row>
    <row r="26" spans="2:31" x14ac:dyDescent="0.3">
      <c r="B26">
        <f t="shared" si="1"/>
        <v>24</v>
      </c>
      <c r="C26">
        <v>392</v>
      </c>
      <c r="D26">
        <v>211</v>
      </c>
      <c r="E26">
        <v>196</v>
      </c>
      <c r="F26">
        <v>4150</v>
      </c>
      <c r="G26">
        <v>1</v>
      </c>
      <c r="K26">
        <f>MATCH(MIN(Table4[[#This Row],[Cluster 1 Dist]:[Cluster 3 Dist]]),Table4[[#This Row],[Cluster 1 Dist]:[Cluster 3 Dist]],0)</f>
        <v>1</v>
      </c>
      <c r="L26">
        <f t="shared" si="2"/>
        <v>15</v>
      </c>
      <c r="M26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0</v>
      </c>
      <c r="N26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850.4810403530463</v>
      </c>
      <c r="O26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253.92715490864697</v>
      </c>
      <c r="T26">
        <f>MATCH(MIN(Table48[[#This Row],[Cluster 1 Dist]:[Cluster 3 Dist]]),Table48[[#This Row],[Cluster 1 Dist]:[Cluster 3 Dist]],0)</f>
        <v>1</v>
      </c>
      <c r="U26">
        <f t="shared" si="3"/>
        <v>15</v>
      </c>
      <c r="V26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213.79902039133344</v>
      </c>
      <c r="W26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1213.7059119013368</v>
      </c>
      <c r="X26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312.77061523599355</v>
      </c>
      <c r="AA26">
        <f>MATCH(MIN(Table4810[[#This Row],[Cluster 1 Dist]:[Cluster 3 Dist]]),Table4810[[#This Row],[Cluster 1 Dist]:[Cluster 3 Dist]],0)</f>
        <v>1</v>
      </c>
      <c r="AB26">
        <f t="shared" si="4"/>
        <v>15</v>
      </c>
      <c r="AC26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237.87574222308859</v>
      </c>
      <c r="AD26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1424.5504100267738</v>
      </c>
      <c r="AE26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392.33300839778695</v>
      </c>
    </row>
    <row r="27" spans="2:31" x14ac:dyDescent="0.3">
      <c r="B27">
        <f t="shared" si="1"/>
        <v>25</v>
      </c>
      <c r="C27">
        <v>388</v>
      </c>
      <c r="D27">
        <v>20</v>
      </c>
      <c r="E27">
        <v>190</v>
      </c>
      <c r="F27">
        <v>3950</v>
      </c>
      <c r="G27">
        <v>1</v>
      </c>
      <c r="K27">
        <f>MATCH(MIN(Table4[[#This Row],[Cluster 1 Dist]:[Cluster 3 Dist]]),Table4[[#This Row],[Cluster 1 Dist]:[Cluster 3 Dist]],0)</f>
        <v>1</v>
      </c>
      <c r="L27">
        <f t="shared" si="2"/>
        <v>16</v>
      </c>
      <c r="M2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350.09570120182855</v>
      </c>
      <c r="N2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1200.4803205384085</v>
      </c>
      <c r="O2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601.68928858672564</v>
      </c>
      <c r="T27">
        <f>MATCH(MIN(Table48[[#This Row],[Cluster 1 Dist]:[Cluster 3 Dist]]),Table48[[#This Row],[Cluster 1 Dist]:[Cluster 3 Dist]],0)</f>
        <v>1</v>
      </c>
      <c r="U27">
        <f t="shared" si="3"/>
        <v>16</v>
      </c>
      <c r="V2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146.10647462852108</v>
      </c>
      <c r="W2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1563.3064892074478</v>
      </c>
      <c r="X2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661.22689041829244</v>
      </c>
      <c r="AA27">
        <f>MATCH(MIN(Table4810[[#This Row],[Cluster 1 Dist]:[Cluster 3 Dist]]),Table4810[[#This Row],[Cluster 1 Dist]:[Cluster 3 Dist]],0)</f>
        <v>1</v>
      </c>
      <c r="AB27">
        <f t="shared" si="4"/>
        <v>16</v>
      </c>
      <c r="AC2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125.47873212798297</v>
      </c>
      <c r="AD2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1774.164544119727</v>
      </c>
      <c r="AE2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741.19256475620853</v>
      </c>
    </row>
    <row r="28" spans="2:31" x14ac:dyDescent="0.3">
      <c r="B28">
        <f t="shared" si="1"/>
        <v>26</v>
      </c>
      <c r="C28">
        <v>422</v>
      </c>
      <c r="D28">
        <v>185</v>
      </c>
      <c r="E28">
        <v>180</v>
      </c>
      <c r="F28">
        <v>3550</v>
      </c>
      <c r="G28">
        <v>0</v>
      </c>
      <c r="K28">
        <f>MATCH(MIN(Table4[[#This Row],[Cluster 1 Dist]:[Cluster 3 Dist]]),Table4[[#This Row],[Cluster 1 Dist]:[Cluster 3 Dist]],0)</f>
        <v>1</v>
      </c>
      <c r="L28">
        <f t="shared" si="2"/>
        <v>17</v>
      </c>
      <c r="M28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401.06233929403044</v>
      </c>
      <c r="N28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1250.9240584463951</v>
      </c>
      <c r="O28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650.50903145152415</v>
      </c>
      <c r="T28">
        <f>MATCH(MIN(Table48[[#This Row],[Cluster 1 Dist]:[Cluster 3 Dist]]),Table48[[#This Row],[Cluster 1 Dist]:[Cluster 3 Dist]],0)</f>
        <v>1</v>
      </c>
      <c r="U28">
        <f t="shared" si="3"/>
        <v>17</v>
      </c>
      <c r="V28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194.44926348481968</v>
      </c>
      <c r="W28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1613.8177019842483</v>
      </c>
      <c r="X28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710.97611013568746</v>
      </c>
      <c r="AA28">
        <f>MATCH(MIN(Table4810[[#This Row],[Cluster 1 Dist]:[Cluster 3 Dist]]),Table4810[[#This Row],[Cluster 1 Dist]:[Cluster 3 Dist]],0)</f>
        <v>1</v>
      </c>
      <c r="AB28">
        <f t="shared" si="4"/>
        <v>17</v>
      </c>
      <c r="AC28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171.68670670708423</v>
      </c>
      <c r="AD28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1824.8657881280069</v>
      </c>
      <c r="AE28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791.12039836964959</v>
      </c>
    </row>
    <row r="29" spans="2:31" x14ac:dyDescent="0.3">
      <c r="B29">
        <f t="shared" si="1"/>
        <v>27</v>
      </c>
      <c r="C29">
        <v>376</v>
      </c>
      <c r="D29">
        <v>193</v>
      </c>
      <c r="E29">
        <v>181</v>
      </c>
      <c r="F29">
        <v>3300</v>
      </c>
      <c r="G29">
        <v>0</v>
      </c>
      <c r="K29">
        <f>MATCH(MIN(Table4[[#This Row],[Cluster 1 Dist]:[Cluster 3 Dist]]),Table4[[#This Row],[Cluster 1 Dist]:[Cluster 3 Dist]],0)</f>
        <v>3</v>
      </c>
      <c r="L29">
        <f t="shared" si="2"/>
        <v>18</v>
      </c>
      <c r="M29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400.02374929496375</v>
      </c>
      <c r="N29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450.85807079390293</v>
      </c>
      <c r="O29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156.20499351813308</v>
      </c>
      <c r="T29">
        <f>MATCH(MIN(Table48[[#This Row],[Cluster 1 Dist]:[Cluster 3 Dist]]),Table48[[#This Row],[Cluster 1 Dist]:[Cluster 3 Dist]],0)</f>
        <v>3</v>
      </c>
      <c r="U29">
        <f t="shared" si="3"/>
        <v>18</v>
      </c>
      <c r="V29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610.87940494251404</v>
      </c>
      <c r="W29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814.34481408542172</v>
      </c>
      <c r="X29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98.37029479451212</v>
      </c>
      <c r="AA29">
        <f>MATCH(MIN(Table4810[[#This Row],[Cluster 1 Dist]:[Cluster 3 Dist]]),Table4810[[#This Row],[Cluster 1 Dist]:[Cluster 3 Dist]],0)</f>
        <v>3</v>
      </c>
      <c r="AB29">
        <f t="shared" si="4"/>
        <v>18</v>
      </c>
      <c r="AC29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634.70282265483229</v>
      </c>
      <c r="AD29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1025.1273730524526</v>
      </c>
      <c r="AE29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41.344993966344937</v>
      </c>
    </row>
    <row r="30" spans="2:31" x14ac:dyDescent="0.3">
      <c r="B30">
        <f t="shared" si="1"/>
        <v>28</v>
      </c>
      <c r="C30">
        <v>398</v>
      </c>
      <c r="D30">
        <v>191</v>
      </c>
      <c r="E30">
        <v>184</v>
      </c>
      <c r="F30">
        <v>4650</v>
      </c>
      <c r="G30">
        <v>1</v>
      </c>
      <c r="K30">
        <f>MATCH(MIN(Table4[[#This Row],[Cluster 1 Dist]:[Cluster 3 Dist]]),Table4[[#This Row],[Cluster 1 Dist]:[Cluster 3 Dist]],0)</f>
        <v>1</v>
      </c>
      <c r="L30">
        <f t="shared" si="2"/>
        <v>19</v>
      </c>
      <c r="M30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300.84547528590156</v>
      </c>
      <c r="N30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1151.1081617293833</v>
      </c>
      <c r="O30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551.77259808729173</v>
      </c>
      <c r="T30">
        <f>MATCH(MIN(Table48[[#This Row],[Cluster 1 Dist]:[Cluster 3 Dist]]),Table48[[#This Row],[Cluster 1 Dist]:[Cluster 3 Dist]],0)</f>
        <v>1</v>
      </c>
      <c r="U30">
        <f t="shared" si="3"/>
        <v>19</v>
      </c>
      <c r="V30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94.437734866728505</v>
      </c>
      <c r="W30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1513.2503149947731</v>
      </c>
      <c r="X30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610.92503681895755</v>
      </c>
      <c r="AA30">
        <f>MATCH(MIN(Table4810[[#This Row],[Cluster 1 Dist]:[Cluster 3 Dist]]),Table4810[[#This Row],[Cluster 1 Dist]:[Cluster 3 Dist]],0)</f>
        <v>1</v>
      </c>
      <c r="AB30">
        <f t="shared" si="4"/>
        <v>19</v>
      </c>
      <c r="AC30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74.259966679421026</v>
      </c>
      <c r="AD30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1724.1779719410138</v>
      </c>
      <c r="AE30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690.93640321521752</v>
      </c>
    </row>
    <row r="31" spans="2:31" x14ac:dyDescent="0.3">
      <c r="B31">
        <f t="shared" si="1"/>
        <v>29</v>
      </c>
      <c r="C31">
        <v>365</v>
      </c>
      <c r="D31">
        <v>18</v>
      </c>
      <c r="E31">
        <v>182</v>
      </c>
      <c r="F31">
        <v>3150</v>
      </c>
      <c r="G31">
        <v>0</v>
      </c>
      <c r="K31">
        <f>MATCH(MIN(Table4[[#This Row],[Cluster 1 Dist]:[Cluster 3 Dist]]),Table4[[#This Row],[Cluster 1 Dist]:[Cluster 3 Dist]],0)</f>
        <v>3</v>
      </c>
      <c r="L31">
        <f t="shared" si="2"/>
        <v>20</v>
      </c>
      <c r="M31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351.71863754995979</v>
      </c>
      <c r="N31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502.86181004327619</v>
      </c>
      <c r="O31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102.08329931972223</v>
      </c>
      <c r="T31">
        <f>MATCH(MIN(Table48[[#This Row],[Cluster 1 Dist]:[Cluster 3 Dist]]),Table48[[#This Row],[Cluster 1 Dist]:[Cluster 3 Dist]],0)</f>
        <v>3</v>
      </c>
      <c r="U31">
        <f t="shared" si="3"/>
        <v>20</v>
      </c>
      <c r="V31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559.90320313235361</v>
      </c>
      <c r="W31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864.42277483507041</v>
      </c>
      <c r="X31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45.126495678757436</v>
      </c>
      <c r="AA31">
        <f>MATCH(MIN(Table4810[[#This Row],[Cluster 1 Dist]:[Cluster 3 Dist]]),Table4810[[#This Row],[Cluster 1 Dist]:[Cluster 3 Dist]],0)</f>
        <v>3</v>
      </c>
      <c r="AB31">
        <f t="shared" si="4"/>
        <v>20</v>
      </c>
      <c r="AC31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583.38247134158917</v>
      </c>
      <c r="AD31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1075.6168957039899</v>
      </c>
      <c r="AE31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47.359506034072766</v>
      </c>
    </row>
    <row r="32" spans="2:31" x14ac:dyDescent="0.3">
      <c r="B32">
        <f t="shared" si="1"/>
        <v>30</v>
      </c>
      <c r="C32">
        <v>408</v>
      </c>
      <c r="D32">
        <v>184</v>
      </c>
      <c r="E32">
        <v>195</v>
      </c>
      <c r="F32">
        <v>3900</v>
      </c>
      <c r="G32">
        <v>1</v>
      </c>
      <c r="K32">
        <f>MATCH(MIN(Table4[[#This Row],[Cluster 1 Dist]:[Cluster 3 Dist]]),Table4[[#This Row],[Cluster 1 Dist]:[Cluster 3 Dist]],0)</f>
        <v>1</v>
      </c>
      <c r="L32">
        <f t="shared" si="2"/>
        <v>21</v>
      </c>
      <c r="M32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250.42164443194602</v>
      </c>
      <c r="N32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1100.6647991100651</v>
      </c>
      <c r="O32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501.31626744002631</v>
      </c>
      <c r="T32">
        <f>MATCH(MIN(Table48[[#This Row],[Cluster 1 Dist]:[Cluster 3 Dist]]),Table48[[#This Row],[Cluster 1 Dist]:[Cluster 3 Dist]],0)</f>
        <v>1</v>
      </c>
      <c r="U32">
        <f t="shared" si="3"/>
        <v>21</v>
      </c>
      <c r="V32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51.371993599182616</v>
      </c>
      <c r="W32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1463.305741822126</v>
      </c>
      <c r="X32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560.88898879823068</v>
      </c>
      <c r="AA32">
        <f>MATCH(MIN(Table4810[[#This Row],[Cluster 1 Dist]:[Cluster 3 Dist]]),Table4810[[#This Row],[Cluster 1 Dist]:[Cluster 3 Dist]],0)</f>
        <v>1</v>
      </c>
      <c r="AB32">
        <f t="shared" si="4"/>
        <v>21</v>
      </c>
      <c r="AC32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39.960568052203868</v>
      </c>
      <c r="AD32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1674.2559400818113</v>
      </c>
      <c r="AE32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640.91254804408584</v>
      </c>
    </row>
    <row r="33" spans="2:31" x14ac:dyDescent="0.3">
      <c r="B33">
        <f t="shared" si="1"/>
        <v>31</v>
      </c>
      <c r="C33">
        <v>36</v>
      </c>
      <c r="D33">
        <v>185</v>
      </c>
      <c r="E33">
        <v>186</v>
      </c>
      <c r="F33">
        <v>3100</v>
      </c>
      <c r="G33">
        <v>0</v>
      </c>
      <c r="K33">
        <f>MATCH(MIN(Table4[[#This Row],[Cluster 1 Dist]:[Cluster 3 Dist]]),Table4[[#This Row],[Cluster 1 Dist]:[Cluster 3 Dist]],0)</f>
        <v>3</v>
      </c>
      <c r="L33">
        <f t="shared" si="2"/>
        <v>22</v>
      </c>
      <c r="M33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350.02714180474635</v>
      </c>
      <c r="N33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500.6206148372238</v>
      </c>
      <c r="O33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110.39927535994066</v>
      </c>
      <c r="T33">
        <f>MATCH(MIN(Table48[[#This Row],[Cluster 1 Dist]:[Cluster 3 Dist]]),Table48[[#This Row],[Cluster 1 Dist]:[Cluster 3 Dist]],0)</f>
        <v>3</v>
      </c>
      <c r="U33">
        <f t="shared" si="3"/>
        <v>22</v>
      </c>
      <c r="V33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561.20961613420877</v>
      </c>
      <c r="W33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864.18450713168545</v>
      </c>
      <c r="X33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58.122781721989668</v>
      </c>
      <c r="AA33">
        <f>MATCH(MIN(Table4810[[#This Row],[Cluster 1 Dist]:[Cluster 3 Dist]]),Table4810[[#This Row],[Cluster 1 Dist]:[Cluster 3 Dist]],0)</f>
        <v>3</v>
      </c>
      <c r="AB33">
        <f t="shared" si="4"/>
        <v>22</v>
      </c>
      <c r="AC33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585.096888334048</v>
      </c>
      <c r="AD33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1074.934133449764</v>
      </c>
      <c r="AE33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58.205211290014091</v>
      </c>
    </row>
    <row r="34" spans="2:31" x14ac:dyDescent="0.3">
      <c r="B34">
        <f t="shared" si="1"/>
        <v>32</v>
      </c>
      <c r="C34">
        <v>441</v>
      </c>
      <c r="D34">
        <v>197</v>
      </c>
      <c r="E34">
        <v>196</v>
      </c>
      <c r="F34">
        <v>4400</v>
      </c>
      <c r="G34">
        <v>1</v>
      </c>
      <c r="K34">
        <f>MATCH(MIN(Table4[[#This Row],[Cluster 1 Dist]:[Cluster 3 Dist]]),Table4[[#This Row],[Cluster 1 Dist]:[Cluster 3 Dist]],0)</f>
        <v>1</v>
      </c>
      <c r="L34">
        <f t="shared" si="2"/>
        <v>23</v>
      </c>
      <c r="M34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284.7718384953119</v>
      </c>
      <c r="N34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1093.4637625454261</v>
      </c>
      <c r="O34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507.28295851526491</v>
      </c>
      <c r="T34">
        <f>MATCH(MIN(Table48[[#This Row],[Cluster 1 Dist]:[Cluster 3 Dist]]),Table48[[#This Row],[Cluster 1 Dist]:[Cluster 3 Dist]],0)</f>
        <v>1</v>
      </c>
      <c r="U34">
        <f t="shared" si="3"/>
        <v>23</v>
      </c>
      <c r="V34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137.78680248295069</v>
      </c>
      <c r="W34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1444.2313694505626</v>
      </c>
      <c r="X34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556.02214810533701</v>
      </c>
      <c r="AA34">
        <f>MATCH(MIN(Table4810[[#This Row],[Cluster 1 Dist]:[Cluster 3 Dist]]),Table4810[[#This Row],[Cluster 1 Dist]:[Cluster 3 Dist]],0)</f>
        <v>1</v>
      </c>
      <c r="AB34">
        <f t="shared" si="4"/>
        <v>23</v>
      </c>
      <c r="AC34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136.44810782671047</v>
      </c>
      <c r="AD34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1654.1782115718236</v>
      </c>
      <c r="AE34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633.05407799723889</v>
      </c>
    </row>
    <row r="35" spans="2:31" x14ac:dyDescent="0.3">
      <c r="B35">
        <f t="shared" si="1"/>
        <v>33</v>
      </c>
      <c r="C35">
        <v>37</v>
      </c>
      <c r="D35">
        <v>169</v>
      </c>
      <c r="E35">
        <v>185</v>
      </c>
      <c r="F35">
        <v>3000</v>
      </c>
      <c r="G35">
        <v>0</v>
      </c>
      <c r="K35">
        <f>MATCH(MIN(Table4[[#This Row],[Cluster 1 Dist]:[Cluster 3 Dist]]),Table4[[#This Row],[Cluster 1 Dist]:[Cluster 3 Dist]],0)</f>
        <v>2</v>
      </c>
      <c r="L35">
        <f t="shared" si="2"/>
        <v>24</v>
      </c>
      <c r="M35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600.82443359104491</v>
      </c>
      <c r="N35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250.88244259015019</v>
      </c>
      <c r="O35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351.61484610294826</v>
      </c>
      <c r="T35">
        <f>MATCH(MIN(Table48[[#This Row],[Cluster 1 Dist]:[Cluster 3 Dist]]),Table48[[#This Row],[Cluster 1 Dist]:[Cluster 3 Dist]],0)</f>
        <v>3</v>
      </c>
      <c r="U35">
        <f t="shared" si="3"/>
        <v>24</v>
      </c>
      <c r="V35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811.33995721325027</v>
      </c>
      <c r="W35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616.3211849032075</v>
      </c>
      <c r="X35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293.53987421660815</v>
      </c>
      <c r="AA35">
        <f>MATCH(MIN(Table4810[[#This Row],[Cluster 1 Dist]:[Cluster 3 Dist]]),Table4810[[#This Row],[Cluster 1 Dist]:[Cluster 3 Dist]],0)</f>
        <v>3</v>
      </c>
      <c r="AB35">
        <f t="shared" si="4"/>
        <v>24</v>
      </c>
      <c r="AC35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834.97556540604342</v>
      </c>
      <c r="AD35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826.95194210006309</v>
      </c>
      <c r="AE35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215.12660492167109</v>
      </c>
    </row>
    <row r="36" spans="2:31" x14ac:dyDescent="0.3">
      <c r="B36">
        <f t="shared" si="1"/>
        <v>34</v>
      </c>
      <c r="C36">
        <v>396</v>
      </c>
      <c r="D36">
        <v>188</v>
      </c>
      <c r="E36">
        <v>190</v>
      </c>
      <c r="F36">
        <v>4600</v>
      </c>
      <c r="G36">
        <v>1</v>
      </c>
      <c r="K36">
        <f>MATCH(MIN(Table4[[#This Row],[Cluster 1 Dist]:[Cluster 3 Dist]]),Table4[[#This Row],[Cluster 1 Dist]:[Cluster 3 Dist]],0)</f>
        <v>3</v>
      </c>
      <c r="L36">
        <f t="shared" si="2"/>
        <v>25</v>
      </c>
      <c r="M36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433.5077853972175</v>
      </c>
      <c r="N36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489.52119463818929</v>
      </c>
      <c r="O36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231.84046238739259</v>
      </c>
      <c r="T36">
        <f>MATCH(MIN(Table48[[#This Row],[Cluster 1 Dist]:[Cluster 3 Dist]]),Table48[[#This Row],[Cluster 1 Dist]:[Cluster 3 Dist]],0)</f>
        <v>3</v>
      </c>
      <c r="U36">
        <f t="shared" si="3"/>
        <v>25</v>
      </c>
      <c r="V36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623.58801385152015</v>
      </c>
      <c r="W36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822.96392074117171</v>
      </c>
      <c r="X36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172.63429732311286</v>
      </c>
      <c r="AA36">
        <f>MATCH(MIN(Table4810[[#This Row],[Cluster 1 Dist]:[Cluster 3 Dist]]),Table4810[[#This Row],[Cluster 1 Dist]:[Cluster 3 Dist]],0)</f>
        <v>3</v>
      </c>
      <c r="AB36">
        <f t="shared" si="4"/>
        <v>25</v>
      </c>
      <c r="AC36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646.71126145653841</v>
      </c>
      <c r="AD36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1031.3323578513791</v>
      </c>
      <c r="AE36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145.39260134572564</v>
      </c>
    </row>
    <row r="37" spans="2:31" x14ac:dyDescent="0.3">
      <c r="B37">
        <f t="shared" si="1"/>
        <v>35</v>
      </c>
      <c r="C37">
        <v>411</v>
      </c>
      <c r="D37">
        <v>19</v>
      </c>
      <c r="E37">
        <v>182</v>
      </c>
      <c r="F37">
        <v>3425</v>
      </c>
      <c r="G37">
        <v>1</v>
      </c>
      <c r="K37">
        <f>MATCH(MIN(Table4[[#This Row],[Cluster 1 Dist]:[Cluster 3 Dist]]),Table4[[#This Row],[Cluster 1 Dist]:[Cluster 3 Dist]],0)</f>
        <v>1</v>
      </c>
      <c r="L37">
        <f t="shared" si="2"/>
        <v>26</v>
      </c>
      <c r="M3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16.340134638368191</v>
      </c>
      <c r="N3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850.57803874776823</v>
      </c>
      <c r="O3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257.25862473394358</v>
      </c>
      <c r="T37">
        <f>MATCH(MIN(Table48[[#This Row],[Cluster 1 Dist]:[Cluster 3 Dist]]),Table48[[#This Row],[Cluster 1 Dist]:[Cluster 3 Dist]],0)</f>
        <v>1</v>
      </c>
      <c r="U37">
        <f t="shared" si="3"/>
        <v>26</v>
      </c>
      <c r="V3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216.54763842201649</v>
      </c>
      <c r="W3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1213.9110391133631</v>
      </c>
      <c r="X3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314.8628736190937</v>
      </c>
      <c r="AA37">
        <f>MATCH(MIN(Table4810[[#This Row],[Cluster 1 Dist]:[Cluster 3 Dist]]),Table4810[[#This Row],[Cluster 1 Dist]:[Cluster 3 Dist]],0)</f>
        <v>1</v>
      </c>
      <c r="AB37">
        <f t="shared" si="4"/>
        <v>26</v>
      </c>
      <c r="AC3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240.8229984122618</v>
      </c>
      <c r="AD3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1424.5551748001603</v>
      </c>
      <c r="AE3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393.88995194135475</v>
      </c>
    </row>
    <row r="38" spans="2:31" x14ac:dyDescent="0.3">
      <c r="B38">
        <f t="shared" si="1"/>
        <v>36</v>
      </c>
      <c r="C38">
        <v>375</v>
      </c>
      <c r="D38">
        <v>189</v>
      </c>
      <c r="E38">
        <v>179</v>
      </c>
      <c r="F38">
        <v>2975</v>
      </c>
      <c r="G38">
        <v>1</v>
      </c>
      <c r="K38">
        <f>MATCH(MIN(Table4[[#This Row],[Cluster 1 Dist]:[Cluster 3 Dist]]),Table4[[#This Row],[Cluster 1 Dist]:[Cluster 3 Dist]],0)</f>
        <v>1</v>
      </c>
      <c r="L38">
        <f t="shared" si="2"/>
        <v>27</v>
      </c>
      <c r="M38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251.90077411552352</v>
      </c>
      <c r="N38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1100.8587556993857</v>
      </c>
      <c r="O38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500.25493500814162</v>
      </c>
      <c r="T38">
        <f>MATCH(MIN(Table48[[#This Row],[Cluster 1 Dist]:[Cluster 3 Dist]]),Table48[[#This Row],[Cluster 1 Dist]:[Cluster 3 Dist]],0)</f>
        <v>1</v>
      </c>
      <c r="U38">
        <f t="shared" si="3"/>
        <v>27</v>
      </c>
      <c r="V38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57.619799742050958</v>
      </c>
      <c r="W38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1463.9907215086657</v>
      </c>
      <c r="X38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561.12433105146931</v>
      </c>
      <c r="AA38">
        <f>MATCH(MIN(Table4810[[#This Row],[Cluster 1 Dist]:[Cluster 3 Dist]]),Table4810[[#This Row],[Cluster 1 Dist]:[Cluster 3 Dist]],0)</f>
        <v>1</v>
      </c>
      <c r="AB38">
        <f t="shared" si="4"/>
        <v>27</v>
      </c>
      <c r="AC38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44.787411361297963</v>
      </c>
      <c r="AD38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1675.0826868228776</v>
      </c>
      <c r="AE38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641.27385796321789</v>
      </c>
    </row>
    <row r="39" spans="2:31" x14ac:dyDescent="0.3">
      <c r="B39">
        <f t="shared" si="1"/>
        <v>37</v>
      </c>
      <c r="C39">
        <v>36</v>
      </c>
      <c r="D39">
        <v>179</v>
      </c>
      <c r="E39">
        <v>190</v>
      </c>
      <c r="F39">
        <v>3450</v>
      </c>
      <c r="G39">
        <v>0</v>
      </c>
      <c r="K39">
        <f>MATCH(MIN(Table4[[#This Row],[Cluster 1 Dist]:[Cluster 3 Dist]]),Table4[[#This Row],[Cluster 1 Dist]:[Cluster 3 Dist]],0)</f>
        <v>2</v>
      </c>
      <c r="L39">
        <f t="shared" si="2"/>
        <v>28</v>
      </c>
      <c r="M39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1100.0409083302311</v>
      </c>
      <c r="N39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251.4875742457269</v>
      </c>
      <c r="O39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850.75084484236629</v>
      </c>
      <c r="T39">
        <f>MATCH(MIN(Table48[[#This Row],[Cluster 1 Dist]:[Cluster 3 Dist]]),Table48[[#This Row],[Cluster 1 Dist]:[Cluster 3 Dist]],0)</f>
        <v>2</v>
      </c>
      <c r="U39">
        <f t="shared" si="3"/>
        <v>28</v>
      </c>
      <c r="V39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1309.825372318302</v>
      </c>
      <c r="W39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122.93071778988187</v>
      </c>
      <c r="X39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790.43658860926041</v>
      </c>
      <c r="AA39">
        <f>MATCH(MIN(Table4810[[#This Row],[Cluster 1 Dist]:[Cluster 3 Dist]]),Table4810[[#This Row],[Cluster 1 Dist]:[Cluster 3 Dist]],0)</f>
        <v>2</v>
      </c>
      <c r="AB39">
        <f t="shared" si="4"/>
        <v>28</v>
      </c>
      <c r="AC39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1333.4706022252817</v>
      </c>
      <c r="AD39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328.62908603302571</v>
      </c>
      <c r="AE39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710.41832676407478</v>
      </c>
    </row>
    <row r="40" spans="2:31" x14ac:dyDescent="0.3">
      <c r="B40">
        <f t="shared" si="1"/>
        <v>38</v>
      </c>
      <c r="C40">
        <v>423</v>
      </c>
      <c r="D40">
        <v>212</v>
      </c>
      <c r="E40">
        <v>191</v>
      </c>
      <c r="F40">
        <v>4150</v>
      </c>
      <c r="G40">
        <v>1</v>
      </c>
      <c r="K40">
        <f>MATCH(MIN(Table4[[#This Row],[Cluster 1 Dist]:[Cluster 3 Dist]]),Table4[[#This Row],[Cluster 1 Dist]:[Cluster 3 Dist]],0)</f>
        <v>1</v>
      </c>
      <c r="L40">
        <f t="shared" si="2"/>
        <v>29</v>
      </c>
      <c r="M40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435.78320298056462</v>
      </c>
      <c r="N40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1265.7894769668453</v>
      </c>
      <c r="O40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673.71952621250341</v>
      </c>
      <c r="T40">
        <f>MATCH(MIN(Table48[[#This Row],[Cluster 1 Dist]:[Cluster 3 Dist]]),Table48[[#This Row],[Cluster 1 Dist]:[Cluster 3 Dist]],0)</f>
        <v>1</v>
      </c>
      <c r="U40">
        <f t="shared" si="3"/>
        <v>29</v>
      </c>
      <c r="V40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234.28293977105682</v>
      </c>
      <c r="W40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1618.5725684677027</v>
      </c>
      <c r="X40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725.9395492626594</v>
      </c>
      <c r="AA40">
        <f>MATCH(MIN(Table4810[[#This Row],[Cluster 1 Dist]:[Cluster 3 Dist]]),Table4810[[#This Row],[Cluster 1 Dist]:[Cluster 3 Dist]],0)</f>
        <v>1</v>
      </c>
      <c r="AB40">
        <f t="shared" si="4"/>
        <v>29</v>
      </c>
      <c r="AC40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215.16793047153337</v>
      </c>
      <c r="AD40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1828.6806291176676</v>
      </c>
      <c r="AE40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804.15386999088366</v>
      </c>
    </row>
    <row r="41" spans="2:31" x14ac:dyDescent="0.3">
      <c r="B41">
        <f t="shared" si="1"/>
        <v>39</v>
      </c>
      <c r="C41">
        <v>396</v>
      </c>
      <c r="D41">
        <v>177</v>
      </c>
      <c r="E41">
        <v>186</v>
      </c>
      <c r="F41">
        <v>3500</v>
      </c>
      <c r="G41">
        <v>0</v>
      </c>
      <c r="K41">
        <f>MATCH(MIN(Table4[[#This Row],[Cluster 1 Dist]:[Cluster 3 Dist]]),Table4[[#This Row],[Cluster 1 Dist]:[Cluster 3 Dist]],0)</f>
        <v>3</v>
      </c>
      <c r="L41">
        <f t="shared" si="2"/>
        <v>30</v>
      </c>
      <c r="M41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350.21707554029973</v>
      </c>
      <c r="N41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500.75343233970949</v>
      </c>
      <c r="O41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110.32225523438143</v>
      </c>
      <c r="T41">
        <f>MATCH(MIN(Table48[[#This Row],[Cluster 1 Dist]:[Cluster 3 Dist]]),Table48[[#This Row],[Cluster 1 Dist]:[Cluster 3 Dist]],0)</f>
        <v>3</v>
      </c>
      <c r="U41">
        <f t="shared" si="3"/>
        <v>30</v>
      </c>
      <c r="V41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560.87093251342196</v>
      </c>
      <c r="W41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863.75190159845602</v>
      </c>
      <c r="X41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54.878833137473208</v>
      </c>
      <c r="AA41">
        <f>MATCH(MIN(Table4810[[#This Row],[Cluster 1 Dist]:[Cluster 3 Dist]]),Table4810[[#This Row],[Cluster 1 Dist]:[Cluster 3 Dist]],0)</f>
        <v>3</v>
      </c>
      <c r="AB41">
        <f t="shared" si="4"/>
        <v>30</v>
      </c>
      <c r="AC41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584.76371969250977</v>
      </c>
      <c r="AD41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1074.5562866472856</v>
      </c>
      <c r="AE41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54.518576583984242</v>
      </c>
    </row>
    <row r="42" spans="2:31" x14ac:dyDescent="0.3">
      <c r="B42">
        <f t="shared" si="1"/>
        <v>40</v>
      </c>
      <c r="C42">
        <v>401</v>
      </c>
      <c r="D42">
        <v>189</v>
      </c>
      <c r="E42">
        <v>188</v>
      </c>
      <c r="F42">
        <v>4300</v>
      </c>
      <c r="G42">
        <v>1</v>
      </c>
      <c r="K42">
        <f>MATCH(MIN(Table4[[#This Row],[Cluster 1 Dist]:[Cluster 3 Dist]]),Table4[[#This Row],[Cluster 1 Dist]:[Cluster 3 Dist]],0)</f>
        <v>1</v>
      </c>
      <c r="L42">
        <f t="shared" si="2"/>
        <v>31</v>
      </c>
      <c r="M42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582.58990722462738</v>
      </c>
      <c r="N42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1353.8415712335029</v>
      </c>
      <c r="O42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772.6875176939252</v>
      </c>
      <c r="T42">
        <f>MATCH(MIN(Table48[[#This Row],[Cluster 1 Dist]:[Cluster 3 Dist]]),Table48[[#This Row],[Cluster 1 Dist]:[Cluster 3 Dist]],0)</f>
        <v>1</v>
      </c>
      <c r="U42">
        <f t="shared" si="3"/>
        <v>31</v>
      </c>
      <c r="V42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418.20070444835693</v>
      </c>
      <c r="W42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1702.8609970393122</v>
      </c>
      <c r="X42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832.40567069923588</v>
      </c>
      <c r="AA42">
        <f>MATCH(MIN(Table4810[[#This Row],[Cluster 1 Dist]:[Cluster 3 Dist]]),Table4810[[#This Row],[Cluster 1 Dist]:[Cluster 3 Dist]],0)</f>
        <v>1</v>
      </c>
      <c r="AB42">
        <f t="shared" si="4"/>
        <v>31</v>
      </c>
      <c r="AC42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399.09966506028127</v>
      </c>
      <c r="AD42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1912.293457596852</v>
      </c>
      <c r="AE42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907.33086260766117</v>
      </c>
    </row>
    <row r="43" spans="2:31" x14ac:dyDescent="0.3">
      <c r="B43">
        <f t="shared" si="1"/>
        <v>41</v>
      </c>
      <c r="C43">
        <v>35</v>
      </c>
      <c r="D43">
        <v>179</v>
      </c>
      <c r="E43">
        <v>190</v>
      </c>
      <c r="F43">
        <v>3450</v>
      </c>
      <c r="G43">
        <v>0</v>
      </c>
      <c r="K43">
        <f>MATCH(MIN(Table4[[#This Row],[Cluster 1 Dist]:[Cluster 3 Dist]]),Table4[[#This Row],[Cluster 1 Dist]:[Cluster 3 Dist]],0)</f>
        <v>2</v>
      </c>
      <c r="L43">
        <f t="shared" si="2"/>
        <v>32</v>
      </c>
      <c r="M43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850.89070978592781</v>
      </c>
      <c r="N43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31.32091952673165</v>
      </c>
      <c r="O43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605.0818126501573</v>
      </c>
      <c r="T43">
        <f>MATCH(MIN(Table48[[#This Row],[Cluster 1 Dist]:[Cluster 3 Dist]]),Table48[[#This Row],[Cluster 1 Dist]:[Cluster 3 Dist]],0)</f>
        <v>2</v>
      </c>
      <c r="U43">
        <f t="shared" si="3"/>
        <v>32</v>
      </c>
      <c r="V43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1061.993337739518</v>
      </c>
      <c r="W43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368.64242648406349</v>
      </c>
      <c r="X43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544.60489010523111</v>
      </c>
      <c r="AA43">
        <f>MATCH(MIN(Table4810[[#This Row],[Cluster 1 Dist]:[Cluster 3 Dist]]),Table4810[[#This Row],[Cluster 1 Dist]:[Cluster 3 Dist]],0)</f>
        <v>3</v>
      </c>
      <c r="AB43">
        <f t="shared" si="4"/>
        <v>32</v>
      </c>
      <c r="AC43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1085.9097664686963</v>
      </c>
      <c r="AD43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576.95724731386963</v>
      </c>
      <c r="AE43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465.08030945242444</v>
      </c>
    </row>
    <row r="44" spans="2:31" x14ac:dyDescent="0.3">
      <c r="B44">
        <f t="shared" si="1"/>
        <v>42</v>
      </c>
      <c r="C44">
        <v>42</v>
      </c>
      <c r="D44">
        <v>195</v>
      </c>
      <c r="E44">
        <v>200</v>
      </c>
      <c r="F44">
        <v>4050</v>
      </c>
      <c r="G44">
        <v>1</v>
      </c>
      <c r="K44">
        <f>MATCH(MIN(Table4[[#This Row],[Cluster 1 Dist]:[Cluster 3 Dist]]),Table4[[#This Row],[Cluster 1 Dist]:[Cluster 3 Dist]],0)</f>
        <v>1</v>
      </c>
      <c r="L44">
        <f t="shared" si="2"/>
        <v>33</v>
      </c>
      <c r="M44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662.53679143123816</v>
      </c>
      <c r="N44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1450.2554947318765</v>
      </c>
      <c r="O44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864.27889017376788</v>
      </c>
      <c r="T44">
        <f>MATCH(MIN(Table48[[#This Row],[Cluster 1 Dist]:[Cluster 3 Dist]]),Table48[[#This Row],[Cluster 1 Dist]:[Cluster 3 Dist]],0)</f>
        <v>1</v>
      </c>
      <c r="U44">
        <f t="shared" si="3"/>
        <v>33</v>
      </c>
      <c r="V44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481.28736340236378</v>
      </c>
      <c r="W44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1800.183756019296</v>
      </c>
      <c r="X44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924.11417076692669</v>
      </c>
      <c r="AA44">
        <f>MATCH(MIN(Table4810[[#This Row],[Cluster 1 Dist]:[Cluster 3 Dist]]),Table4810[[#This Row],[Cluster 1 Dist]:[Cluster 3 Dist]],0)</f>
        <v>1</v>
      </c>
      <c r="AB44">
        <f t="shared" si="4"/>
        <v>33</v>
      </c>
      <c r="AC44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459.70708920857419</v>
      </c>
      <c r="AD44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2009.9114938656385</v>
      </c>
      <c r="AE44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1000.1427226495896</v>
      </c>
    </row>
    <row r="45" spans="2:31" x14ac:dyDescent="0.3">
      <c r="B45">
        <f t="shared" si="1"/>
        <v>43</v>
      </c>
      <c r="C45">
        <v>345</v>
      </c>
      <c r="D45">
        <v>181</v>
      </c>
      <c r="E45">
        <v>187</v>
      </c>
      <c r="F45">
        <v>2900</v>
      </c>
      <c r="G45">
        <v>0</v>
      </c>
      <c r="K45">
        <f>MATCH(MIN(Table4[[#This Row],[Cluster 1 Dist]:[Cluster 3 Dist]]),Table4[[#This Row],[Cluster 1 Dist]:[Cluster 3 Dist]],0)</f>
        <v>2</v>
      </c>
      <c r="L45">
        <f t="shared" si="2"/>
        <v>34</v>
      </c>
      <c r="M45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1050.0728546153357</v>
      </c>
      <c r="N45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202.09651159780071</v>
      </c>
      <c r="O45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800.71093410793389</v>
      </c>
      <c r="T45">
        <f>MATCH(MIN(Table48[[#This Row],[Cluster 1 Dist]:[Cluster 3 Dist]]),Table48[[#This Row],[Cluster 1 Dist]:[Cluster 3 Dist]],0)</f>
        <v>2</v>
      </c>
      <c r="U45">
        <f t="shared" si="3"/>
        <v>34</v>
      </c>
      <c r="V45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1259.7271112656374</v>
      </c>
      <c r="W45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168.65440376992535</v>
      </c>
      <c r="X45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740.27911765820909</v>
      </c>
      <c r="AA45">
        <f>MATCH(MIN(Table4810[[#This Row],[Cluster 1 Dist]:[Cluster 3 Dist]]),Table4810[[#This Row],[Cluster 1 Dist]:[Cluster 3 Dist]],0)</f>
        <v>2</v>
      </c>
      <c r="AB45">
        <f t="shared" si="4"/>
        <v>34</v>
      </c>
      <c r="AC45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1283.3688595286044</v>
      </c>
      <c r="AD45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377.37401166488991</v>
      </c>
      <c r="AE45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660.23464728720364</v>
      </c>
    </row>
    <row r="46" spans="2:31" x14ac:dyDescent="0.3">
      <c r="B46">
        <f t="shared" si="1"/>
        <v>44</v>
      </c>
      <c r="C46">
        <v>414</v>
      </c>
      <c r="D46">
        <v>186</v>
      </c>
      <c r="E46">
        <v>191</v>
      </c>
      <c r="F46">
        <v>3700</v>
      </c>
      <c r="G46">
        <v>1</v>
      </c>
      <c r="K46">
        <f>MATCH(MIN(Table4[[#This Row],[Cluster 1 Dist]:[Cluster 3 Dist]]),Table4[[#This Row],[Cluster 1 Dist]:[Cluster 3 Dist]],0)</f>
        <v>1</v>
      </c>
      <c r="L46">
        <f t="shared" si="2"/>
        <v>35</v>
      </c>
      <c r="M46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208.66240677227893</v>
      </c>
      <c r="N46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993.81185342095819</v>
      </c>
      <c r="O46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417.09591223122771</v>
      </c>
      <c r="T46">
        <f>MATCH(MIN(Table48[[#This Row],[Cluster 1 Dist]:[Cluster 3 Dist]]),Table48[[#This Row],[Cluster 1 Dist]:[Cluster 3 Dist]],0)</f>
        <v>1</v>
      </c>
      <c r="U46">
        <f t="shared" si="3"/>
        <v>35</v>
      </c>
      <c r="V46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162.22587106101776</v>
      </c>
      <c r="W46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1344.2184453068139</v>
      </c>
      <c r="X46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461.40218035984196</v>
      </c>
      <c r="AA46">
        <f>MATCH(MIN(Table4810[[#This Row],[Cluster 1 Dist]:[Cluster 3 Dist]]),Table4810[[#This Row],[Cluster 1 Dist]:[Cluster 3 Dist]],0)</f>
        <v>1</v>
      </c>
      <c r="AB46">
        <f t="shared" si="4"/>
        <v>35</v>
      </c>
      <c r="AC46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176.98224929148185</v>
      </c>
      <c r="AD46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1553.6791798808147</v>
      </c>
      <c r="AE46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536.87817980864941</v>
      </c>
    </row>
    <row r="47" spans="2:31" x14ac:dyDescent="0.3">
      <c r="B47">
        <f t="shared" si="1"/>
        <v>45</v>
      </c>
      <c r="C47">
        <v>39</v>
      </c>
      <c r="D47">
        <v>175</v>
      </c>
      <c r="E47">
        <v>186</v>
      </c>
      <c r="F47">
        <v>3550</v>
      </c>
      <c r="G47">
        <v>0</v>
      </c>
      <c r="K47">
        <f>MATCH(MIN(Table4[[#This Row],[Cluster 1 Dist]:[Cluster 3 Dist]]),Table4[[#This Row],[Cluster 1 Dist]:[Cluster 3 Dist]],0)</f>
        <v>1</v>
      </c>
      <c r="L47">
        <f t="shared" si="2"/>
        <v>36</v>
      </c>
      <c r="M4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575.85675302109644</v>
      </c>
      <c r="N4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1425.7661098511214</v>
      </c>
      <c r="O4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825.18240407803171</v>
      </c>
      <c r="T47">
        <f>MATCH(MIN(Table48[[#This Row],[Cluster 1 Dist]:[Cluster 3 Dist]]),Table48[[#This Row],[Cluster 1 Dist]:[Cluster 3 Dist]],0)</f>
        <v>1</v>
      </c>
      <c r="U47">
        <f t="shared" si="3"/>
        <v>36</v>
      </c>
      <c r="V4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367.7912106829736</v>
      </c>
      <c r="W4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1788.7305667942994</v>
      </c>
      <c r="X4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885.76386762142943</v>
      </c>
      <c r="AA47">
        <f>MATCH(MIN(Table4810[[#This Row],[Cluster 1 Dist]:[Cluster 3 Dist]]),Table4810[[#This Row],[Cluster 1 Dist]:[Cluster 3 Dist]],0)</f>
        <v>1</v>
      </c>
      <c r="AB47">
        <f t="shared" si="4"/>
        <v>36</v>
      </c>
      <c r="AC4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344.45994157068662</v>
      </c>
      <c r="AD4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1999.7944673899215</v>
      </c>
      <c r="AE4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965.92973172033328</v>
      </c>
    </row>
    <row r="48" spans="2:31" x14ac:dyDescent="0.3">
      <c r="B48">
        <f t="shared" si="1"/>
        <v>46</v>
      </c>
      <c r="C48">
        <v>406</v>
      </c>
      <c r="D48">
        <v>188</v>
      </c>
      <c r="E48">
        <v>193</v>
      </c>
      <c r="F48">
        <v>3800</v>
      </c>
      <c r="G48">
        <v>1</v>
      </c>
      <c r="K48">
        <f>MATCH(MIN(Table4[[#This Row],[Cluster 1 Dist]:[Cluster 3 Dist]]),Table4[[#This Row],[Cluster 1 Dist]:[Cluster 3 Dist]],0)</f>
        <v>1</v>
      </c>
      <c r="L48">
        <f t="shared" si="2"/>
        <v>37</v>
      </c>
      <c r="M48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383.40448615007102</v>
      </c>
      <c r="N48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1022.5844708384731</v>
      </c>
      <c r="O48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479.2556728928725</v>
      </c>
      <c r="T48">
        <f>MATCH(MIN(Table48[[#This Row],[Cluster 1 Dist]:[Cluster 3 Dist]]),Table48[[#This Row],[Cluster 1 Dist]:[Cluster 3 Dist]],0)</f>
        <v>1</v>
      </c>
      <c r="U48">
        <f t="shared" si="3"/>
        <v>37</v>
      </c>
      <c r="V48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358.33480043264279</v>
      </c>
      <c r="W48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1362.9642749689667</v>
      </c>
      <c r="X48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531.90068948008297</v>
      </c>
      <c r="AA48">
        <f>MATCH(MIN(Table4810[[#This Row],[Cluster 1 Dist]:[Cluster 3 Dist]]),Table4810[[#This Row],[Cluster 1 Dist]:[Cluster 3 Dist]],0)</f>
        <v>1</v>
      </c>
      <c r="AB48">
        <f t="shared" si="4"/>
        <v>37</v>
      </c>
      <c r="AC48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359.52072450260908</v>
      </c>
      <c r="AD48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1570.7295467595986</v>
      </c>
      <c r="AE48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597.61710862899247</v>
      </c>
    </row>
    <row r="49" spans="2:31" x14ac:dyDescent="0.3">
      <c r="B49">
        <f t="shared" si="1"/>
        <v>47</v>
      </c>
      <c r="C49">
        <v>365</v>
      </c>
      <c r="D49">
        <v>166</v>
      </c>
      <c r="E49">
        <v>181</v>
      </c>
      <c r="F49">
        <v>2850</v>
      </c>
      <c r="G49">
        <v>0</v>
      </c>
      <c r="K49">
        <f>MATCH(MIN(Table4[[#This Row],[Cluster 1 Dist]:[Cluster 3 Dist]]),Table4[[#This Row],[Cluster 1 Dist]:[Cluster 3 Dist]],0)</f>
        <v>2</v>
      </c>
      <c r="L49">
        <f t="shared" si="2"/>
        <v>38</v>
      </c>
      <c r="M49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600.85688811895966</v>
      </c>
      <c r="N49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250.23389059038345</v>
      </c>
      <c r="O49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355.51371281569436</v>
      </c>
      <c r="T49">
        <f>MATCH(MIN(Table48[[#This Row],[Cluster 1 Dist]:[Cluster 3 Dist]]),Table48[[#This Row],[Cluster 1 Dist]:[Cluster 3 Dist]],0)</f>
        <v>3</v>
      </c>
      <c r="U49">
        <f t="shared" si="3"/>
        <v>38</v>
      </c>
      <c r="V49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812.5717689571502</v>
      </c>
      <c r="W49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616.87355363827635</v>
      </c>
      <c r="X49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297.19921271903871</v>
      </c>
      <c r="AA49">
        <f>MATCH(MIN(Table4810[[#This Row],[Cluster 1 Dist]:[Cluster 3 Dist]]),Table4810[[#This Row],[Cluster 1 Dist]:[Cluster 3 Dist]],0)</f>
        <v>3</v>
      </c>
      <c r="AB49">
        <f t="shared" si="4"/>
        <v>38</v>
      </c>
      <c r="AC49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836.43758001414812</v>
      </c>
      <c r="AD49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826.81378501510926</v>
      </c>
      <c r="AE49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219.7262776672506</v>
      </c>
    </row>
    <row r="50" spans="2:31" x14ac:dyDescent="0.3">
      <c r="B50">
        <f t="shared" si="1"/>
        <v>48</v>
      </c>
      <c r="C50">
        <v>376</v>
      </c>
      <c r="D50">
        <v>191</v>
      </c>
      <c r="E50">
        <v>194</v>
      </c>
      <c r="F50">
        <v>3750</v>
      </c>
      <c r="G50">
        <v>1</v>
      </c>
      <c r="K50">
        <f>MATCH(MIN(Table4[[#This Row],[Cluster 1 Dist]:[Cluster 3 Dist]]),Table4[[#This Row],[Cluster 1 Dist]:[Cluster 3 Dist]],0)</f>
        <v>1</v>
      </c>
      <c r="L50">
        <f t="shared" si="2"/>
        <v>39</v>
      </c>
      <c r="M50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51.874849397371747</v>
      </c>
      <c r="N50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900.84793389339575</v>
      </c>
      <c r="O50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302.37394067611052</v>
      </c>
      <c r="T50">
        <f>MATCH(MIN(Table48[[#This Row],[Cluster 1 Dist]:[Cluster 3 Dist]]),Table48[[#This Row],[Cluster 1 Dist]:[Cluster 3 Dist]],0)</f>
        <v>1</v>
      </c>
      <c r="U50">
        <f t="shared" si="3"/>
        <v>39</v>
      </c>
      <c r="V50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162.08599447559405</v>
      </c>
      <c r="W50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1263.3746929718361</v>
      </c>
      <c r="X50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361.25242545616084</v>
      </c>
      <c r="AA50">
        <f>MATCH(MIN(Table4810[[#This Row],[Cluster 1 Dist]:[Cluster 3 Dist]]),Table4810[[#This Row],[Cluster 1 Dist]:[Cluster 3 Dist]],0)</f>
        <v>1</v>
      </c>
      <c r="AB50">
        <f t="shared" si="4"/>
        <v>39</v>
      </c>
      <c r="AC50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186.14399299867196</v>
      </c>
      <c r="AD50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1474.3295553677058</v>
      </c>
      <c r="AE50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441.16166883568491</v>
      </c>
    </row>
    <row r="51" spans="2:31" x14ac:dyDescent="0.3">
      <c r="B51">
        <f t="shared" si="1"/>
        <v>49</v>
      </c>
      <c r="C51">
        <v>357</v>
      </c>
      <c r="D51">
        <v>169</v>
      </c>
      <c r="E51">
        <v>185</v>
      </c>
      <c r="F51">
        <v>3150</v>
      </c>
      <c r="G51">
        <v>0</v>
      </c>
      <c r="K51">
        <f>MATCH(MIN(Table4[[#This Row],[Cluster 1 Dist]:[Cluster 3 Dist]]),Table4[[#This Row],[Cluster 1 Dist]:[Cluster 3 Dist]],0)</f>
        <v>2</v>
      </c>
      <c r="L51">
        <f t="shared" si="2"/>
        <v>40</v>
      </c>
      <c r="M51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750.03933230198004</v>
      </c>
      <c r="N51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103.32956982393762</v>
      </c>
      <c r="O51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501.48180425614646</v>
      </c>
      <c r="T51">
        <f>MATCH(MIN(Table48[[#This Row],[Cluster 1 Dist]:[Cluster 3 Dist]]),Table48[[#This Row],[Cluster 1 Dist]:[Cluster 3 Dist]],0)</f>
        <v>3</v>
      </c>
      <c r="U51">
        <f t="shared" si="3"/>
        <v>40</v>
      </c>
      <c r="V51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960.07753838226643</v>
      </c>
      <c r="W51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465.07426319591843</v>
      </c>
      <c r="X51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441.06063792468581</v>
      </c>
      <c r="AA51">
        <f>MATCH(MIN(Table4810[[#This Row],[Cluster 1 Dist]:[Cluster 3 Dist]]),Table4810[[#This Row],[Cluster 1 Dist]:[Cluster 3 Dist]],0)</f>
        <v>3</v>
      </c>
      <c r="AB51">
        <f t="shared" si="4"/>
        <v>40</v>
      </c>
      <c r="AC51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983.78480505201378</v>
      </c>
      <c r="AD51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675.7092626964286</v>
      </c>
      <c r="AE51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361.22537345933921</v>
      </c>
    </row>
    <row r="52" spans="2:31" x14ac:dyDescent="0.3">
      <c r="B52">
        <f t="shared" si="1"/>
        <v>50</v>
      </c>
      <c r="C52">
        <v>413</v>
      </c>
      <c r="D52">
        <v>211</v>
      </c>
      <c r="E52">
        <v>195</v>
      </c>
      <c r="F52">
        <v>4400</v>
      </c>
      <c r="G52">
        <v>1</v>
      </c>
      <c r="K52">
        <f>MATCH(MIN(Table4[[#This Row],[Cluster 1 Dist]:[Cluster 3 Dist]]),Table4[[#This Row],[Cluster 1 Dist]:[Cluster 3 Dist]],0)</f>
        <v>1</v>
      </c>
      <c r="L52">
        <f t="shared" si="2"/>
        <v>41</v>
      </c>
      <c r="M52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384.36961378339987</v>
      </c>
      <c r="N52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1022.9535668836587</v>
      </c>
      <c r="O52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479.9385377316558</v>
      </c>
      <c r="T52">
        <f>MATCH(MIN(Table48[[#This Row],[Cluster 1 Dist]:[Cluster 3 Dist]]),Table48[[#This Row],[Cluster 1 Dist]:[Cluster 3 Dist]],0)</f>
        <v>1</v>
      </c>
      <c r="U52">
        <f t="shared" si="3"/>
        <v>41</v>
      </c>
      <c r="V52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359.28472841158833</v>
      </c>
      <c r="W52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1363.2319855860371</v>
      </c>
      <c r="X52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532.53702812718143</v>
      </c>
      <c r="AA52">
        <f>MATCH(MIN(Table4810[[#This Row],[Cluster 1 Dist]:[Cluster 3 Dist]]),Table4810[[#This Row],[Cluster 1 Dist]:[Cluster 3 Dist]],0)</f>
        <v>1</v>
      </c>
      <c r="AB52">
        <f t="shared" si="4"/>
        <v>41</v>
      </c>
      <c r="AC52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360.44757690225498</v>
      </c>
      <c r="AD52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1570.9714931695244</v>
      </c>
      <c r="AE52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598.18841509565232</v>
      </c>
    </row>
    <row r="53" spans="2:31" x14ac:dyDescent="0.3">
      <c r="B53">
        <f t="shared" si="1"/>
        <v>51</v>
      </c>
      <c r="C53">
        <v>376</v>
      </c>
      <c r="D53">
        <v>17</v>
      </c>
      <c r="E53">
        <v>185</v>
      </c>
      <c r="F53">
        <v>3600</v>
      </c>
      <c r="G53">
        <v>0</v>
      </c>
      <c r="K53">
        <f>MATCH(MIN(Table4[[#This Row],[Cluster 1 Dist]:[Cluster 3 Dist]]),Table4[[#This Row],[Cluster 1 Dist]:[Cluster 3 Dist]],0)</f>
        <v>3</v>
      </c>
      <c r="L53">
        <f t="shared" si="2"/>
        <v>42</v>
      </c>
      <c r="M53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618.76166655667998</v>
      </c>
      <c r="N53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510.31558863119204</v>
      </c>
      <c r="O53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406.99017187150844</v>
      </c>
      <c r="T53">
        <f>MATCH(MIN(Table48[[#This Row],[Cluster 1 Dist]:[Cluster 3 Dist]]),Table48[[#This Row],[Cluster 1 Dist]:[Cluster 3 Dist]],0)</f>
        <v>3</v>
      </c>
      <c r="U53">
        <f t="shared" si="3"/>
        <v>42</v>
      </c>
      <c r="V53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785.15880199652406</v>
      </c>
      <c r="W53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799.3570442228006</v>
      </c>
      <c r="X53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383.5763295776278</v>
      </c>
      <c r="AA53">
        <f>MATCH(MIN(Table4810[[#This Row],[Cluster 1 Dist]:[Cluster 3 Dist]]),Table4810[[#This Row],[Cluster 1 Dist]:[Cluster 3 Dist]],0)</f>
        <v>3</v>
      </c>
      <c r="AB53">
        <f t="shared" si="4"/>
        <v>42</v>
      </c>
      <c r="AC53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803.52041939851119</v>
      </c>
      <c r="AD53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997.76508175957053</v>
      </c>
      <c r="AE53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353.87028690559561</v>
      </c>
    </row>
    <row r="54" spans="2:31" x14ac:dyDescent="0.3">
      <c r="B54">
        <f t="shared" si="1"/>
        <v>52</v>
      </c>
      <c r="C54">
        <v>411</v>
      </c>
      <c r="D54">
        <v>182</v>
      </c>
      <c r="E54">
        <v>192</v>
      </c>
      <c r="F54">
        <v>4050</v>
      </c>
      <c r="G54">
        <v>1</v>
      </c>
      <c r="K54">
        <f>MATCH(MIN(Table4[[#This Row],[Cluster 1 Dist]:[Cluster 3 Dist]]),Table4[[#This Row],[Cluster 1 Dist]:[Cluster 3 Dist]],0)</f>
        <v>1</v>
      </c>
      <c r="L54">
        <f t="shared" si="2"/>
        <v>43</v>
      </c>
      <c r="M54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652.88819869867461</v>
      </c>
      <c r="N54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1501.8618445116715</v>
      </c>
      <c r="O54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900.29439629490082</v>
      </c>
      <c r="T54">
        <f>MATCH(MIN(Table48[[#This Row],[Cluster 1 Dist]:[Cluster 3 Dist]]),Table48[[#This Row],[Cluster 1 Dist]:[Cluster 3 Dist]],0)</f>
        <v>1</v>
      </c>
      <c r="U54">
        <f t="shared" si="3"/>
        <v>43</v>
      </c>
      <c r="V54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442.90080393965752</v>
      </c>
      <c r="W54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1864.0900551350951</v>
      </c>
      <c r="X54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960.93108153987157</v>
      </c>
      <c r="AA54">
        <f>MATCH(MIN(Table4810[[#This Row],[Cluster 1 Dist]:[Cluster 3 Dist]]),Table4810[[#This Row],[Cluster 1 Dist]:[Cluster 3 Dist]],0)</f>
        <v>1</v>
      </c>
      <c r="AB54">
        <f t="shared" si="4"/>
        <v>43</v>
      </c>
      <c r="AC54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419.02988276640684</v>
      </c>
      <c r="AD54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2075.2972903442505</v>
      </c>
      <c r="AE54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1041.1359999687068</v>
      </c>
    </row>
    <row r="55" spans="2:31" x14ac:dyDescent="0.3">
      <c r="B55">
        <f t="shared" si="1"/>
        <v>53</v>
      </c>
      <c r="C55">
        <v>364</v>
      </c>
      <c r="D55">
        <v>171</v>
      </c>
      <c r="E55">
        <v>184</v>
      </c>
      <c r="F55">
        <v>2850</v>
      </c>
      <c r="G55">
        <v>0</v>
      </c>
      <c r="K55">
        <f>MATCH(MIN(Table4[[#This Row],[Cluster 1 Dist]:[Cluster 3 Dist]]),Table4[[#This Row],[Cluster 1 Dist]:[Cluster 3 Dist]],0)</f>
        <v>3</v>
      </c>
      <c r="L55">
        <f t="shared" si="2"/>
        <v>44</v>
      </c>
      <c r="M55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150.42606157179014</v>
      </c>
      <c r="N55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700.45842132135147</v>
      </c>
      <c r="O55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112.61882613488741</v>
      </c>
      <c r="T55">
        <f>MATCH(MIN(Table48[[#This Row],[Cluster 1 Dist]:[Cluster 3 Dist]]),Table48[[#This Row],[Cluster 1 Dist]:[Cluster 3 Dist]],0)</f>
        <v>3</v>
      </c>
      <c r="U55">
        <f t="shared" si="3"/>
        <v>44</v>
      </c>
      <c r="V55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362.55847443263553</v>
      </c>
      <c r="W55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1063.7618010142717</v>
      </c>
      <c r="X55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166.36698001952269</v>
      </c>
      <c r="AA55">
        <f>MATCH(MIN(Table4810[[#This Row],[Cluster 1 Dist]:[Cluster 3 Dist]]),Table4810[[#This Row],[Cluster 1 Dist]:[Cluster 3 Dist]],0)</f>
        <v>3</v>
      </c>
      <c r="AB55">
        <f t="shared" si="4"/>
        <v>44</v>
      </c>
      <c r="AC55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386.65049834265068</v>
      </c>
      <c r="AD55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1274.5004208560483</v>
      </c>
      <c r="AE55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244.27846902835901</v>
      </c>
    </row>
    <row r="56" spans="2:31" x14ac:dyDescent="0.3">
      <c r="B56">
        <f t="shared" si="1"/>
        <v>54</v>
      </c>
      <c r="C56">
        <v>416</v>
      </c>
      <c r="D56">
        <v>18</v>
      </c>
      <c r="E56">
        <v>192</v>
      </c>
      <c r="F56">
        <v>3950</v>
      </c>
      <c r="G56">
        <v>1</v>
      </c>
      <c r="K56">
        <f>MATCH(MIN(Table4[[#This Row],[Cluster 1 Dist]:[Cluster 3 Dist]]),Table4[[#This Row],[Cluster 1 Dist]:[Cluster 3 Dist]],0)</f>
        <v>1</v>
      </c>
      <c r="L56">
        <f t="shared" si="2"/>
        <v>45</v>
      </c>
      <c r="M56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367.17843073906181</v>
      </c>
      <c r="N56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929.383666738339</v>
      </c>
      <c r="O56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409.74748321374716</v>
      </c>
      <c r="T56">
        <f>MATCH(MIN(Table48[[#This Row],[Cluster 1 Dist]:[Cluster 3 Dist]]),Table48[[#This Row],[Cluster 1 Dist]:[Cluster 3 Dist]],0)</f>
        <v>1</v>
      </c>
      <c r="U56">
        <f t="shared" si="3"/>
        <v>45</v>
      </c>
      <c r="V56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397.49694225250568</v>
      </c>
      <c r="W56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1266.0231103071462</v>
      </c>
      <c r="X56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456.94016555557806</v>
      </c>
      <c r="AA56">
        <f>MATCH(MIN(Table4810[[#This Row],[Cluster 1 Dist]:[Cluster 3 Dist]]),Table4810[[#This Row],[Cluster 1 Dist]:[Cluster 3 Dist]],0)</f>
        <v>1</v>
      </c>
      <c r="AB56">
        <f t="shared" si="4"/>
        <v>45</v>
      </c>
      <c r="AC56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404.47252182577046</v>
      </c>
      <c r="AD56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1473.1134048620158</v>
      </c>
      <c r="AE56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516.69570021562515</v>
      </c>
    </row>
    <row r="57" spans="2:31" x14ac:dyDescent="0.3">
      <c r="B57">
        <f t="shared" si="1"/>
        <v>55</v>
      </c>
      <c r="C57">
        <v>355</v>
      </c>
      <c r="D57">
        <v>162</v>
      </c>
      <c r="E57">
        <v>195</v>
      </c>
      <c r="F57">
        <v>3350</v>
      </c>
      <c r="G57">
        <v>0</v>
      </c>
      <c r="K57">
        <f>MATCH(MIN(Table4[[#This Row],[Cluster 1 Dist]:[Cluster 3 Dist]]),Table4[[#This Row],[Cluster 1 Dist]:[Cluster 3 Dist]],0)</f>
        <v>3</v>
      </c>
      <c r="L57">
        <f t="shared" si="2"/>
        <v>46</v>
      </c>
      <c r="M5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250.2079135439165</v>
      </c>
      <c r="N5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600.48480413745688</v>
      </c>
      <c r="O5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43.669211121796096</v>
      </c>
      <c r="T57">
        <f>MATCH(MIN(Table48[[#This Row],[Cluster 1 Dist]:[Cluster 3 Dist]]),Table48[[#This Row],[Cluster 1 Dist]:[Cluster 3 Dist]],0)</f>
        <v>3</v>
      </c>
      <c r="U57">
        <f t="shared" si="3"/>
        <v>46</v>
      </c>
      <c r="V5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461.38583615794107</v>
      </c>
      <c r="W5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963.83102181038862</v>
      </c>
      <c r="X5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71.453285724424902</v>
      </c>
      <c r="AA57">
        <f>MATCH(MIN(Table4810[[#This Row],[Cluster 1 Dist]:[Cluster 3 Dist]]),Table4810[[#This Row],[Cluster 1 Dist]:[Cluster 3 Dist]],0)</f>
        <v>3</v>
      </c>
      <c r="AB57">
        <f t="shared" si="4"/>
        <v>46</v>
      </c>
      <c r="AC5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485.30120548225835</v>
      </c>
      <c r="AD5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1174.6647120672105</v>
      </c>
      <c r="AE5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145.34651191575622</v>
      </c>
    </row>
    <row r="58" spans="2:31" x14ac:dyDescent="0.3">
      <c r="B58">
        <f t="shared" si="1"/>
        <v>56</v>
      </c>
      <c r="C58">
        <v>411</v>
      </c>
      <c r="D58">
        <v>191</v>
      </c>
      <c r="E58">
        <v>188</v>
      </c>
      <c r="F58">
        <v>4100</v>
      </c>
      <c r="G58">
        <v>1</v>
      </c>
      <c r="K58">
        <f>MATCH(MIN(Table4[[#This Row],[Cluster 1 Dist]:[Cluster 3 Dist]]),Table4[[#This Row],[Cluster 1 Dist]:[Cluster 3 Dist]],0)</f>
        <v>1</v>
      </c>
      <c r="L58">
        <f t="shared" si="2"/>
        <v>47</v>
      </c>
      <c r="M58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701.48841758078947</v>
      </c>
      <c r="N58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1551.4593130340222</v>
      </c>
      <c r="O58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950.48776951626269</v>
      </c>
      <c r="T58">
        <f>MATCH(MIN(Table48[[#This Row],[Cluster 1 Dist]:[Cluster 3 Dist]]),Table48[[#This Row],[Cluster 1 Dist]:[Cluster 3 Dist]],0)</f>
        <v>1</v>
      </c>
      <c r="U58">
        <f t="shared" si="3"/>
        <v>47</v>
      </c>
      <c r="V58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491.26826273308023</v>
      </c>
      <c r="W58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1913.4413352790705</v>
      </c>
      <c r="X58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1010.4842689300519</v>
      </c>
      <c r="AA58">
        <f>MATCH(MIN(Table4810[[#This Row],[Cluster 1 Dist]:[Cluster 3 Dist]]),Table4810[[#This Row],[Cluster 1 Dist]:[Cluster 3 Dist]],0)</f>
        <v>1</v>
      </c>
      <c r="AB58">
        <f t="shared" si="4"/>
        <v>47</v>
      </c>
      <c r="AC58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467.64971938677883</v>
      </c>
      <c r="AD58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2124.5269531867648</v>
      </c>
      <c r="AE58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1090.6415363936169</v>
      </c>
    </row>
    <row r="59" spans="2:31" x14ac:dyDescent="0.3">
      <c r="B59">
        <f t="shared" si="1"/>
        <v>57</v>
      </c>
      <c r="C59">
        <v>359</v>
      </c>
      <c r="D59">
        <v>166</v>
      </c>
      <c r="E59">
        <v>190</v>
      </c>
      <c r="F59">
        <v>3050</v>
      </c>
      <c r="G59">
        <v>0</v>
      </c>
      <c r="K59">
        <f>MATCH(MIN(Table4[[#This Row],[Cluster 1 Dist]:[Cluster 3 Dist]]),Table4[[#This Row],[Cluster 1 Dist]:[Cluster 3 Dist]],0)</f>
        <v>3</v>
      </c>
      <c r="L59">
        <f t="shared" si="2"/>
        <v>48</v>
      </c>
      <c r="M59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202.59812437433868</v>
      </c>
      <c r="N59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651.36011545073893</v>
      </c>
      <c r="O59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51.97114584074513</v>
      </c>
      <c r="T59">
        <f>MATCH(MIN(Table48[[#This Row],[Cluster 1 Dist]:[Cluster 3 Dist]]),Table48[[#This Row],[Cluster 1 Dist]:[Cluster 3 Dist]],0)</f>
        <v>3</v>
      </c>
      <c r="U59">
        <f t="shared" si="3"/>
        <v>48</v>
      </c>
      <c r="V59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410.87229320351349</v>
      </c>
      <c r="W59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1014.1767773094396</v>
      </c>
      <c r="X59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112.98849769885807</v>
      </c>
      <c r="AA59">
        <f>MATCH(MIN(Table4810[[#This Row],[Cluster 1 Dist]:[Cluster 3 Dist]]),Table4810[[#This Row],[Cluster 1 Dist]:[Cluster 3 Dist]],0)</f>
        <v>3</v>
      </c>
      <c r="AB59">
        <f t="shared" si="4"/>
        <v>48</v>
      </c>
      <c r="AC59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434.36717992851959</v>
      </c>
      <c r="AD59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1225.3305204744065</v>
      </c>
      <c r="AE59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192.31192160847365</v>
      </c>
    </row>
    <row r="60" spans="2:31" x14ac:dyDescent="0.3">
      <c r="B60">
        <f t="shared" si="1"/>
        <v>58</v>
      </c>
      <c r="C60">
        <v>418</v>
      </c>
      <c r="D60">
        <v>194</v>
      </c>
      <c r="E60">
        <v>198</v>
      </c>
      <c r="F60">
        <v>4450</v>
      </c>
      <c r="G60">
        <v>1</v>
      </c>
      <c r="K60">
        <f>MATCH(MIN(Table4[[#This Row],[Cluster 1 Dist]:[Cluster 3 Dist]]),Table4[[#This Row],[Cluster 1 Dist]:[Cluster 3 Dist]],0)</f>
        <v>1</v>
      </c>
      <c r="L60">
        <f t="shared" si="2"/>
        <v>49</v>
      </c>
      <c r="M60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403.35468263056026</v>
      </c>
      <c r="N60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1251.9988019163598</v>
      </c>
      <c r="O60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650.56744462046368</v>
      </c>
      <c r="T60">
        <f>MATCH(MIN(Table48[[#This Row],[Cluster 1 Dist]:[Cluster 3 Dist]]),Table48[[#This Row],[Cluster 1 Dist]:[Cluster 3 Dist]],0)</f>
        <v>1</v>
      </c>
      <c r="U60">
        <f t="shared" si="3"/>
        <v>49</v>
      </c>
      <c r="V60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192.57466323032654</v>
      </c>
      <c r="W60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1613.7267521743777</v>
      </c>
      <c r="X60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710.62658511301663</v>
      </c>
      <c r="AA60">
        <f>MATCH(MIN(Table4810[[#This Row],[Cluster 1 Dist]:[Cluster 3 Dist]]),Table4810[[#This Row],[Cluster 1 Dist]:[Cluster 3 Dist]],0)</f>
        <v>1</v>
      </c>
      <c r="AB60">
        <f t="shared" si="4"/>
        <v>49</v>
      </c>
      <c r="AC60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168.62925386754327</v>
      </c>
      <c r="AD60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1824.9043043465369</v>
      </c>
      <c r="AE60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790.81461252509723</v>
      </c>
    </row>
    <row r="61" spans="2:31" x14ac:dyDescent="0.3">
      <c r="B61">
        <f t="shared" si="1"/>
        <v>59</v>
      </c>
      <c r="C61">
        <v>335</v>
      </c>
      <c r="D61">
        <v>19</v>
      </c>
      <c r="E61">
        <v>190</v>
      </c>
      <c r="F61">
        <v>3600</v>
      </c>
      <c r="G61">
        <v>0</v>
      </c>
      <c r="K61">
        <f>MATCH(MIN(Table4[[#This Row],[Cluster 1 Dist]:[Cluster 3 Dist]]),Table4[[#This Row],[Cluster 1 Dist]:[Cluster 3 Dist]],0)</f>
        <v>2</v>
      </c>
      <c r="L61">
        <f t="shared" si="2"/>
        <v>50</v>
      </c>
      <c r="M61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850.4810403530463</v>
      </c>
      <c r="N61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0</v>
      </c>
      <c r="O61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602.31304153239114</v>
      </c>
      <c r="T61">
        <f>MATCH(MIN(Table48[[#This Row],[Cluster 1 Dist]:[Cluster 3 Dist]]),Table48[[#This Row],[Cluster 1 Dist]:[Cluster 3 Dist]],0)</f>
        <v>2</v>
      </c>
      <c r="U61">
        <f t="shared" si="3"/>
        <v>50</v>
      </c>
      <c r="V61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1061.3213228863458</v>
      </c>
      <c r="W61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368.81200903712283</v>
      </c>
      <c r="X61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542.83891379167983</v>
      </c>
      <c r="AA61">
        <f>MATCH(MIN(Table4810[[#This Row],[Cluster 1 Dist]:[Cluster 3 Dist]]),Table4810[[#This Row],[Cluster 1 Dist]:[Cluster 3 Dist]],0)</f>
        <v>3</v>
      </c>
      <c r="AB61">
        <f t="shared" si="4"/>
        <v>50</v>
      </c>
      <c r="AC61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1085.0691018062892</v>
      </c>
      <c r="AD61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577.93440118867534</v>
      </c>
      <c r="AE61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463.25898233769129</v>
      </c>
    </row>
    <row r="62" spans="2:31" x14ac:dyDescent="0.3">
      <c r="B62">
        <f t="shared" si="1"/>
        <v>60</v>
      </c>
      <c r="C62">
        <v>397</v>
      </c>
      <c r="D62">
        <v>184</v>
      </c>
      <c r="E62">
        <v>190</v>
      </c>
      <c r="F62">
        <v>3900</v>
      </c>
      <c r="G62">
        <v>1</v>
      </c>
      <c r="K62">
        <f>MATCH(MIN(Table4[[#This Row],[Cluster 1 Dist]:[Cluster 3 Dist]]),Table4[[#This Row],[Cluster 1 Dist]:[Cluster 3 Dist]],0)</f>
        <v>1</v>
      </c>
      <c r="L62">
        <f t="shared" si="2"/>
        <v>51</v>
      </c>
      <c r="M62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178.79038005440896</v>
      </c>
      <c r="N62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824.07887971965397</v>
      </c>
      <c r="O62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268.10259230376715</v>
      </c>
      <c r="T62">
        <f>MATCH(MIN(Table48[[#This Row],[Cluster 1 Dist]:[Cluster 3 Dist]]),Table48[[#This Row],[Cluster 1 Dist]:[Cluster 3 Dist]],0)</f>
        <v>1</v>
      </c>
      <c r="U62">
        <f t="shared" si="3"/>
        <v>51</v>
      </c>
      <c r="V62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292.71470736567477</v>
      </c>
      <c r="W62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1170.5409433207351</v>
      </c>
      <c r="X62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300.53466742878516</v>
      </c>
      <c r="AA62">
        <f>MATCH(MIN(Table4810[[#This Row],[Cluster 1 Dist]:[Cluster 3 Dist]]),Table4810[[#This Row],[Cluster 1 Dist]:[Cluster 3 Dist]],0)</f>
        <v>1</v>
      </c>
      <c r="AB62">
        <f t="shared" si="4"/>
        <v>51</v>
      </c>
      <c r="AC62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313.71365931774972</v>
      </c>
      <c r="AD62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1380.0085693680919</v>
      </c>
      <c r="AE62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371.23003900467211</v>
      </c>
    </row>
    <row r="63" spans="2:31" x14ac:dyDescent="0.3">
      <c r="B63">
        <f t="shared" si="1"/>
        <v>61</v>
      </c>
      <c r="C63">
        <v>396</v>
      </c>
      <c r="D63">
        <v>172</v>
      </c>
      <c r="E63">
        <v>196</v>
      </c>
      <c r="F63">
        <v>3550</v>
      </c>
      <c r="G63">
        <v>0</v>
      </c>
      <c r="K63">
        <f>MATCH(MIN(Table4[[#This Row],[Cluster 1 Dist]:[Cluster 3 Dist]]),Table4[[#This Row],[Cluster 1 Dist]:[Cluster 3 Dist]],0)</f>
        <v>3</v>
      </c>
      <c r="L63">
        <f t="shared" si="2"/>
        <v>52</v>
      </c>
      <c r="M63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500.12198511963061</v>
      </c>
      <c r="N63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351.21788109377349</v>
      </c>
      <c r="O63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254.9058649776423</v>
      </c>
      <c r="T63">
        <f>MATCH(MIN(Table48[[#This Row],[Cluster 1 Dist]:[Cluster 3 Dist]]),Table48[[#This Row],[Cluster 1 Dist]:[Cluster 3 Dist]],0)</f>
        <v>3</v>
      </c>
      <c r="U63">
        <f t="shared" si="3"/>
        <v>52</v>
      </c>
      <c r="V63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710.53095875022643</v>
      </c>
      <c r="W63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713.92184237484958</v>
      </c>
      <c r="X63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193.79223200033985</v>
      </c>
      <c r="AA63">
        <f>MATCH(MIN(Table4810[[#This Row],[Cluster 1 Dist]:[Cluster 3 Dist]]),Table4810[[#This Row],[Cluster 1 Dist]:[Cluster 3 Dist]],0)</f>
        <v>3</v>
      </c>
      <c r="AB63">
        <f t="shared" si="4"/>
        <v>52</v>
      </c>
      <c r="AC63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734.38588603523056</v>
      </c>
      <c r="AD63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924.64004519229161</v>
      </c>
      <c r="AE63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116.02811216162834</v>
      </c>
    </row>
    <row r="64" spans="2:31" x14ac:dyDescent="0.3">
      <c r="B64">
        <f t="shared" si="1"/>
        <v>62</v>
      </c>
      <c r="C64">
        <v>458</v>
      </c>
      <c r="D64">
        <v>189</v>
      </c>
      <c r="E64">
        <v>197</v>
      </c>
      <c r="F64">
        <v>4150</v>
      </c>
      <c r="G64">
        <v>1</v>
      </c>
      <c r="K64">
        <f>MATCH(MIN(Table4[[#This Row],[Cluster 1 Dist]:[Cluster 3 Dist]]),Table4[[#This Row],[Cluster 1 Dist]:[Cluster 3 Dist]],0)</f>
        <v>1</v>
      </c>
      <c r="L64">
        <f t="shared" si="2"/>
        <v>53</v>
      </c>
      <c r="M64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701.42070114874707</v>
      </c>
      <c r="N64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1551.329429876195</v>
      </c>
      <c r="O64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950.32310294972831</v>
      </c>
      <c r="T64">
        <f>MATCH(MIN(Table48[[#This Row],[Cluster 1 Dist]:[Cluster 3 Dist]]),Table48[[#This Row],[Cluster 1 Dist]:[Cluster 3 Dist]],0)</f>
        <v>1</v>
      </c>
      <c r="U64">
        <f t="shared" si="3"/>
        <v>53</v>
      </c>
      <c r="V64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491.41061736359308</v>
      </c>
      <c r="W64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1913.4812427423556</v>
      </c>
      <c r="X64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1010.4676713769514</v>
      </c>
      <c r="AA64">
        <f>MATCH(MIN(Table4810[[#This Row],[Cluster 1 Dist]:[Cluster 3 Dist]]),Table4810[[#This Row],[Cluster 1 Dist]:[Cluster 3 Dist]],0)</f>
        <v>1</v>
      </c>
      <c r="AB64">
        <f t="shared" si="4"/>
        <v>53</v>
      </c>
      <c r="AC64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467.78773897803819</v>
      </c>
      <c r="AD64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2124.5801440556834</v>
      </c>
      <c r="AE64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1090.6352010912769</v>
      </c>
    </row>
    <row r="65" spans="2:31" x14ac:dyDescent="0.3">
      <c r="B65">
        <f t="shared" si="1"/>
        <v>63</v>
      </c>
      <c r="C65">
        <v>355</v>
      </c>
      <c r="D65">
        <v>175</v>
      </c>
      <c r="E65">
        <v>190</v>
      </c>
      <c r="F65">
        <v>3700</v>
      </c>
      <c r="G65">
        <v>0</v>
      </c>
      <c r="K65">
        <f>MATCH(MIN(Table4[[#This Row],[Cluster 1 Dist]:[Cluster 3 Dist]]),Table4[[#This Row],[Cluster 1 Dist]:[Cluster 3 Dist]],0)</f>
        <v>3</v>
      </c>
      <c r="L65">
        <f t="shared" si="2"/>
        <v>54</v>
      </c>
      <c r="M65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434.05644794196985</v>
      </c>
      <c r="N65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489.66008618224134</v>
      </c>
      <c r="O65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237.99579828223858</v>
      </c>
      <c r="T65">
        <f>MATCH(MIN(Table48[[#This Row],[Cluster 1 Dist]:[Cluster 3 Dist]]),Table48[[#This Row],[Cluster 1 Dist]:[Cluster 3 Dist]],0)</f>
        <v>3</v>
      </c>
      <c r="U65">
        <f t="shared" si="3"/>
        <v>54</v>
      </c>
      <c r="V65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625.17568513331514</v>
      </c>
      <c r="W65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823.29535320203149</v>
      </c>
      <c r="X65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178.71741632521218</v>
      </c>
      <c r="AA65">
        <f>MATCH(MIN(Table4810[[#This Row],[Cluster 1 Dist]:[Cluster 3 Dist]]),Table4810[[#This Row],[Cluster 1 Dist]:[Cluster 3 Dist]],0)</f>
        <v>3</v>
      </c>
      <c r="AB65">
        <f t="shared" si="4"/>
        <v>54</v>
      </c>
      <c r="AC65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648.55318849220282</v>
      </c>
      <c r="AD65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1031.1715744302348</v>
      </c>
      <c r="AE65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151.98094790491703</v>
      </c>
    </row>
    <row r="66" spans="2:31" x14ac:dyDescent="0.3">
      <c r="B66">
        <f t="shared" si="1"/>
        <v>64</v>
      </c>
      <c r="C66">
        <v>428</v>
      </c>
      <c r="D66">
        <v>185</v>
      </c>
      <c r="E66">
        <v>195</v>
      </c>
      <c r="F66">
        <v>4250</v>
      </c>
      <c r="G66">
        <v>1</v>
      </c>
      <c r="K66">
        <f>MATCH(MIN(Table4[[#This Row],[Cluster 1 Dist]:[Cluster 3 Dist]]),Table4[[#This Row],[Cluster 1 Dist]:[Cluster 3 Dist]],0)</f>
        <v>1</v>
      </c>
      <c r="L66">
        <f t="shared" si="2"/>
        <v>55</v>
      </c>
      <c r="M66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208.13937638034758</v>
      </c>
      <c r="N66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1052.7421336680698</v>
      </c>
      <c r="O66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451.30809875294727</v>
      </c>
      <c r="T66">
        <f>MATCH(MIN(Table48[[#This Row],[Cluster 1 Dist]:[Cluster 3 Dist]]),Table48[[#This Row],[Cluster 1 Dist]:[Cluster 3 Dist]],0)</f>
        <v>1</v>
      </c>
      <c r="U66">
        <f t="shared" si="3"/>
        <v>55</v>
      </c>
      <c r="V66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25.613697982412667</v>
      </c>
      <c r="W66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1413.7144532881246</v>
      </c>
      <c r="X66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510.74119869148615</v>
      </c>
      <c r="AA66">
        <f>MATCH(MIN(Table4810[[#This Row],[Cluster 1 Dist]:[Cluster 3 Dist]]),Table4810[[#This Row],[Cluster 1 Dist]:[Cluster 3 Dist]],0)</f>
        <v>1</v>
      </c>
      <c r="AB66">
        <f t="shared" si="4"/>
        <v>55</v>
      </c>
      <c r="AC66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37.263445766047646</v>
      </c>
      <c r="AD66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1624.9290419139522</v>
      </c>
      <c r="AE66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590.89529243455229</v>
      </c>
    </row>
    <row r="67" spans="2:31" x14ac:dyDescent="0.3">
      <c r="B67">
        <f t="shared" si="1"/>
        <v>65</v>
      </c>
      <c r="C67">
        <v>409</v>
      </c>
      <c r="D67">
        <v>168</v>
      </c>
      <c r="E67">
        <v>191</v>
      </c>
      <c r="F67">
        <v>3700</v>
      </c>
      <c r="G67">
        <v>0</v>
      </c>
      <c r="K67">
        <f>MATCH(MIN(Table4[[#This Row],[Cluster 1 Dist]:[Cluster 3 Dist]]),Table4[[#This Row],[Cluster 1 Dist]:[Cluster 3 Dist]],0)</f>
        <v>2</v>
      </c>
      <c r="L67">
        <f t="shared" si="2"/>
        <v>56</v>
      </c>
      <c r="M6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550.06817759255989</v>
      </c>
      <c r="N6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300.75405234177646</v>
      </c>
      <c r="O6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303.84864653310535</v>
      </c>
      <c r="T67">
        <f>MATCH(MIN(Table48[[#This Row],[Cluster 1 Dist]:[Cluster 3 Dist]]),Table48[[#This Row],[Cluster 1 Dist]:[Cluster 3 Dist]],0)</f>
        <v>3</v>
      </c>
      <c r="U67">
        <f t="shared" si="3"/>
        <v>56</v>
      </c>
      <c r="V6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760.82389612726638</v>
      </c>
      <c r="W6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664.62481859703905</v>
      </c>
      <c r="X6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243.73469308296058</v>
      </c>
      <c r="AA67">
        <f>MATCH(MIN(Table4810[[#This Row],[Cluster 1 Dist]:[Cluster 3 Dist]]),Table4810[[#This Row],[Cluster 1 Dist]:[Cluster 3 Dist]],0)</f>
        <v>3</v>
      </c>
      <c r="AB67">
        <f t="shared" si="4"/>
        <v>56</v>
      </c>
      <c r="AC6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784.64903483571572</v>
      </c>
      <c r="AD6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875.23560477058663</v>
      </c>
      <c r="AE6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165.39130786275717</v>
      </c>
    </row>
    <row r="68" spans="2:31" x14ac:dyDescent="0.3">
      <c r="B68">
        <f t="shared" si="1"/>
        <v>66</v>
      </c>
      <c r="C68">
        <v>372</v>
      </c>
      <c r="D68">
        <v>194</v>
      </c>
      <c r="E68">
        <v>184</v>
      </c>
      <c r="F68">
        <v>3900</v>
      </c>
      <c r="G68">
        <v>1</v>
      </c>
      <c r="K68">
        <f>MATCH(MIN(Table4[[#This Row],[Cluster 1 Dist]:[Cluster 3 Dist]]),Table4[[#This Row],[Cluster 1 Dist]:[Cluster 3 Dist]],0)</f>
        <v>1</v>
      </c>
      <c r="L68">
        <f t="shared" si="2"/>
        <v>57</v>
      </c>
      <c r="M68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502.65196707065616</v>
      </c>
      <c r="N68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1351.8383779135729</v>
      </c>
      <c r="O68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750.57178204352977</v>
      </c>
      <c r="T68">
        <f>MATCH(MIN(Table48[[#This Row],[Cluster 1 Dist]:[Cluster 3 Dist]]),Table48[[#This Row],[Cluster 1 Dist]:[Cluster 3 Dist]],0)</f>
        <v>1</v>
      </c>
      <c r="U68">
        <f t="shared" si="3"/>
        <v>57</v>
      </c>
      <c r="V68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291.71123626408041</v>
      </c>
      <c r="W68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1713.5410071423773</v>
      </c>
      <c r="X68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810.51024531161954</v>
      </c>
      <c r="AA68">
        <f>MATCH(MIN(Table4810[[#This Row],[Cluster 1 Dist]:[Cluster 3 Dist]]),Table4810[[#This Row],[Cluster 1 Dist]:[Cluster 3 Dist]],0)</f>
        <v>1</v>
      </c>
      <c r="AB68">
        <f t="shared" si="4"/>
        <v>57</v>
      </c>
      <c r="AC68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267.90544089272311</v>
      </c>
      <c r="AD68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1924.6881888067237</v>
      </c>
      <c r="AE68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890.67861712419449</v>
      </c>
    </row>
    <row r="69" spans="2:31" x14ac:dyDescent="0.3">
      <c r="B69">
        <f t="shared" si="1"/>
        <v>67</v>
      </c>
      <c r="C69">
        <v>362</v>
      </c>
      <c r="D69">
        <v>161</v>
      </c>
      <c r="E69">
        <v>187</v>
      </c>
      <c r="F69">
        <v>3550</v>
      </c>
      <c r="G69">
        <v>0</v>
      </c>
      <c r="K69">
        <f>MATCH(MIN(Table4[[#This Row],[Cluster 1 Dist]:[Cluster 3 Dist]]),Table4[[#This Row],[Cluster 1 Dist]:[Cluster 3 Dist]],0)</f>
        <v>2</v>
      </c>
      <c r="L69">
        <f t="shared" si="2"/>
        <v>58</v>
      </c>
      <c r="M69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900.24052341582581</v>
      </c>
      <c r="N69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53.131911315140925</v>
      </c>
      <c r="O69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652.37259292523936</v>
      </c>
      <c r="T69">
        <f>MATCH(MIN(Table48[[#This Row],[Cluster 1 Dist]:[Cluster 3 Dist]]),Table48[[#This Row],[Cluster 1 Dist]:[Cluster 3 Dist]],0)</f>
        <v>2</v>
      </c>
      <c r="U69">
        <f t="shared" si="3"/>
        <v>58</v>
      </c>
      <c r="V69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1110.663279356166</v>
      </c>
      <c r="W69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316.93880939558022</v>
      </c>
      <c r="X69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591.90643617355079</v>
      </c>
      <c r="AA69">
        <f>MATCH(MIN(Table4810[[#This Row],[Cluster 1 Dist]:[Cluster 3 Dist]]),Table4810[[#This Row],[Cluster 1 Dist]:[Cluster 3 Dist]],0)</f>
        <v>3</v>
      </c>
      <c r="AB69">
        <f t="shared" si="4"/>
        <v>58</v>
      </c>
      <c r="AC69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1134.4444240891139</v>
      </c>
      <c r="AD69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526.32077257026117</v>
      </c>
      <c r="AE69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512.01673982342663</v>
      </c>
    </row>
    <row r="70" spans="2:31" x14ac:dyDescent="0.3">
      <c r="B70">
        <f t="shared" si="1"/>
        <v>68</v>
      </c>
      <c r="C70">
        <v>421</v>
      </c>
      <c r="D70">
        <v>191</v>
      </c>
      <c r="E70">
        <v>195</v>
      </c>
      <c r="F70">
        <v>4000</v>
      </c>
      <c r="G70">
        <v>1</v>
      </c>
      <c r="K70">
        <f>MATCH(MIN(Table4[[#This Row],[Cluster 1 Dist]:[Cluster 3 Dist]]),Table4[[#This Row],[Cluster 1 Dist]:[Cluster 3 Dist]],0)</f>
        <v>1</v>
      </c>
      <c r="L70">
        <f t="shared" si="2"/>
        <v>59</v>
      </c>
      <c r="M70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188.36135484753765</v>
      </c>
      <c r="N70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826.42241015112847</v>
      </c>
      <c r="O70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267.88243690096596</v>
      </c>
      <c r="T70">
        <f>MATCH(MIN(Table48[[#This Row],[Cluster 1 Dist]:[Cluster 3 Dist]]),Table48[[#This Row],[Cluster 1 Dist]:[Cluster 3 Dist]],0)</f>
        <v>1</v>
      </c>
      <c r="U70">
        <f t="shared" si="3"/>
        <v>59</v>
      </c>
      <c r="V70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294.68363606199455</v>
      </c>
      <c r="W70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1171.819124432707</v>
      </c>
      <c r="X70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301.97819322539397</v>
      </c>
      <c r="AA70">
        <f>MATCH(MIN(Table4810[[#This Row],[Cluster 1 Dist]:[Cluster 3 Dist]]),Table4810[[#This Row],[Cluster 1 Dist]:[Cluster 3 Dist]],0)</f>
        <v>1</v>
      </c>
      <c r="AB70">
        <f t="shared" si="4"/>
        <v>59</v>
      </c>
      <c r="AC70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314.62168317011145</v>
      </c>
      <c r="AD70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1381.5435806473849</v>
      </c>
      <c r="AE70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372.71289723347684</v>
      </c>
    </row>
    <row r="71" spans="2:31" x14ac:dyDescent="0.3">
      <c r="B71">
        <f t="shared" ref="B71:B134" si="5">1+B70</f>
        <v>69</v>
      </c>
      <c r="C71">
        <v>346</v>
      </c>
      <c r="D71">
        <v>172</v>
      </c>
      <c r="E71">
        <v>189</v>
      </c>
      <c r="F71">
        <v>3200</v>
      </c>
      <c r="G71">
        <v>0</v>
      </c>
      <c r="K71">
        <f>MATCH(MIN(Table4[[#This Row],[Cluster 1 Dist]:[Cluster 3 Dist]]),Table4[[#This Row],[Cluster 1 Dist]:[Cluster 3 Dist]],0)</f>
        <v>3</v>
      </c>
      <c r="L71">
        <f t="shared" si="2"/>
        <v>60</v>
      </c>
      <c r="M71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350.19137625018698</v>
      </c>
      <c r="N71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501.00898195541367</v>
      </c>
      <c r="O71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106.19322012256714</v>
      </c>
      <c r="T71">
        <f>MATCH(MIN(Table48[[#This Row],[Cluster 1 Dist]:[Cluster 3 Dist]]),Table48[[#This Row],[Cluster 1 Dist]:[Cluster 3 Dist]],0)</f>
        <v>3</v>
      </c>
      <c r="U71">
        <f t="shared" si="3"/>
        <v>60</v>
      </c>
      <c r="V71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560.3237708602062</v>
      </c>
      <c r="W71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863.79657086132306</v>
      </c>
      <c r="X71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49.035270521350817</v>
      </c>
      <c r="AA71">
        <f>MATCH(MIN(Table4810[[#This Row],[Cluster 1 Dist]:[Cluster 3 Dist]]),Table4810[[#This Row],[Cluster 1 Dist]:[Cluster 3 Dist]],0)</f>
        <v>3</v>
      </c>
      <c r="AB71">
        <f t="shared" si="4"/>
        <v>60</v>
      </c>
      <c r="AC71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584.10099934329639</v>
      </c>
      <c r="AD71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1074.7558535221162</v>
      </c>
      <c r="AE71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49.434602806622379</v>
      </c>
    </row>
    <row r="72" spans="2:31" x14ac:dyDescent="0.3">
      <c r="B72">
        <f t="shared" si="5"/>
        <v>70</v>
      </c>
      <c r="C72">
        <v>429</v>
      </c>
      <c r="D72">
        <v>176</v>
      </c>
      <c r="E72">
        <v>196</v>
      </c>
      <c r="F72">
        <v>4700</v>
      </c>
      <c r="G72">
        <v>1</v>
      </c>
      <c r="K72">
        <f>MATCH(MIN(Table4[[#This Row],[Cluster 1 Dist]:[Cluster 3 Dist]]),Table4[[#This Row],[Cluster 1 Dist]:[Cluster 3 Dist]],0)</f>
        <v>1</v>
      </c>
      <c r="L72">
        <f t="shared" si="2"/>
        <v>61</v>
      </c>
      <c r="M72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21.587033144922902</v>
      </c>
      <c r="N72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851.06521489248985</v>
      </c>
      <c r="O72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253.28837320335097</v>
      </c>
      <c r="T72">
        <f>MATCH(MIN(Table48[[#This Row],[Cluster 1 Dist]:[Cluster 3 Dist]]),Table48[[#This Row],[Cluster 1 Dist]:[Cluster 3 Dist]],0)</f>
        <v>1</v>
      </c>
      <c r="U72">
        <f t="shared" si="3"/>
        <v>61</v>
      </c>
      <c r="V72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210.98255207933659</v>
      </c>
      <c r="W72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1213.1684728653941</v>
      </c>
      <c r="X72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311.17340234430463</v>
      </c>
      <c r="AA72">
        <f>MATCH(MIN(Table4810[[#This Row],[Cluster 1 Dist]:[Cluster 3 Dist]]),Table4810[[#This Row],[Cluster 1 Dist]:[Cluster 3 Dist]],0)</f>
        <v>1</v>
      </c>
      <c r="AB72">
        <f t="shared" si="4"/>
        <v>61</v>
      </c>
      <c r="AC72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235.04721828845754</v>
      </c>
      <c r="AD72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1424.1287293748194</v>
      </c>
      <c r="AE72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391.00560092490804</v>
      </c>
    </row>
    <row r="73" spans="2:31" x14ac:dyDescent="0.3">
      <c r="B73">
        <f t="shared" si="5"/>
        <v>71</v>
      </c>
      <c r="C73">
        <v>367</v>
      </c>
      <c r="D73">
        <v>188</v>
      </c>
      <c r="E73">
        <v>187</v>
      </c>
      <c r="F73">
        <v>3800</v>
      </c>
      <c r="G73">
        <v>0</v>
      </c>
      <c r="K73">
        <f>MATCH(MIN(Table4[[#This Row],[Cluster 1 Dist]:[Cluster 3 Dist]]),Table4[[#This Row],[Cluster 1 Dist]:[Cluster 3 Dist]],0)</f>
        <v>2</v>
      </c>
      <c r="L73">
        <f t="shared" si="2"/>
        <v>62</v>
      </c>
      <c r="M73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602.41928919980637</v>
      </c>
      <c r="N73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254.97646950257979</v>
      </c>
      <c r="O73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362.78092562867744</v>
      </c>
      <c r="T73">
        <f>MATCH(MIN(Table48[[#This Row],[Cluster 1 Dist]:[Cluster 3 Dist]]),Table48[[#This Row],[Cluster 1 Dist]:[Cluster 3 Dist]],0)</f>
        <v>3</v>
      </c>
      <c r="U73">
        <f t="shared" si="3"/>
        <v>62</v>
      </c>
      <c r="V73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814.0331135827231</v>
      </c>
      <c r="W73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617.04911866210591</v>
      </c>
      <c r="X73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302.35787789725396</v>
      </c>
      <c r="AA73">
        <f>MATCH(MIN(Table4810[[#This Row],[Cluster 1 Dist]:[Cluster 3 Dist]]),Table4810[[#This Row],[Cluster 1 Dist]:[Cluster 3 Dist]],0)</f>
        <v>3</v>
      </c>
      <c r="AB73">
        <f t="shared" si="4"/>
        <v>62</v>
      </c>
      <c r="AC73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838.15472736187257</v>
      </c>
      <c r="AD73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826.13932588634395</v>
      </c>
      <c r="AE73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225.93526032784362</v>
      </c>
    </row>
    <row r="74" spans="2:31" x14ac:dyDescent="0.3">
      <c r="B74">
        <f t="shared" si="5"/>
        <v>72</v>
      </c>
      <c r="C74">
        <v>351</v>
      </c>
      <c r="D74">
        <v>194</v>
      </c>
      <c r="E74">
        <v>193</v>
      </c>
      <c r="F74">
        <v>4200</v>
      </c>
      <c r="G74">
        <v>1</v>
      </c>
      <c r="K74">
        <f>MATCH(MIN(Table4[[#This Row],[Cluster 1 Dist]:[Cluster 3 Dist]]),Table4[[#This Row],[Cluster 1 Dist]:[Cluster 3 Dist]],0)</f>
        <v>3</v>
      </c>
      <c r="L74">
        <f t="shared" si="2"/>
        <v>63</v>
      </c>
      <c r="M74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158.97169559390125</v>
      </c>
      <c r="N74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703.33917849071941</v>
      </c>
      <c r="O74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102.2985825903761</v>
      </c>
      <c r="T74">
        <f>MATCH(MIN(Table48[[#This Row],[Cluster 1 Dist]:[Cluster 3 Dist]]),Table48[[#This Row],[Cluster 1 Dist]:[Cluster 3 Dist]],0)</f>
        <v>3</v>
      </c>
      <c r="U74">
        <f t="shared" si="3"/>
        <v>63</v>
      </c>
      <c r="V74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360.38932498721192</v>
      </c>
      <c r="W74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1064.3119382823788</v>
      </c>
      <c r="X74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161.75917032327226</v>
      </c>
      <c r="AA74">
        <f>MATCH(MIN(Table4810[[#This Row],[Cluster 1 Dist]:[Cluster 3 Dist]]),Table4810[[#This Row],[Cluster 1 Dist]:[Cluster 3 Dist]],0)</f>
        <v>3</v>
      </c>
      <c r="AB74">
        <f t="shared" si="4"/>
        <v>63</v>
      </c>
      <c r="AC74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383.50650359987731</v>
      </c>
      <c r="AD74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1275.615084306465</v>
      </c>
      <c r="AE74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241.77866492267538</v>
      </c>
    </row>
    <row r="75" spans="2:31" x14ac:dyDescent="0.3">
      <c r="B75">
        <f t="shared" si="5"/>
        <v>73</v>
      </c>
      <c r="C75">
        <v>373</v>
      </c>
      <c r="D75">
        <v>178</v>
      </c>
      <c r="E75">
        <v>191</v>
      </c>
      <c r="F75">
        <v>3350</v>
      </c>
      <c r="G75">
        <v>0</v>
      </c>
      <c r="K75">
        <f>MATCH(MIN(Table4[[#This Row],[Cluster 1 Dist]:[Cluster 3 Dist]]),Table4[[#This Row],[Cluster 1 Dist]:[Cluster 3 Dist]],0)</f>
        <v>2</v>
      </c>
      <c r="L75">
        <f t="shared" si="2"/>
        <v>64</v>
      </c>
      <c r="M75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700.4491416227163</v>
      </c>
      <c r="N75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152.97385397511562</v>
      </c>
      <c r="O75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454.80765165067311</v>
      </c>
      <c r="T75">
        <f>MATCH(MIN(Table48[[#This Row],[Cluster 1 Dist]:[Cluster 3 Dist]]),Table48[[#This Row],[Cluster 1 Dist]:[Cluster 3 Dist]],0)</f>
        <v>3</v>
      </c>
      <c r="U75">
        <f t="shared" si="3"/>
        <v>64</v>
      </c>
      <c r="V75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911.13598254928513</v>
      </c>
      <c r="W75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515.1075164036564</v>
      </c>
      <c r="X75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393.76410710070627</v>
      </c>
      <c r="AA75">
        <f>MATCH(MIN(Table4810[[#This Row],[Cluster 1 Dist]:[Cluster 3 Dist]]),Table4810[[#This Row],[Cluster 1 Dist]:[Cluster 3 Dist]],0)</f>
        <v>3</v>
      </c>
      <c r="AB75">
        <f t="shared" si="4"/>
        <v>64</v>
      </c>
      <c r="AC75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935.03564175216388</v>
      </c>
      <c r="AD75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725.12993225535467</v>
      </c>
      <c r="AE75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314.34915218345685</v>
      </c>
    </row>
    <row r="76" spans="2:31" x14ac:dyDescent="0.3">
      <c r="B76">
        <f t="shared" si="5"/>
        <v>74</v>
      </c>
      <c r="C76">
        <v>413</v>
      </c>
      <c r="D76">
        <v>203</v>
      </c>
      <c r="E76">
        <v>194</v>
      </c>
      <c r="F76">
        <v>3550</v>
      </c>
      <c r="G76">
        <v>1</v>
      </c>
      <c r="K76">
        <f>MATCH(MIN(Table4[[#This Row],[Cluster 1 Dist]:[Cluster 3 Dist]]),Table4[[#This Row],[Cluster 1 Dist]:[Cluster 3 Dist]],0)</f>
        <v>3</v>
      </c>
      <c r="L76">
        <f t="shared" si="2"/>
        <v>65</v>
      </c>
      <c r="M76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151.32085117392117</v>
      </c>
      <c r="N76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701.34299739856249</v>
      </c>
      <c r="O76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113.34460728239345</v>
      </c>
      <c r="T76">
        <f>MATCH(MIN(Table48[[#This Row],[Cluster 1 Dist]:[Cluster 3 Dist]]),Table48[[#This Row],[Cluster 1 Dist]:[Cluster 3 Dist]],0)</f>
        <v>3</v>
      </c>
      <c r="U76">
        <f t="shared" si="3"/>
        <v>65</v>
      </c>
      <c r="V76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360.88536038819308</v>
      </c>
      <c r="W76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1063.2026161369681</v>
      </c>
      <c r="X76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164.13078595424784</v>
      </c>
      <c r="AA76">
        <f>MATCH(MIN(Table4810[[#This Row],[Cluster 1 Dist]:[Cluster 3 Dist]]),Table4810[[#This Row],[Cluster 1 Dist]:[Cluster 3 Dist]],0)</f>
        <v>3</v>
      </c>
      <c r="AB76">
        <f t="shared" si="4"/>
        <v>65</v>
      </c>
      <c r="AC76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384.9801226364055</v>
      </c>
      <c r="AD76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1274.0166799710419</v>
      </c>
      <c r="AE76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242.65285600230845</v>
      </c>
    </row>
    <row r="77" spans="2:31" x14ac:dyDescent="0.3">
      <c r="B77">
        <f t="shared" si="5"/>
        <v>75</v>
      </c>
      <c r="C77">
        <v>363</v>
      </c>
      <c r="D77">
        <v>195</v>
      </c>
      <c r="E77">
        <v>190</v>
      </c>
      <c r="F77">
        <v>3800</v>
      </c>
      <c r="G77">
        <v>1</v>
      </c>
      <c r="K77">
        <f>MATCH(MIN(Table4[[#This Row],[Cluster 1 Dist]:[Cluster 3 Dist]]),Table4[[#This Row],[Cluster 1 Dist]:[Cluster 3 Dist]],0)</f>
        <v>3</v>
      </c>
      <c r="L77">
        <f t="shared" si="2"/>
        <v>66</v>
      </c>
      <c r="M7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351.73996076647308</v>
      </c>
      <c r="N7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502.0866459088511</v>
      </c>
      <c r="O7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100.58826969383657</v>
      </c>
      <c r="T77">
        <f>MATCH(MIN(Table48[[#This Row],[Cluster 1 Dist]:[Cluster 3 Dist]]),Table48[[#This Row],[Cluster 1 Dist]:[Cluster 3 Dist]],0)</f>
        <v>3</v>
      </c>
      <c r="U77">
        <f t="shared" si="3"/>
        <v>66</v>
      </c>
      <c r="V7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560.61754451792171</v>
      </c>
      <c r="W7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864.86608073964771</v>
      </c>
      <c r="X7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49.159513373324359</v>
      </c>
      <c r="AA77">
        <f>MATCH(MIN(Table4810[[#This Row],[Cluster 1 Dist]:[Cluster 3 Dist]]),Table4810[[#This Row],[Cluster 1 Dist]:[Cluster 3 Dist]],0)</f>
        <v>3</v>
      </c>
      <c r="AB77">
        <f t="shared" si="4"/>
        <v>66</v>
      </c>
      <c r="AC7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584.07520662929608</v>
      </c>
      <c r="AD7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1076.0282470807488</v>
      </c>
      <c r="AE7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51.619477242984487</v>
      </c>
    </row>
    <row r="78" spans="2:31" x14ac:dyDescent="0.3">
      <c r="B78">
        <f t="shared" si="5"/>
        <v>76</v>
      </c>
      <c r="C78">
        <v>369</v>
      </c>
      <c r="D78">
        <v>186</v>
      </c>
      <c r="E78">
        <v>189</v>
      </c>
      <c r="F78">
        <v>3500</v>
      </c>
      <c r="G78">
        <v>0</v>
      </c>
      <c r="K78">
        <f>MATCH(MIN(Table4[[#This Row],[Cluster 1 Dist]:[Cluster 3 Dist]]),Table4[[#This Row],[Cluster 1 Dist]:[Cluster 3 Dist]],0)</f>
        <v>1</v>
      </c>
      <c r="L78">
        <f t="shared" si="2"/>
        <v>67</v>
      </c>
      <c r="M78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50.774009099144415</v>
      </c>
      <c r="N78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853.03341083453461</v>
      </c>
      <c r="O78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252.32320543303186</v>
      </c>
      <c r="T78">
        <f>MATCH(MIN(Table48[[#This Row],[Cluster 1 Dist]:[Cluster 3 Dist]]),Table48[[#This Row],[Cluster 1 Dist]:[Cluster 3 Dist]],0)</f>
        <v>1</v>
      </c>
      <c r="U78">
        <f t="shared" si="3"/>
        <v>67</v>
      </c>
      <c r="V78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209.73576668600072</v>
      </c>
      <c r="W78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1213.6906977855544</v>
      </c>
      <c r="X78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310.73231573303769</v>
      </c>
      <c r="AA78">
        <f>MATCH(MIN(Table4810[[#This Row],[Cluster 1 Dist]:[Cluster 3 Dist]]),Table4810[[#This Row],[Cluster 1 Dist]:[Cluster 3 Dist]],0)</f>
        <v>1</v>
      </c>
      <c r="AB78">
        <f t="shared" si="4"/>
        <v>67</v>
      </c>
      <c r="AC78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232.86112496677927</v>
      </c>
      <c r="AD78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1424.9049887174349</v>
      </c>
      <c r="AE78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390.87809444448692</v>
      </c>
    </row>
    <row r="79" spans="2:31" x14ac:dyDescent="0.3">
      <c r="B79">
        <f t="shared" si="5"/>
        <v>77</v>
      </c>
      <c r="C79">
        <v>383</v>
      </c>
      <c r="D79">
        <v>192</v>
      </c>
      <c r="E79">
        <v>189</v>
      </c>
      <c r="F79">
        <v>3950</v>
      </c>
      <c r="G79">
        <v>1</v>
      </c>
      <c r="K79">
        <f>MATCH(MIN(Table4[[#This Row],[Cluster 1 Dist]:[Cluster 3 Dist]]),Table4[[#This Row],[Cluster 1 Dist]:[Cluster 3 Dist]],0)</f>
        <v>3</v>
      </c>
      <c r="L79">
        <f t="shared" si="2"/>
        <v>68</v>
      </c>
      <c r="M79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450.43756504092772</v>
      </c>
      <c r="N79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400.57958010862211</v>
      </c>
      <c r="O79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208.33866659840174</v>
      </c>
      <c r="T79">
        <f>MATCH(MIN(Table48[[#This Row],[Cluster 1 Dist]:[Cluster 3 Dist]]),Table48[[#This Row],[Cluster 1 Dist]:[Cluster 3 Dist]],0)</f>
        <v>3</v>
      </c>
      <c r="U79">
        <f t="shared" si="3"/>
        <v>68</v>
      </c>
      <c r="V79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661.71534124385039</v>
      </c>
      <c r="W79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764.47750939215609</v>
      </c>
      <c r="X79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149.25883763531374</v>
      </c>
      <c r="AA79">
        <f>MATCH(MIN(Table4810[[#This Row],[Cluster 1 Dist]:[Cluster 3 Dist]]),Table4810[[#This Row],[Cluster 1 Dist]:[Cluster 3 Dist]],0)</f>
        <v>3</v>
      </c>
      <c r="AB79">
        <f t="shared" si="4"/>
        <v>68</v>
      </c>
      <c r="AC79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685.66223085798003</v>
      </c>
      <c r="AD79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974.9666419417797</v>
      </c>
      <c r="AE79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78.555342653510479</v>
      </c>
    </row>
    <row r="80" spans="2:31" x14ac:dyDescent="0.3">
      <c r="B80">
        <f t="shared" si="5"/>
        <v>78</v>
      </c>
      <c r="C80">
        <v>389</v>
      </c>
      <c r="D80">
        <v>188</v>
      </c>
      <c r="E80">
        <v>190</v>
      </c>
      <c r="F80">
        <v>3600</v>
      </c>
      <c r="G80">
        <v>0</v>
      </c>
      <c r="K80">
        <f>MATCH(MIN(Table4[[#This Row],[Cluster 1 Dist]:[Cluster 3 Dist]]),Table4[[#This Row],[Cluster 1 Dist]:[Cluster 3 Dist]],0)</f>
        <v>1</v>
      </c>
      <c r="L80">
        <f t="shared" ref="L80:L143" si="6">1+L79</f>
        <v>69</v>
      </c>
      <c r="M80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355.4335380911599</v>
      </c>
      <c r="N80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1202.5169437475715</v>
      </c>
      <c r="O80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600.68294465549798</v>
      </c>
      <c r="T80">
        <f>MATCH(MIN(Table48[[#This Row],[Cluster 1 Dist]:[Cluster 3 Dist]]),Table48[[#This Row],[Cluster 1 Dist]:[Cluster 3 Dist]],0)</f>
        <v>1</v>
      </c>
      <c r="U80">
        <f t="shared" ref="U80:U143" si="7">1+U79</f>
        <v>69</v>
      </c>
      <c r="V80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145.36540829363318</v>
      </c>
      <c r="W80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1564.0976492616564</v>
      </c>
      <c r="X80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660.99805535543987</v>
      </c>
      <c r="AA80">
        <f>MATCH(MIN(Table4810[[#This Row],[Cluster 1 Dist]:[Cluster 3 Dist]]),Table4810[[#This Row],[Cluster 1 Dist]:[Cluster 3 Dist]],0)</f>
        <v>1</v>
      </c>
      <c r="AB80">
        <f t="shared" ref="AB80:AB143" si="8">1+AB79</f>
        <v>69</v>
      </c>
      <c r="AC80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121.15674019511657</v>
      </c>
      <c r="AD80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1775.341686432266</v>
      </c>
      <c r="AE80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741.19508321576154</v>
      </c>
    </row>
    <row r="81" spans="2:31" x14ac:dyDescent="0.3">
      <c r="B81">
        <f t="shared" si="5"/>
        <v>79</v>
      </c>
      <c r="C81">
        <v>357</v>
      </c>
      <c r="D81">
        <v>18</v>
      </c>
      <c r="E81">
        <v>202</v>
      </c>
      <c r="F81">
        <v>3550</v>
      </c>
      <c r="G81">
        <v>0</v>
      </c>
      <c r="K81">
        <f>MATCH(MIN(Table4[[#This Row],[Cluster 1 Dist]:[Cluster 3 Dist]]),Table4[[#This Row],[Cluster 1 Dist]:[Cluster 3 Dist]],0)</f>
        <v>2</v>
      </c>
      <c r="L81">
        <f t="shared" si="6"/>
        <v>70</v>
      </c>
      <c r="M81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1150.3469041989028</v>
      </c>
      <c r="N81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302.45991469945238</v>
      </c>
      <c r="O81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902.63669324928287</v>
      </c>
      <c r="T81">
        <f>MATCH(MIN(Table48[[#This Row],[Cluster 1 Dist]:[Cluster 3 Dist]]),Table48[[#This Row],[Cluster 1 Dist]:[Cluster 3 Dist]],0)</f>
        <v>2</v>
      </c>
      <c r="U81">
        <f t="shared" si="7"/>
        <v>70</v>
      </c>
      <c r="V81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1360.3221769715797</v>
      </c>
      <c r="W81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75.410172056579597</v>
      </c>
      <c r="X81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841.48328260159712</v>
      </c>
      <c r="AA81">
        <f>MATCH(MIN(Table4810[[#This Row],[Cluster 1 Dist]:[Cluster 3 Dist]]),Table4810[[#This Row],[Cluster 1 Dist]:[Cluster 3 Dist]],0)</f>
        <v>2</v>
      </c>
      <c r="AB81">
        <f t="shared" si="8"/>
        <v>70</v>
      </c>
      <c r="AC81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1384.11595519806</v>
      </c>
      <c r="AD81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276.31495236275322</v>
      </c>
      <c r="AE81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761.38205724688953</v>
      </c>
    </row>
    <row r="82" spans="2:31" x14ac:dyDescent="0.3">
      <c r="B82">
        <f t="shared" si="5"/>
        <v>80</v>
      </c>
      <c r="C82">
        <v>411</v>
      </c>
      <c r="D82">
        <v>181</v>
      </c>
      <c r="E82">
        <v>205</v>
      </c>
      <c r="F82">
        <v>4300</v>
      </c>
      <c r="G82">
        <v>1</v>
      </c>
      <c r="K82">
        <f>MATCH(MIN(Table4[[#This Row],[Cluster 1 Dist]:[Cluster 3 Dist]]),Table4[[#This Row],[Cluster 1 Dist]:[Cluster 3 Dist]],0)</f>
        <v>3</v>
      </c>
      <c r="L82">
        <f t="shared" si="6"/>
        <v>71</v>
      </c>
      <c r="M82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253.06520898772317</v>
      </c>
      <c r="N82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602.25409919734045</v>
      </c>
      <c r="O82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8.6602540378443873</v>
      </c>
      <c r="T82">
        <f>MATCH(MIN(Table48[[#This Row],[Cluster 1 Dist]:[Cluster 3 Dist]]),Table48[[#This Row],[Cluster 1 Dist]:[Cluster 3 Dist]],0)</f>
        <v>3</v>
      </c>
      <c r="U82">
        <f t="shared" si="7"/>
        <v>71</v>
      </c>
      <c r="V82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460.50883244152595</v>
      </c>
      <c r="W82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964.48623834173623</v>
      </c>
      <c r="X82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64.757574610139102</v>
      </c>
      <c r="AA82">
        <f>MATCH(MIN(Table4810[[#This Row],[Cluster 1 Dist]:[Cluster 3 Dist]]),Table4810[[#This Row],[Cluster 1 Dist]:[Cluster 3 Dist]],0)</f>
        <v>3</v>
      </c>
      <c r="AB82">
        <f t="shared" si="8"/>
        <v>71</v>
      </c>
      <c r="AC82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483.88459731716404</v>
      </c>
      <c r="AD82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1175.7143591319677</v>
      </c>
      <c r="AE82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143.03282657648217</v>
      </c>
    </row>
    <row r="83" spans="2:31" x14ac:dyDescent="0.3">
      <c r="B83">
        <f t="shared" si="5"/>
        <v>81</v>
      </c>
      <c r="C83">
        <v>34</v>
      </c>
      <c r="D83">
        <v>171</v>
      </c>
      <c r="E83">
        <v>185</v>
      </c>
      <c r="F83">
        <v>3400</v>
      </c>
      <c r="G83">
        <v>0</v>
      </c>
      <c r="K83">
        <f>MATCH(MIN(Table4[[#This Row],[Cluster 1 Dist]:[Cluster 3 Dist]]),Table4[[#This Row],[Cluster 1 Dist]:[Cluster 3 Dist]],0)</f>
        <v>2</v>
      </c>
      <c r="L83">
        <f t="shared" si="6"/>
        <v>72</v>
      </c>
      <c r="M83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652.44846539784271</v>
      </c>
      <c r="N83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210.0880767678166</v>
      </c>
      <c r="O83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400.19245370196575</v>
      </c>
      <c r="T83">
        <f>MATCH(MIN(Table48[[#This Row],[Cluster 1 Dist]:[Cluster 3 Dist]]),Table48[[#This Row],[Cluster 1 Dist]:[Cluster 3 Dist]],0)</f>
        <v>3</v>
      </c>
      <c r="U83">
        <f t="shared" si="7"/>
        <v>72</v>
      </c>
      <c r="V83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860.44549825292711</v>
      </c>
      <c r="W83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567.10809819619192</v>
      </c>
      <c r="X83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341.5168693356398</v>
      </c>
      <c r="AA83">
        <f>MATCH(MIN(Table4810[[#This Row],[Cluster 1 Dist]:[Cluster 3 Dist]]),Table4810[[#This Row],[Cluster 1 Dist]:[Cluster 3 Dist]],0)</f>
        <v>3</v>
      </c>
      <c r="AB83">
        <f t="shared" si="8"/>
        <v>72</v>
      </c>
      <c r="AC83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883.76027098092175</v>
      </c>
      <c r="AD83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778.20463873491883</v>
      </c>
      <c r="AE83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262.50017497024737</v>
      </c>
    </row>
    <row r="84" spans="2:31" x14ac:dyDescent="0.3">
      <c r="B84">
        <f t="shared" si="5"/>
        <v>82</v>
      </c>
      <c r="C84">
        <v>396</v>
      </c>
      <c r="D84">
        <v>181</v>
      </c>
      <c r="E84">
        <v>186</v>
      </c>
      <c r="F84">
        <v>4450</v>
      </c>
      <c r="G84">
        <v>1</v>
      </c>
      <c r="K84">
        <f>MATCH(MIN(Table4[[#This Row],[Cluster 1 Dist]:[Cluster 3 Dist]]),Table4[[#This Row],[Cluster 1 Dist]:[Cluster 3 Dist]],0)</f>
        <v>1</v>
      </c>
      <c r="L84">
        <f t="shared" si="6"/>
        <v>73</v>
      </c>
      <c r="M84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203.02216627747819</v>
      </c>
      <c r="N84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1051.2877817229685</v>
      </c>
      <c r="O84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450.43423493335848</v>
      </c>
      <c r="T84">
        <f>MATCH(MIN(Table48[[#This Row],[Cluster 1 Dist]:[Cluster 3 Dist]]),Table48[[#This Row],[Cluster 1 Dist]:[Cluster 3 Dist]],0)</f>
        <v>1</v>
      </c>
      <c r="U84">
        <f t="shared" si="7"/>
        <v>73</v>
      </c>
      <c r="V84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26.760080873843677</v>
      </c>
      <c r="W84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1413.5441452198249</v>
      </c>
      <c r="X84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510.49063294690376</v>
      </c>
      <c r="AA84">
        <f>MATCH(MIN(Table4810[[#This Row],[Cluster 1 Dist]:[Cluster 3 Dist]]),Table4810[[#This Row],[Cluster 1 Dist]:[Cluster 3 Dist]],0)</f>
        <v>1</v>
      </c>
      <c r="AB84">
        <f t="shared" si="8"/>
        <v>73</v>
      </c>
      <c r="AC84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41.364225762944834</v>
      </c>
      <c r="AD84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1624.6709532468067</v>
      </c>
      <c r="AE84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590.6612186293795</v>
      </c>
    </row>
    <row r="85" spans="2:31" x14ac:dyDescent="0.3">
      <c r="B85">
        <f t="shared" si="5"/>
        <v>83</v>
      </c>
      <c r="C85">
        <v>362</v>
      </c>
      <c r="D85">
        <v>173</v>
      </c>
      <c r="E85">
        <v>187</v>
      </c>
      <c r="F85">
        <v>3300</v>
      </c>
      <c r="G85">
        <v>0</v>
      </c>
      <c r="K85">
        <f>MATCH(MIN(Table4[[#This Row],[Cluster 1 Dist]:[Cluster 3 Dist]]),Table4[[#This Row],[Cluster 1 Dist]:[Cluster 3 Dist]],0)</f>
        <v>1</v>
      </c>
      <c r="L85">
        <f t="shared" si="6"/>
        <v>74</v>
      </c>
      <c r="M85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21.42428528562855</v>
      </c>
      <c r="N85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850.03823443419299</v>
      </c>
      <c r="O85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255.10782034269354</v>
      </c>
      <c r="T85">
        <f>MATCH(MIN(Table48[[#This Row],[Cluster 1 Dist]:[Cluster 3 Dist]]),Table48[[#This Row],[Cluster 1 Dist]:[Cluster 3 Dist]],0)</f>
        <v>1</v>
      </c>
      <c r="U85">
        <f t="shared" si="7"/>
        <v>74</v>
      </c>
      <c r="V85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218.11782310636022</v>
      </c>
      <c r="W85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1214.2753251782444</v>
      </c>
      <c r="X85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314.86137636510847</v>
      </c>
      <c r="AA85">
        <f>MATCH(MIN(Table4810[[#This Row],[Cluster 1 Dist]:[Cluster 3 Dist]]),Table4810[[#This Row],[Cluster 1 Dist]:[Cluster 3 Dist]],0)</f>
        <v>1</v>
      </c>
      <c r="AB85">
        <f t="shared" si="8"/>
        <v>74</v>
      </c>
      <c r="AC85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241.99923472554724</v>
      </c>
      <c r="AD85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1425.0114325984255</v>
      </c>
      <c r="AE85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394.00700858206989</v>
      </c>
    </row>
    <row r="86" spans="2:31" x14ac:dyDescent="0.3">
      <c r="B86">
        <f t="shared" si="5"/>
        <v>84</v>
      </c>
      <c r="C86">
        <v>408</v>
      </c>
      <c r="D86">
        <v>189</v>
      </c>
      <c r="E86">
        <v>208</v>
      </c>
      <c r="F86">
        <v>4300</v>
      </c>
      <c r="G86">
        <v>1</v>
      </c>
      <c r="K86">
        <f>MATCH(MIN(Table4[[#This Row],[Cluster 1 Dist]:[Cluster 3 Dist]]),Table4[[#This Row],[Cluster 1 Dist]:[Cluster 3 Dist]],0)</f>
        <v>3</v>
      </c>
      <c r="L86">
        <f t="shared" si="6"/>
        <v>75</v>
      </c>
      <c r="M86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253.92715490864697</v>
      </c>
      <c r="N86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602.31304153239114</v>
      </c>
      <c r="O86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0</v>
      </c>
      <c r="T86">
        <f>MATCH(MIN(Table48[[#This Row],[Cluster 1 Dist]:[Cluster 3 Dist]]),Table48[[#This Row],[Cluster 1 Dist]:[Cluster 3 Dist]],0)</f>
        <v>3</v>
      </c>
      <c r="U86">
        <f t="shared" si="7"/>
        <v>75</v>
      </c>
      <c r="V86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461.18905489247794</v>
      </c>
      <c r="W86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964.90486423268658</v>
      </c>
      <c r="X86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67.663246285994589</v>
      </c>
      <c r="AA86">
        <f>MATCH(MIN(Table4810[[#This Row],[Cluster 1 Dist]:[Cluster 3 Dist]]),Table4810[[#This Row],[Cluster 1 Dist]:[Cluster 3 Dist]],0)</f>
        <v>3</v>
      </c>
      <c r="AB86">
        <f t="shared" si="8"/>
        <v>75</v>
      </c>
      <c r="AC86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484.47710409302033</v>
      </c>
      <c r="AD86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1176.1368127111314</v>
      </c>
      <c r="AE86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144.53195050421641</v>
      </c>
    </row>
    <row r="87" spans="2:31" x14ac:dyDescent="0.3">
      <c r="B87">
        <f t="shared" si="5"/>
        <v>85</v>
      </c>
      <c r="C87">
        <v>381</v>
      </c>
      <c r="D87">
        <v>186</v>
      </c>
      <c r="E87">
        <v>190</v>
      </c>
      <c r="F87">
        <v>3700</v>
      </c>
      <c r="G87">
        <v>0</v>
      </c>
      <c r="K87">
        <f>MATCH(MIN(Table4[[#This Row],[Cluster 1 Dist]:[Cluster 3 Dist]]),Table4[[#This Row],[Cluster 1 Dist]:[Cluster 3 Dist]],0)</f>
        <v>1</v>
      </c>
      <c r="L87">
        <f t="shared" si="6"/>
        <v>76</v>
      </c>
      <c r="M8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62.497999967998979</v>
      </c>
      <c r="N8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901.44217784614455</v>
      </c>
      <c r="O8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300.19826781645492</v>
      </c>
      <c r="T87">
        <f>MATCH(MIN(Table48[[#This Row],[Cluster 1 Dist]:[Cluster 3 Dist]]),Table48[[#This Row],[Cluster 1 Dist]:[Cluster 3 Dist]],0)</f>
        <v>1</v>
      </c>
      <c r="U87">
        <f t="shared" si="7"/>
        <v>76</v>
      </c>
      <c r="V8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162.6109595033399</v>
      </c>
      <c r="W8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1263.9619154676191</v>
      </c>
      <c r="X8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360.94051830613574</v>
      </c>
      <c r="AA87">
        <f>MATCH(MIN(Table4810[[#This Row],[Cluster 1 Dist]:[Cluster 3 Dist]]),Table4810[[#This Row],[Cluster 1 Dist]:[Cluster 3 Dist]],0)</f>
        <v>1</v>
      </c>
      <c r="AB87">
        <f t="shared" si="8"/>
        <v>76</v>
      </c>
      <c r="AC8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185.57150045646435</v>
      </c>
      <c r="AD8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1475.1392902034606</v>
      </c>
      <c r="AE8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441.1210275049574</v>
      </c>
    </row>
    <row r="88" spans="2:31" x14ac:dyDescent="0.3">
      <c r="B88">
        <f t="shared" si="5"/>
        <v>86</v>
      </c>
      <c r="C88">
        <v>403</v>
      </c>
      <c r="D88">
        <v>185</v>
      </c>
      <c r="E88">
        <v>196</v>
      </c>
      <c r="F88">
        <v>4350</v>
      </c>
      <c r="G88">
        <v>1</v>
      </c>
      <c r="K88">
        <f>MATCH(MIN(Table4[[#This Row],[Cluster 1 Dist]:[Cluster 3 Dist]]),Table4[[#This Row],[Cluster 1 Dist]:[Cluster 3 Dist]],0)</f>
        <v>3</v>
      </c>
      <c r="L88">
        <f t="shared" si="6"/>
        <v>77</v>
      </c>
      <c r="M88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400.75054585115663</v>
      </c>
      <c r="N88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451.43881091461333</v>
      </c>
      <c r="O88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151.36049682793725</v>
      </c>
      <c r="T88">
        <f>MATCH(MIN(Table48[[#This Row],[Cluster 1 Dist]:[Cluster 3 Dist]]),Table48[[#This Row],[Cluster 1 Dist]:[Cluster 3 Dist]],0)</f>
        <v>3</v>
      </c>
      <c r="U88">
        <f t="shared" si="7"/>
        <v>77</v>
      </c>
      <c r="V88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610.36484445167378</v>
      </c>
      <c r="W88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814.45390256056669</v>
      </c>
      <c r="X88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93.666890236255028</v>
      </c>
      <c r="AA88">
        <f>MATCH(MIN(Table4810[[#This Row],[Cluster 1 Dist]:[Cluster 3 Dist]]),Table4810[[#This Row],[Cluster 1 Dist]:[Cluster 3 Dist]],0)</f>
        <v>3</v>
      </c>
      <c r="AB88">
        <f t="shared" si="8"/>
        <v>77</v>
      </c>
      <c r="AC88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633.9631377631772</v>
      </c>
      <c r="AD88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1025.5385458692492</v>
      </c>
      <c r="AE88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30.359417655199081</v>
      </c>
    </row>
    <row r="89" spans="2:31" x14ac:dyDescent="0.3">
      <c r="B89">
        <f t="shared" si="5"/>
        <v>87</v>
      </c>
      <c r="C89">
        <v>331</v>
      </c>
      <c r="D89">
        <v>161</v>
      </c>
      <c r="E89">
        <v>178</v>
      </c>
      <c r="F89">
        <v>2900</v>
      </c>
      <c r="G89">
        <v>0</v>
      </c>
      <c r="K89">
        <f>MATCH(MIN(Table4[[#This Row],[Cluster 1 Dist]:[Cluster 3 Dist]]),Table4[[#This Row],[Cluster 1 Dist]:[Cluster 3 Dist]],0)</f>
        <v>1</v>
      </c>
      <c r="L89">
        <f t="shared" si="6"/>
        <v>78</v>
      </c>
      <c r="M89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53.319789947073126</v>
      </c>
      <c r="N89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800.70656298047163</v>
      </c>
      <c r="O89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201.80683833805037</v>
      </c>
      <c r="T89">
        <f>MATCH(MIN(Table48[[#This Row],[Cluster 1 Dist]:[Cluster 3 Dist]]),Table48[[#This Row],[Cluster 1 Dist]:[Cluster 3 Dist]],0)</f>
        <v>3</v>
      </c>
      <c r="U89">
        <f t="shared" si="7"/>
        <v>78</v>
      </c>
      <c r="V89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261.73216881193815</v>
      </c>
      <c r="W89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1163.7431460125497</v>
      </c>
      <c r="X89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261.67013156854938</v>
      </c>
      <c r="AA89">
        <f>MATCH(MIN(Table4810[[#This Row],[Cluster 1 Dist]:[Cluster 3 Dist]]),Table4810[[#This Row],[Cluster 1 Dist]:[Cluster 3 Dist]],0)</f>
        <v>1</v>
      </c>
      <c r="AB89">
        <f t="shared" si="8"/>
        <v>78</v>
      </c>
      <c r="AC89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285.46578878084892</v>
      </c>
      <c r="AD89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1374.7707632654135</v>
      </c>
      <c r="AE89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341.53582947004452</v>
      </c>
    </row>
    <row r="90" spans="2:31" x14ac:dyDescent="0.3">
      <c r="B90">
        <f t="shared" si="5"/>
        <v>88</v>
      </c>
      <c r="C90">
        <v>432</v>
      </c>
      <c r="D90">
        <v>185</v>
      </c>
      <c r="E90">
        <v>192</v>
      </c>
      <c r="F90">
        <v>4100</v>
      </c>
      <c r="G90">
        <v>1</v>
      </c>
      <c r="K90">
        <f>MATCH(MIN(Table4[[#This Row],[Cluster 1 Dist]:[Cluster 3 Dist]]),Table4[[#This Row],[Cluster 1 Dist]:[Cluster 3 Dist]],0)</f>
        <v>1</v>
      </c>
      <c r="L90">
        <f t="shared" si="6"/>
        <v>79</v>
      </c>
      <c r="M90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176.03124722616721</v>
      </c>
      <c r="N90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873.46150458964132</v>
      </c>
      <c r="O90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306.61050210323845</v>
      </c>
      <c r="T90">
        <f>MATCH(MIN(Table48[[#This Row],[Cluster 1 Dist]:[Cluster 3 Dist]]),Table48[[#This Row],[Cluster 1 Dist]:[Cluster 3 Dist]],0)</f>
        <v>1</v>
      </c>
      <c r="U90">
        <f t="shared" si="7"/>
        <v>79</v>
      </c>
      <c r="V90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250.07766654004109</v>
      </c>
      <c r="W90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1220.4911732374767</v>
      </c>
      <c r="X90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344.71619885799089</v>
      </c>
      <c r="AA90">
        <f>MATCH(MIN(Table4810[[#This Row],[Cluster 1 Dist]:[Cluster 3 Dist]]),Table4810[[#This Row],[Cluster 1 Dist]:[Cluster 3 Dist]],0)</f>
        <v>1</v>
      </c>
      <c r="AB90">
        <f t="shared" si="8"/>
        <v>79</v>
      </c>
      <c r="AC90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269.55248589324634</v>
      </c>
      <c r="AD90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1430.1941891409904</v>
      </c>
      <c r="AE90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417.60913481203687</v>
      </c>
    </row>
    <row r="91" spans="2:31" x14ac:dyDescent="0.3">
      <c r="B91">
        <f t="shared" si="5"/>
        <v>89</v>
      </c>
      <c r="C91">
        <v>35</v>
      </c>
      <c r="D91">
        <v>179</v>
      </c>
      <c r="E91">
        <v>192</v>
      </c>
      <c r="F91">
        <v>3725</v>
      </c>
      <c r="G91">
        <v>0</v>
      </c>
      <c r="K91">
        <f>MATCH(MIN(Table4[[#This Row],[Cluster 1 Dist]:[Cluster 3 Dist]]),Table4[[#This Row],[Cluster 1 Dist]:[Cluster 3 Dist]],0)</f>
        <v>2</v>
      </c>
      <c r="L91">
        <f t="shared" si="6"/>
        <v>80</v>
      </c>
      <c r="M91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750.35591554941448</v>
      </c>
      <c r="N91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104.89995233554684</v>
      </c>
      <c r="O91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502.71761457104327</v>
      </c>
      <c r="T91">
        <f>MATCH(MIN(Table48[[#This Row],[Cluster 1 Dist]:[Cluster 3 Dist]]),Table48[[#This Row],[Cluster 1 Dist]:[Cluster 3 Dist]],0)</f>
        <v>3</v>
      </c>
      <c r="U91">
        <f t="shared" si="7"/>
        <v>80</v>
      </c>
      <c r="V91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960.25928785311544</v>
      </c>
      <c r="W91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464.2369668351879</v>
      </c>
      <c r="X91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441.54491832423952</v>
      </c>
      <c r="AA91">
        <f>MATCH(MIN(Table4810[[#This Row],[Cluster 1 Dist]:[Cluster 3 Dist]]),Table4810[[#This Row],[Cluster 1 Dist]:[Cluster 3 Dist]],0)</f>
        <v>3</v>
      </c>
      <c r="AB91">
        <f t="shared" si="8"/>
        <v>80</v>
      </c>
      <c r="AC91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984.0388597173577</v>
      </c>
      <c r="AD91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674.79795618122159</v>
      </c>
      <c r="AE91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361.61712052862003</v>
      </c>
    </row>
    <row r="92" spans="2:31" x14ac:dyDescent="0.3">
      <c r="B92">
        <f t="shared" si="5"/>
        <v>90</v>
      </c>
      <c r="C92">
        <v>41</v>
      </c>
      <c r="D92">
        <v>20</v>
      </c>
      <c r="E92">
        <v>203</v>
      </c>
      <c r="F92">
        <v>4725</v>
      </c>
      <c r="G92">
        <v>1</v>
      </c>
      <c r="K92">
        <f>MATCH(MIN(Table4[[#This Row],[Cluster 1 Dist]:[Cluster 3 Dist]]),Table4[[#This Row],[Cluster 1 Dist]:[Cluster 3 Dist]],0)</f>
        <v>1</v>
      </c>
      <c r="L92">
        <f t="shared" si="6"/>
        <v>81</v>
      </c>
      <c r="M92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401.39008458107185</v>
      </c>
      <c r="N92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1070.2065221255195</v>
      </c>
      <c r="O92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518.50072323961126</v>
      </c>
      <c r="T92">
        <f>MATCH(MIN(Table48[[#This Row],[Cluster 1 Dist]:[Cluster 3 Dist]]),Table48[[#This Row],[Cluster 1 Dist]:[Cluster 3 Dist]],0)</f>
        <v>1</v>
      </c>
      <c r="U92">
        <f t="shared" si="7"/>
        <v>81</v>
      </c>
      <c r="V92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347.88312345519194</v>
      </c>
      <c r="W92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1411.6111015327112</v>
      </c>
      <c r="X92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572.49104849966409</v>
      </c>
      <c r="AA92">
        <f>MATCH(MIN(Table4810[[#This Row],[Cluster 1 Dist]:[Cluster 3 Dist]]),Table4810[[#This Row],[Cluster 1 Dist]:[Cluster 3 Dist]],0)</f>
        <v>1</v>
      </c>
      <c r="AB92">
        <f t="shared" si="8"/>
        <v>81</v>
      </c>
      <c r="AC92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345.66973311292264</v>
      </c>
      <c r="AD92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1619.6400858504801</v>
      </c>
      <c r="AE92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640.29351078598972</v>
      </c>
    </row>
    <row r="93" spans="2:31" x14ac:dyDescent="0.3">
      <c r="B93">
        <f t="shared" si="5"/>
        <v>91</v>
      </c>
      <c r="C93">
        <v>377</v>
      </c>
      <c r="D93">
        <v>16</v>
      </c>
      <c r="E93">
        <v>183</v>
      </c>
      <c r="F93">
        <v>3075</v>
      </c>
      <c r="G93">
        <v>0</v>
      </c>
      <c r="K93">
        <f>MATCH(MIN(Table4[[#This Row],[Cluster 1 Dist]:[Cluster 3 Dist]]),Table4[[#This Row],[Cluster 1 Dist]:[Cluster 3 Dist]],0)</f>
        <v>2</v>
      </c>
      <c r="L93">
        <f t="shared" si="6"/>
        <v>82</v>
      </c>
      <c r="M93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900.07444136582387</v>
      </c>
      <c r="N93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61.400325732035007</v>
      </c>
      <c r="O93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651</v>
      </c>
      <c r="T93">
        <f>MATCH(MIN(Table48[[#This Row],[Cluster 1 Dist]:[Cluster 3 Dist]]),Table48[[#This Row],[Cluster 1 Dist]:[Cluster 3 Dist]],0)</f>
        <v>2</v>
      </c>
      <c r="U93">
        <f t="shared" si="7"/>
        <v>82</v>
      </c>
      <c r="V93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1109.6179344775539</v>
      </c>
      <c r="W93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315.30227676433145</v>
      </c>
      <c r="X93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590.27257677954128</v>
      </c>
      <c r="AA93">
        <f>MATCH(MIN(Table4810[[#This Row],[Cluster 1 Dist]:[Cluster 3 Dist]]),Table4810[[#This Row],[Cluster 1 Dist]:[Cluster 3 Dist]],0)</f>
        <v>3</v>
      </c>
      <c r="AB93">
        <f t="shared" si="8"/>
        <v>82</v>
      </c>
      <c r="AC93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1133.2761949125982</v>
      </c>
      <c r="AD93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525.87933614746817</v>
      </c>
      <c r="AE93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510.22936854524278</v>
      </c>
    </row>
    <row r="94" spans="2:31" x14ac:dyDescent="0.3">
      <c r="B94">
        <f t="shared" si="5"/>
        <v>92</v>
      </c>
      <c r="C94">
        <v>378</v>
      </c>
      <c r="D94">
        <v>20</v>
      </c>
      <c r="E94">
        <v>190</v>
      </c>
      <c r="F94">
        <v>4250</v>
      </c>
      <c r="G94">
        <v>1</v>
      </c>
      <c r="K94">
        <f>MATCH(MIN(Table4[[#This Row],[Cluster 1 Dist]:[Cluster 3 Dist]]),Table4[[#This Row],[Cluster 1 Dist]:[Cluster 3 Dist]],0)</f>
        <v>1</v>
      </c>
      <c r="L94">
        <f t="shared" si="6"/>
        <v>83</v>
      </c>
      <c r="M94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254.20857577981118</v>
      </c>
      <c r="N94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1101.866598096158</v>
      </c>
      <c r="O94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500.49475521727499</v>
      </c>
      <c r="T94">
        <f>MATCH(MIN(Table48[[#This Row],[Cluster 1 Dist]:[Cluster 3 Dist]]),Table48[[#This Row],[Cluster 1 Dist]:[Cluster 3 Dist]],0)</f>
        <v>1</v>
      </c>
      <c r="U94">
        <f t="shared" si="7"/>
        <v>83</v>
      </c>
      <c r="V94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47.704910586135973</v>
      </c>
      <c r="W94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1463.7144668904025</v>
      </c>
      <c r="X94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560.56869137965759</v>
      </c>
      <c r="AA94">
        <f>MATCH(MIN(Table4810[[#This Row],[Cluster 1 Dist]:[Cluster 3 Dist]]),Table4810[[#This Row],[Cluster 1 Dist]:[Cluster 3 Dist]],0)</f>
        <v>1</v>
      </c>
      <c r="AB94">
        <f t="shared" si="8"/>
        <v>83</v>
      </c>
      <c r="AC94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27.504134849826247</v>
      </c>
      <c r="AD94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1674.8965642225301</v>
      </c>
      <c r="AE94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640.76695782504476</v>
      </c>
    </row>
    <row r="95" spans="2:31" x14ac:dyDescent="0.3">
      <c r="B95">
        <f t="shared" si="5"/>
        <v>93</v>
      </c>
      <c r="C95">
        <v>379</v>
      </c>
      <c r="D95">
        <v>186</v>
      </c>
      <c r="E95">
        <v>193</v>
      </c>
      <c r="F95">
        <v>2925</v>
      </c>
      <c r="G95">
        <v>0</v>
      </c>
      <c r="K95">
        <f>MATCH(MIN(Table4[[#This Row],[Cluster 1 Dist]:[Cluster 3 Dist]]),Table4[[#This Row],[Cluster 1 Dist]:[Cluster 3 Dist]],0)</f>
        <v>2</v>
      </c>
      <c r="L95">
        <f t="shared" si="6"/>
        <v>84</v>
      </c>
      <c r="M95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750.42521279605205</v>
      </c>
      <c r="N95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103.33440859655606</v>
      </c>
      <c r="O95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502.37933874712644</v>
      </c>
      <c r="T95">
        <f>MATCH(MIN(Table48[[#This Row],[Cluster 1 Dist]:[Cluster 3 Dist]]),Table48[[#This Row],[Cluster 1 Dist]:[Cluster 3 Dist]],0)</f>
        <v>3</v>
      </c>
      <c r="U95">
        <f t="shared" si="7"/>
        <v>84</v>
      </c>
      <c r="V95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960.47654465763264</v>
      </c>
      <c r="W95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464.84316634444292</v>
      </c>
      <c r="X95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441.71833369980328</v>
      </c>
      <c r="AA95">
        <f>MATCH(MIN(Table4810[[#This Row],[Cluster 1 Dist]:[Cluster 3 Dist]]),Table4810[[#This Row],[Cluster 1 Dist]:[Cluster 3 Dist]],0)</f>
        <v>3</v>
      </c>
      <c r="AB95">
        <f t="shared" si="8"/>
        <v>84</v>
      </c>
      <c r="AC95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984.23133726778099</v>
      </c>
      <c r="AD95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675.33831766766309</v>
      </c>
      <c r="AE95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361.89099773324409</v>
      </c>
    </row>
    <row r="96" spans="2:31" x14ac:dyDescent="0.3">
      <c r="B96">
        <f t="shared" si="5"/>
        <v>94</v>
      </c>
      <c r="C96">
        <v>397</v>
      </c>
      <c r="D96">
        <v>189</v>
      </c>
      <c r="E96">
        <v>184</v>
      </c>
      <c r="F96">
        <v>3550</v>
      </c>
      <c r="G96">
        <v>1</v>
      </c>
      <c r="K96">
        <f>MATCH(MIN(Table4[[#This Row],[Cluster 1 Dist]:[Cluster 3 Dist]]),Table4[[#This Row],[Cluster 1 Dist]:[Cluster 3 Dist]],0)</f>
        <v>3</v>
      </c>
      <c r="L96">
        <f t="shared" si="6"/>
        <v>85</v>
      </c>
      <c r="M96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152.23337347638329</v>
      </c>
      <c r="N96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701.19540785718209</v>
      </c>
      <c r="O96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102.00980345045274</v>
      </c>
      <c r="T96">
        <f>MATCH(MIN(Table48[[#This Row],[Cluster 1 Dist]:[Cluster 3 Dist]]),Table48[[#This Row],[Cluster 1 Dist]:[Cluster 3 Dist]],0)</f>
        <v>3</v>
      </c>
      <c r="U96">
        <f t="shared" si="7"/>
        <v>85</v>
      </c>
      <c r="V96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360.62175672486001</v>
      </c>
      <c r="W96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1063.8658866335884</v>
      </c>
      <c r="X96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161.69689646536372</v>
      </c>
      <c r="AA96">
        <f>MATCH(MIN(Table4810[[#This Row],[Cluster 1 Dist]:[Cluster 3 Dist]]),Table4810[[#This Row],[Cluster 1 Dist]:[Cluster 3 Dist]],0)</f>
        <v>3</v>
      </c>
      <c r="AB96">
        <f t="shared" si="8"/>
        <v>85</v>
      </c>
      <c r="AC96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384.21713069668562</v>
      </c>
      <c r="AD96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1274.9808140465886</v>
      </c>
      <c r="AE96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241.52661088205639</v>
      </c>
    </row>
    <row r="97" spans="2:31" x14ac:dyDescent="0.3">
      <c r="B97">
        <f t="shared" si="5"/>
        <v>95</v>
      </c>
      <c r="C97">
        <v>386</v>
      </c>
      <c r="D97">
        <v>172</v>
      </c>
      <c r="E97">
        <v>199</v>
      </c>
      <c r="F97">
        <v>3750</v>
      </c>
      <c r="G97">
        <v>0</v>
      </c>
      <c r="K97">
        <f>MATCH(MIN(Table4[[#This Row],[Cluster 1 Dist]:[Cluster 3 Dist]]),Table4[[#This Row],[Cluster 1 Dist]:[Cluster 3 Dist]],0)</f>
        <v>2</v>
      </c>
      <c r="L97">
        <f t="shared" si="6"/>
        <v>86</v>
      </c>
      <c r="M9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800.11186717858402</v>
      </c>
      <c r="N9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57.245087125446844</v>
      </c>
      <c r="O9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551.5759240576042</v>
      </c>
      <c r="T97">
        <f>MATCH(MIN(Table48[[#This Row],[Cluster 1 Dist]:[Cluster 3 Dist]]),Table48[[#This Row],[Cluster 1 Dist]:[Cluster 3 Dist]],0)</f>
        <v>2</v>
      </c>
      <c r="U97">
        <f t="shared" si="7"/>
        <v>86</v>
      </c>
      <c r="V9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1009.9716522219873</v>
      </c>
      <c r="W9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414.71518437189229</v>
      </c>
      <c r="X9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490.83104516519671</v>
      </c>
      <c r="AA97">
        <f>MATCH(MIN(Table4810[[#This Row],[Cluster 1 Dist]:[Cluster 3 Dist]]),Table4810[[#This Row],[Cluster 1 Dist]:[Cluster 3 Dist]],0)</f>
        <v>3</v>
      </c>
      <c r="AB97">
        <f t="shared" si="8"/>
        <v>86</v>
      </c>
      <c r="AC9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1033.6876679273785</v>
      </c>
      <c r="AD9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625.35442620859624</v>
      </c>
      <c r="AE9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410.85193596718267</v>
      </c>
    </row>
    <row r="98" spans="2:31" x14ac:dyDescent="0.3">
      <c r="B98">
        <f t="shared" si="5"/>
        <v>96</v>
      </c>
      <c r="C98">
        <v>382</v>
      </c>
      <c r="D98">
        <v>20</v>
      </c>
      <c r="E98">
        <v>190</v>
      </c>
      <c r="F98">
        <v>3900</v>
      </c>
      <c r="G98">
        <v>1</v>
      </c>
      <c r="K98">
        <f>MATCH(MIN(Table4[[#This Row],[Cluster 1 Dist]:[Cluster 3 Dist]]),Table4[[#This Row],[Cluster 1 Dist]:[Cluster 3 Dist]],0)</f>
        <v>1</v>
      </c>
      <c r="L98">
        <f t="shared" si="6"/>
        <v>87</v>
      </c>
      <c r="M98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654.80989607671631</v>
      </c>
      <c r="N98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1503.1679879507813</v>
      </c>
      <c r="O98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901.29074110411227</v>
      </c>
      <c r="T98">
        <f>MATCH(MIN(Table48[[#This Row],[Cluster 1 Dist]:[Cluster 3 Dist]]),Table48[[#This Row],[Cluster 1 Dist]:[Cluster 3 Dist]],0)</f>
        <v>1</v>
      </c>
      <c r="U98">
        <f t="shared" si="7"/>
        <v>87</v>
      </c>
      <c r="V98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443.43291306918252</v>
      </c>
      <c r="W98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1864.4092900917155</v>
      </c>
      <c r="X98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961.47973786582224</v>
      </c>
      <c r="AA98">
        <f>MATCH(MIN(Table4810[[#This Row],[Cluster 1 Dist]:[Cluster 3 Dist]]),Table4810[[#This Row],[Cluster 1 Dist]:[Cluster 3 Dist]],0)</f>
        <v>1</v>
      </c>
      <c r="AB98">
        <f t="shared" si="8"/>
        <v>87</v>
      </c>
      <c r="AC98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419.33718304726005</v>
      </c>
      <c r="AD98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2075.6420843893752</v>
      </c>
      <c r="AE98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1041.6506904461924</v>
      </c>
    </row>
    <row r="99" spans="2:31" x14ac:dyDescent="0.3">
      <c r="B99">
        <f t="shared" si="5"/>
        <v>97</v>
      </c>
      <c r="C99">
        <v>381</v>
      </c>
      <c r="D99">
        <v>17</v>
      </c>
      <c r="E99">
        <v>181</v>
      </c>
      <c r="F99">
        <v>3175</v>
      </c>
      <c r="G99">
        <v>0</v>
      </c>
      <c r="K99">
        <f>MATCH(MIN(Table4[[#This Row],[Cluster 1 Dist]:[Cluster 3 Dist]]),Table4[[#This Row],[Cluster 1 Dist]:[Cluster 3 Dist]],0)</f>
        <v>2</v>
      </c>
      <c r="L99">
        <f t="shared" si="6"/>
        <v>88</v>
      </c>
      <c r="M99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550.68865977065479</v>
      </c>
      <c r="N99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301.73829720471349</v>
      </c>
      <c r="O99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308.00162337234525</v>
      </c>
      <c r="T99">
        <f>MATCH(MIN(Table48[[#This Row],[Cluster 1 Dist]:[Cluster 3 Dist]]),Table48[[#This Row],[Cluster 1 Dist]:[Cluster 3 Dist]],0)</f>
        <v>3</v>
      </c>
      <c r="U99">
        <f t="shared" si="7"/>
        <v>88</v>
      </c>
      <c r="V99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761.80177232152255</v>
      </c>
      <c r="W99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664.83202746458585</v>
      </c>
      <c r="X99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247.19940022052612</v>
      </c>
      <c r="AA99">
        <f>MATCH(MIN(Table4810[[#This Row],[Cluster 1 Dist]:[Cluster 3 Dist]]),Table4810[[#This Row],[Cluster 1 Dist]:[Cluster 3 Dist]],0)</f>
        <v>3</v>
      </c>
      <c r="AB99">
        <f t="shared" si="8"/>
        <v>88</v>
      </c>
      <c r="AC99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785.78956362591305</v>
      </c>
      <c r="AD99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874.98394945469715</v>
      </c>
      <c r="AE99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169.98215299142714</v>
      </c>
    </row>
    <row r="100" spans="2:31" x14ac:dyDescent="0.3">
      <c r="B100">
        <f t="shared" si="5"/>
        <v>98</v>
      </c>
      <c r="C100">
        <v>432</v>
      </c>
      <c r="D100">
        <v>19</v>
      </c>
      <c r="E100">
        <v>197</v>
      </c>
      <c r="F100">
        <v>4775</v>
      </c>
      <c r="G100">
        <v>1</v>
      </c>
      <c r="K100">
        <f>MATCH(MIN(Table4[[#This Row],[Cluster 1 Dist]:[Cluster 3 Dist]]),Table4[[#This Row],[Cluster 1 Dist]:[Cluster 3 Dist]],0)</f>
        <v>3</v>
      </c>
      <c r="L100">
        <f t="shared" si="6"/>
        <v>89</v>
      </c>
      <c r="M100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410.36203528104301</v>
      </c>
      <c r="N100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774.30162081710773</v>
      </c>
      <c r="O100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336.85308370267296</v>
      </c>
      <c r="T100">
        <f>MATCH(MIN(Table48[[#This Row],[Cluster 1 Dist]:[Cluster 3 Dist]]),Table48[[#This Row],[Cluster 1 Dist]:[Cluster 3 Dist]],0)</f>
        <v>3</v>
      </c>
      <c r="U100">
        <f t="shared" si="7"/>
        <v>89</v>
      </c>
      <c r="V100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514.50921098752053</v>
      </c>
      <c r="W100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1100.8596780168059</v>
      </c>
      <c r="X100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365.39274452991259</v>
      </c>
      <c r="AA100">
        <f>MATCH(MIN(Table4810[[#This Row],[Cluster 1 Dist]:[Cluster 3 Dist]]),Table4810[[#This Row],[Cluster 1 Dist]:[Cluster 3 Dist]],0)</f>
        <v>3</v>
      </c>
      <c r="AB100">
        <f t="shared" si="8"/>
        <v>89</v>
      </c>
      <c r="AC100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527.72400893625309</v>
      </c>
      <c r="AD100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1305.9545271072163</v>
      </c>
      <c r="AE100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404.56671585005125</v>
      </c>
    </row>
    <row r="101" spans="2:31" x14ac:dyDescent="0.3">
      <c r="B101">
        <f t="shared" si="5"/>
        <v>99</v>
      </c>
      <c r="C101">
        <v>381</v>
      </c>
      <c r="D101">
        <v>165</v>
      </c>
      <c r="E101">
        <v>198</v>
      </c>
      <c r="F101">
        <v>3825</v>
      </c>
      <c r="G101">
        <v>0</v>
      </c>
      <c r="K101">
        <f>MATCH(MIN(Table4[[#This Row],[Cluster 1 Dist]:[Cluster 3 Dist]]),Table4[[#This Row],[Cluster 1 Dist]:[Cluster 3 Dist]],0)</f>
        <v>2</v>
      </c>
      <c r="L101">
        <f t="shared" si="6"/>
        <v>90</v>
      </c>
      <c r="M101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1241.6948095244661</v>
      </c>
      <c r="N101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529.67348432784513</v>
      </c>
      <c r="O101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995.03919520790737</v>
      </c>
      <c r="T101">
        <f>MATCH(MIN(Table48[[#This Row],[Cluster 1 Dist]:[Cluster 3 Dist]]),Table48[[#This Row],[Cluster 1 Dist]:[Cluster 3 Dist]],0)</f>
        <v>2</v>
      </c>
      <c r="U101">
        <f t="shared" si="7"/>
        <v>90</v>
      </c>
      <c r="V101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1430.4195686344672</v>
      </c>
      <c r="W101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383.08466736014719</v>
      </c>
      <c r="X101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938.21554059408186</v>
      </c>
      <c r="AA101">
        <f>MATCH(MIN(Table4810[[#This Row],[Cluster 1 Dist]:[Cluster 3 Dist]]),Table4810[[#This Row],[Cluster 1 Dist]:[Cluster 3 Dist]],0)</f>
        <v>2</v>
      </c>
      <c r="AB101">
        <f t="shared" si="8"/>
        <v>90</v>
      </c>
      <c r="AC101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1451.5312900965964</v>
      </c>
      <c r="AD101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465.74392637373717</v>
      </c>
      <c r="AE101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865.67013895505158</v>
      </c>
    </row>
    <row r="102" spans="2:31" x14ac:dyDescent="0.3">
      <c r="B102">
        <f t="shared" si="5"/>
        <v>100</v>
      </c>
      <c r="C102">
        <v>456</v>
      </c>
      <c r="D102">
        <v>203</v>
      </c>
      <c r="E102">
        <v>191</v>
      </c>
      <c r="F102">
        <v>4600</v>
      </c>
      <c r="G102">
        <v>1</v>
      </c>
      <c r="K102">
        <f>MATCH(MIN(Table4[[#This Row],[Cluster 1 Dist]:[Cluster 3 Dist]]),Table4[[#This Row],[Cluster 1 Dist]:[Cluster 3 Dist]],0)</f>
        <v>1</v>
      </c>
      <c r="L102">
        <f t="shared" si="6"/>
        <v>91</v>
      </c>
      <c r="M102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505.33850041333682</v>
      </c>
      <c r="N102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1339.8100611653877</v>
      </c>
      <c r="O102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746.93507080602399</v>
      </c>
      <c r="T102">
        <f>MATCH(MIN(Table48[[#This Row],[Cluster 1 Dist]:[Cluster 3 Dist]]),Table48[[#This Row],[Cluster 1 Dist]:[Cluster 3 Dist]],0)</f>
        <v>1</v>
      </c>
      <c r="U102">
        <f t="shared" si="7"/>
        <v>91</v>
      </c>
      <c r="V102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299.25552560502939</v>
      </c>
      <c r="W102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1693.2520152413547</v>
      </c>
      <c r="X102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799.79172327065544</v>
      </c>
      <c r="AA102">
        <f>MATCH(MIN(Table4810[[#This Row],[Cluster 1 Dist]:[Cluster 3 Dist]]),Table4810[[#This Row],[Cluster 1 Dist]:[Cluster 3 Dist]],0)</f>
        <v>1</v>
      </c>
      <c r="AB102">
        <f t="shared" si="8"/>
        <v>91</v>
      </c>
      <c r="AC102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278.58103036157297</v>
      </c>
      <c r="AD102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1903.3189525381738</v>
      </c>
      <c r="AE102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878.22431181299589</v>
      </c>
    </row>
    <row r="103" spans="2:31" x14ac:dyDescent="0.3">
      <c r="B103">
        <f t="shared" si="5"/>
        <v>101</v>
      </c>
      <c r="C103">
        <v>397</v>
      </c>
      <c r="D103">
        <v>177</v>
      </c>
      <c r="E103">
        <v>193</v>
      </c>
      <c r="F103">
        <v>3200</v>
      </c>
      <c r="G103">
        <v>0</v>
      </c>
      <c r="K103">
        <f>MATCH(MIN(Table4[[#This Row],[Cluster 1 Dist]:[Cluster 3 Dist]]),Table4[[#This Row],[Cluster 1 Dist]:[Cluster 3 Dist]],0)</f>
        <v>2</v>
      </c>
      <c r="L103">
        <f t="shared" si="6"/>
        <v>92</v>
      </c>
      <c r="M103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719.992361070588</v>
      </c>
      <c r="N103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245.4200480808363</v>
      </c>
      <c r="O103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483.06314287057751</v>
      </c>
      <c r="T103">
        <f>MATCH(MIN(Table48[[#This Row],[Cluster 1 Dist]:[Cluster 3 Dist]]),Table48[[#This Row],[Cluster 1 Dist]:[Cluster 3 Dist]],0)</f>
        <v>3</v>
      </c>
      <c r="U103">
        <f t="shared" si="7"/>
        <v>92</v>
      </c>
      <c r="V103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918.79455002775114</v>
      </c>
      <c r="W103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529.05118787895867</v>
      </c>
      <c r="X103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416.42735677352886</v>
      </c>
      <c r="AA103">
        <f>MATCH(MIN(Table4810[[#This Row],[Cluster 1 Dist]:[Cluster 3 Dist]]),Table4810[[#This Row],[Cluster 1 Dist]:[Cluster 3 Dist]],0)</f>
        <v>3</v>
      </c>
      <c r="AB103">
        <f t="shared" si="8"/>
        <v>92</v>
      </c>
      <c r="AC103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942.08477143210018</v>
      </c>
      <c r="AD103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734.92828428100177</v>
      </c>
      <c r="AE103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341.66505312378257</v>
      </c>
    </row>
    <row r="104" spans="2:31" x14ac:dyDescent="0.3">
      <c r="B104">
        <f t="shared" si="5"/>
        <v>102</v>
      </c>
      <c r="C104">
        <v>422</v>
      </c>
      <c r="D104">
        <v>195</v>
      </c>
      <c r="E104">
        <v>197</v>
      </c>
      <c r="F104">
        <v>4275</v>
      </c>
      <c r="G104">
        <v>1</v>
      </c>
      <c r="K104">
        <f>MATCH(MIN(Table4[[#This Row],[Cluster 1 Dist]:[Cluster 3 Dist]]),Table4[[#This Row],[Cluster 1 Dist]:[Cluster 3 Dist]],0)</f>
        <v>1</v>
      </c>
      <c r="L104">
        <f t="shared" si="6"/>
        <v>93</v>
      </c>
      <c r="M104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625.66364765742946</v>
      </c>
      <c r="N104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1475.6052995296541</v>
      </c>
      <c r="O104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875.19826325239012</v>
      </c>
      <c r="T104">
        <f>MATCH(MIN(Table48[[#This Row],[Cluster 1 Dist]:[Cluster 3 Dist]]),Table48[[#This Row],[Cluster 1 Dist]:[Cluster 3 Dist]],0)</f>
        <v>1</v>
      </c>
      <c r="U104">
        <f t="shared" si="7"/>
        <v>93</v>
      </c>
      <c r="V104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417.23414799319465</v>
      </c>
      <c r="W104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1838.4471630366004</v>
      </c>
      <c r="X104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935.56696364791935</v>
      </c>
      <c r="AA104">
        <f>MATCH(MIN(Table4810[[#This Row],[Cluster 1 Dist]:[Cluster 3 Dist]]),Table4810[[#This Row],[Cluster 1 Dist]:[Cluster 3 Dist]],0)</f>
        <v>1</v>
      </c>
      <c r="AB104">
        <f t="shared" si="8"/>
        <v>93</v>
      </c>
      <c r="AC104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393.92831951015938</v>
      </c>
      <c r="AD104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2049.4826395667596</v>
      </c>
      <c r="AE104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1015.7077189973692</v>
      </c>
    </row>
    <row r="105" spans="2:31" x14ac:dyDescent="0.3">
      <c r="B105">
        <f t="shared" si="5"/>
        <v>103</v>
      </c>
      <c r="C105">
        <v>396</v>
      </c>
      <c r="D105">
        <v>207</v>
      </c>
      <c r="E105">
        <v>191</v>
      </c>
      <c r="F105">
        <v>3900</v>
      </c>
      <c r="G105">
        <v>0</v>
      </c>
      <c r="K105">
        <f>MATCH(MIN(Table4[[#This Row],[Cluster 1 Dist]:[Cluster 3 Dist]]),Table4[[#This Row],[Cluster 1 Dist]:[Cluster 3 Dist]],0)</f>
        <v>1</v>
      </c>
      <c r="L105">
        <f t="shared" si="6"/>
        <v>94</v>
      </c>
      <c r="M105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9.5393920141694561</v>
      </c>
      <c r="N105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850.50631978839522</v>
      </c>
      <c r="O105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252.44405320783454</v>
      </c>
      <c r="T105">
        <f>MATCH(MIN(Table48[[#This Row],[Cluster 1 Dist]:[Cluster 3 Dist]]),Table48[[#This Row],[Cluster 1 Dist]:[Cluster 3 Dist]],0)</f>
        <v>1</v>
      </c>
      <c r="U105">
        <f t="shared" si="7"/>
        <v>94</v>
      </c>
      <c r="V105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213.19671503593105</v>
      </c>
      <c r="W105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1213.7803522691215</v>
      </c>
      <c r="X105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312.14799701554421</v>
      </c>
      <c r="AA105">
        <f>MATCH(MIN(Table4810[[#This Row],[Cluster 1 Dist]:[Cluster 3 Dist]]),Table4810[[#This Row],[Cluster 1 Dist]:[Cluster 3 Dist]],0)</f>
        <v>1</v>
      </c>
      <c r="AB105">
        <f t="shared" si="8"/>
        <v>94</v>
      </c>
      <c r="AC105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237.06525252676022</v>
      </c>
      <c r="AD105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1424.7196098172651</v>
      </c>
      <c r="AE105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391.91738555147765</v>
      </c>
    </row>
    <row r="106" spans="2:31" x14ac:dyDescent="0.3">
      <c r="B106">
        <f t="shared" si="5"/>
        <v>104</v>
      </c>
      <c r="C106">
        <v>427</v>
      </c>
      <c r="D106">
        <v>183</v>
      </c>
      <c r="E106">
        <v>196</v>
      </c>
      <c r="F106">
        <v>4075</v>
      </c>
      <c r="G106">
        <v>1</v>
      </c>
      <c r="K106">
        <f>MATCH(MIN(Table4[[#This Row],[Cluster 1 Dist]:[Cluster 3 Dist]]),Table4[[#This Row],[Cluster 1 Dist]:[Cluster 3 Dist]],0)</f>
        <v>3</v>
      </c>
      <c r="L106">
        <f t="shared" si="6"/>
        <v>95</v>
      </c>
      <c r="M106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202.12125073826354</v>
      </c>
      <c r="N106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651.74151317834583</v>
      </c>
      <c r="O106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60.332412515993425</v>
      </c>
      <c r="T106">
        <f>MATCH(MIN(Table48[[#This Row],[Cluster 1 Dist]:[Cluster 3 Dist]]),Table48[[#This Row],[Cluster 1 Dist]:[Cluster 3 Dist]],0)</f>
        <v>3</v>
      </c>
      <c r="U106">
        <f t="shared" si="7"/>
        <v>95</v>
      </c>
      <c r="V106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409.76784620924133</v>
      </c>
      <c r="W106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1013.2984425397892</v>
      </c>
      <c r="X106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111.21986223288536</v>
      </c>
      <c r="AA106">
        <f>MATCH(MIN(Table4810[[#This Row],[Cluster 1 Dist]:[Cluster 3 Dist]]),Table4810[[#This Row],[Cluster 1 Dist]:[Cluster 3 Dist]],0)</f>
        <v>3</v>
      </c>
      <c r="AB106">
        <f t="shared" si="8"/>
        <v>95</v>
      </c>
      <c r="AC106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433.48391379703355</v>
      </c>
      <c r="AD106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1224.3883659637777</v>
      </c>
      <c r="AE106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190.86185218978451</v>
      </c>
    </row>
    <row r="107" spans="2:31" x14ac:dyDescent="0.3">
      <c r="B107">
        <f t="shared" si="5"/>
        <v>105</v>
      </c>
      <c r="C107">
        <v>386</v>
      </c>
      <c r="D107">
        <v>17</v>
      </c>
      <c r="E107">
        <v>188</v>
      </c>
      <c r="F107">
        <v>2900</v>
      </c>
      <c r="G107">
        <v>0</v>
      </c>
      <c r="K107">
        <f>MATCH(MIN(Table4[[#This Row],[Cluster 1 Dist]:[Cluster 3 Dist]]),Table4[[#This Row],[Cluster 1 Dist]:[Cluster 3 Dist]],0)</f>
        <v>3</v>
      </c>
      <c r="L107">
        <f t="shared" si="6"/>
        <v>96</v>
      </c>
      <c r="M10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388.17650624426</v>
      </c>
      <c r="N10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536.1594911964163</v>
      </c>
      <c r="O10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202.44999382563586</v>
      </c>
      <c r="T107">
        <f>MATCH(MIN(Table48[[#This Row],[Cluster 1 Dist]:[Cluster 3 Dist]]),Table48[[#This Row],[Cluster 1 Dist]:[Cluster 3 Dist]],0)</f>
        <v>3</v>
      </c>
      <c r="U107">
        <f t="shared" si="7"/>
        <v>96</v>
      </c>
      <c r="V10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574.75998583957983</v>
      </c>
      <c r="W10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872.49168113716871</v>
      </c>
      <c r="X10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152.34294220874276</v>
      </c>
      <c r="AA107">
        <f>MATCH(MIN(Table4810[[#This Row],[Cluster 1 Dist]:[Cluster 3 Dist]]),Table4810[[#This Row],[Cluster 1 Dist]:[Cluster 3 Dist]],0)</f>
        <v>3</v>
      </c>
      <c r="AB107">
        <f t="shared" si="8"/>
        <v>96</v>
      </c>
      <c r="AC10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597.73272640574589</v>
      </c>
      <c r="AD10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1081.1457745262398</v>
      </c>
      <c r="AE10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150.305209973323</v>
      </c>
    </row>
    <row r="108" spans="2:31" x14ac:dyDescent="0.3">
      <c r="B108">
        <f t="shared" si="5"/>
        <v>106</v>
      </c>
      <c r="C108">
        <v>373</v>
      </c>
      <c r="D108">
        <v>205</v>
      </c>
      <c r="E108">
        <v>199</v>
      </c>
      <c r="F108">
        <v>3775</v>
      </c>
      <c r="G108">
        <v>1</v>
      </c>
      <c r="K108">
        <f>MATCH(MIN(Table4[[#This Row],[Cluster 1 Dist]:[Cluster 3 Dist]]),Table4[[#This Row],[Cluster 1 Dist]:[Cluster 3 Dist]],0)</f>
        <v>1</v>
      </c>
      <c r="L108">
        <f t="shared" si="6"/>
        <v>97</v>
      </c>
      <c r="M108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412.08736937693203</v>
      </c>
      <c r="N108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1240.758638897993</v>
      </c>
      <c r="O108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650.16536358068163</v>
      </c>
      <c r="T108">
        <f>MATCH(MIN(Table48[[#This Row],[Cluster 1 Dist]:[Cluster 3 Dist]]),Table48[[#This Row],[Cluster 1 Dist]:[Cluster 3 Dist]],0)</f>
        <v>1</v>
      </c>
      <c r="U108">
        <f t="shared" si="7"/>
        <v>97</v>
      </c>
      <c r="V108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214.81798945861436</v>
      </c>
      <c r="W108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1593.4826486270078</v>
      </c>
      <c r="X108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701.69918303314807</v>
      </c>
      <c r="AA108">
        <f>MATCH(MIN(Table4810[[#This Row],[Cluster 1 Dist]:[Cluster 3 Dist]]),Table4810[[#This Row],[Cluster 1 Dist]:[Cluster 3 Dist]],0)</f>
        <v>1</v>
      </c>
      <c r="AB108">
        <f t="shared" si="8"/>
        <v>97</v>
      </c>
      <c r="AC108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197.38430634262477</v>
      </c>
      <c r="AD108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1803.4558247440773</v>
      </c>
      <c r="AE108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779.71542363827211</v>
      </c>
    </row>
    <row r="109" spans="2:31" x14ac:dyDescent="0.3">
      <c r="B109">
        <f t="shared" si="5"/>
        <v>107</v>
      </c>
      <c r="C109">
        <v>357</v>
      </c>
      <c r="D109">
        <v>17</v>
      </c>
      <c r="E109">
        <v>189</v>
      </c>
      <c r="F109">
        <v>3350</v>
      </c>
      <c r="G109">
        <v>0</v>
      </c>
      <c r="K109">
        <f>MATCH(MIN(Table4[[#This Row],[Cluster 1 Dist]:[Cluster 3 Dist]]),Table4[[#This Row],[Cluster 1 Dist]:[Cluster 3 Dist]],0)</f>
        <v>2</v>
      </c>
      <c r="L109">
        <f t="shared" si="6"/>
        <v>98</v>
      </c>
      <c r="M109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1236.6834679900917</v>
      </c>
      <c r="N109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421.72740010580293</v>
      </c>
      <c r="O109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993.18225920522764</v>
      </c>
      <c r="T109">
        <f>MATCH(MIN(Table48[[#This Row],[Cluster 1 Dist]:[Cluster 3 Dist]]),Table48[[#This Row],[Cluster 1 Dist]:[Cluster 3 Dist]],0)</f>
        <v>2</v>
      </c>
      <c r="U109">
        <f t="shared" si="7"/>
        <v>98</v>
      </c>
      <c r="V109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1441.4518217594464</v>
      </c>
      <c r="W109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132.65454648472601</v>
      </c>
      <c r="X109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928.31971126683015</v>
      </c>
      <c r="AA109">
        <f>MATCH(MIN(Table4810[[#This Row],[Cluster 1 Dist]:[Cluster 3 Dist]]),Table4810[[#This Row],[Cluster 1 Dist]:[Cluster 3 Dist]],0)</f>
        <v>2</v>
      </c>
      <c r="AB109">
        <f t="shared" si="8"/>
        <v>98</v>
      </c>
      <c r="AC109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1465.1272089151178</v>
      </c>
      <c r="AD109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234.20569818775579</v>
      </c>
      <c r="AE109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848.90282631528396</v>
      </c>
    </row>
    <row r="110" spans="2:31" x14ac:dyDescent="0.3">
      <c r="B110">
        <f t="shared" si="5"/>
        <v>108</v>
      </c>
      <c r="C110">
        <v>411</v>
      </c>
      <c r="D110">
        <v>186</v>
      </c>
      <c r="E110">
        <v>189</v>
      </c>
      <c r="F110">
        <v>3325</v>
      </c>
      <c r="G110">
        <v>1</v>
      </c>
      <c r="K110">
        <f>MATCH(MIN(Table4[[#This Row],[Cluster 1 Dist]:[Cluster 3 Dist]]),Table4[[#This Row],[Cluster 1 Dist]:[Cluster 3 Dist]],0)</f>
        <v>3</v>
      </c>
      <c r="L110">
        <f t="shared" si="6"/>
        <v>99</v>
      </c>
      <c r="M110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277.33914256736284</v>
      </c>
      <c r="N110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577.73263712551329</v>
      </c>
      <c r="O110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43.749285708454714</v>
      </c>
      <c r="T110">
        <f>MATCH(MIN(Table48[[#This Row],[Cluster 1 Dist]:[Cluster 3 Dist]]),Table48[[#This Row],[Cluster 1 Dist]:[Cluster 3 Dist]],0)</f>
        <v>3</v>
      </c>
      <c r="U110">
        <f t="shared" si="7"/>
        <v>99</v>
      </c>
      <c r="V110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484.34741153400182</v>
      </c>
      <c r="W110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938.26926774891092</v>
      </c>
      <c r="X110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36.273966039639006</v>
      </c>
      <c r="AA110">
        <f>MATCH(MIN(Table4810[[#This Row],[Cluster 1 Dist]:[Cluster 3 Dist]]),Table4810[[#This Row],[Cluster 1 Dist]:[Cluster 3 Dist]],0)</f>
        <v>3</v>
      </c>
      <c r="AB110">
        <f t="shared" si="8"/>
        <v>99</v>
      </c>
      <c r="AC110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507.97995000565777</v>
      </c>
      <c r="AD110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1149.4206853034011</v>
      </c>
      <c r="AE110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115.57104165375605</v>
      </c>
    </row>
    <row r="111" spans="2:31" x14ac:dyDescent="0.3">
      <c r="B111">
        <f t="shared" si="5"/>
        <v>109</v>
      </c>
      <c r="C111">
        <v>362</v>
      </c>
      <c r="D111">
        <v>172</v>
      </c>
      <c r="E111">
        <v>187</v>
      </c>
      <c r="F111">
        <v>3150</v>
      </c>
      <c r="G111">
        <v>0</v>
      </c>
      <c r="K111">
        <f>MATCH(MIN(Table4[[#This Row],[Cluster 1 Dist]:[Cluster 3 Dist]]),Table4[[#This Row],[Cluster 1 Dist]:[Cluster 3 Dist]],0)</f>
        <v>2</v>
      </c>
      <c r="L111">
        <f t="shared" si="6"/>
        <v>100</v>
      </c>
      <c r="M111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1051.3576936514044</v>
      </c>
      <c r="N111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204.76571978727299</v>
      </c>
      <c r="O111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805.42783661852661</v>
      </c>
      <c r="T111">
        <f>MATCH(MIN(Table48[[#This Row],[Cluster 1 Dist]:[Cluster 3 Dist]]),Table48[[#This Row],[Cluster 1 Dist]:[Cluster 3 Dist]],0)</f>
        <v>2</v>
      </c>
      <c r="U111">
        <f t="shared" si="7"/>
        <v>100</v>
      </c>
      <c r="V111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1262.5945272779431</v>
      </c>
      <c r="W111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181.49355876004265</v>
      </c>
      <c r="X111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745.04063209289995</v>
      </c>
      <c r="AA111">
        <f>MATCH(MIN(Table4810[[#This Row],[Cluster 1 Dist]:[Cluster 3 Dist]]),Table4810[[#This Row],[Cluster 1 Dist]:[Cluster 3 Dist]],0)</f>
        <v>2</v>
      </c>
      <c r="AB111">
        <f t="shared" si="8"/>
        <v>100</v>
      </c>
      <c r="AC111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1286.5213626536765</v>
      </c>
      <c r="AD111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381.11407636113421</v>
      </c>
      <c r="AE111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665.3551854549504</v>
      </c>
    </row>
    <row r="112" spans="2:31" x14ac:dyDescent="0.3">
      <c r="B112">
        <f t="shared" si="5"/>
        <v>110</v>
      </c>
      <c r="C112">
        <v>377</v>
      </c>
      <c r="D112">
        <v>198</v>
      </c>
      <c r="E112">
        <v>198</v>
      </c>
      <c r="F112">
        <v>3500</v>
      </c>
      <c r="G112">
        <v>1</v>
      </c>
      <c r="K112" s="7">
        <f>MATCH(MIN(Table4[[#This Row],[Cluster 1 Dist]:[Cluster 3 Dist]]),Table4[[#This Row],[Cluster 1 Dist]:[Cluster 3 Dist]],0)</f>
        <v>1</v>
      </c>
      <c r="L112">
        <f t="shared" si="6"/>
        <v>101</v>
      </c>
      <c r="M11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350.37551284300679</v>
      </c>
      <c r="N11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1200.590271491486</v>
      </c>
      <c r="O11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601.24038453849721</v>
      </c>
      <c r="T112" s="7">
        <f>MATCH(MIN(Table48[[#This Row],[Cluster 1 Dist]:[Cluster 3 Dist]]),Table48[[#This Row],[Cluster 1 Dist]:[Cluster 3 Dist]],0)</f>
        <v>1</v>
      </c>
      <c r="U112">
        <f t="shared" si="7"/>
        <v>101</v>
      </c>
      <c r="V11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144.46065106509957</v>
      </c>
      <c r="W11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1563.2070648871083</v>
      </c>
      <c r="X11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660.83118703274113</v>
      </c>
      <c r="AA112" s="7">
        <f>MATCH(MIN(Table4810[[#This Row],[Cluster 1 Dist]:[Cluster 3 Dist]]),Table4810[[#This Row],[Cluster 1 Dist]:[Cluster 3 Dist]],0)</f>
        <v>1</v>
      </c>
      <c r="AB112">
        <f t="shared" si="8"/>
        <v>101</v>
      </c>
      <c r="AC11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123.10334664653328</v>
      </c>
      <c r="AD11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1774.1328561456141</v>
      </c>
      <c r="AE11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740.85308546321289</v>
      </c>
    </row>
    <row r="113" spans="2:31" x14ac:dyDescent="0.3">
      <c r="B113">
        <f t="shared" si="5"/>
        <v>111</v>
      </c>
      <c r="C113">
        <v>402</v>
      </c>
      <c r="D113">
        <v>17</v>
      </c>
      <c r="E113">
        <v>176</v>
      </c>
      <c r="F113">
        <v>3450</v>
      </c>
      <c r="G113">
        <v>0</v>
      </c>
      <c r="K113" s="7">
        <f>MATCH(MIN(Table4[[#This Row],[Cluster 1 Dist]:[Cluster 3 Dist]]),Table4[[#This Row],[Cluster 1 Dist]:[Cluster 3 Dist]],0)</f>
        <v>2</v>
      </c>
      <c r="L113">
        <f t="shared" si="6"/>
        <v>102</v>
      </c>
      <c r="M11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725.36749306816887</v>
      </c>
      <c r="N11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126.35663813191613</v>
      </c>
      <c r="O11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478.70136828716085</v>
      </c>
      <c r="T113" s="7">
        <f>MATCH(MIN(Table48[[#This Row],[Cluster 1 Dist]:[Cluster 3 Dist]]),Table48[[#This Row],[Cluster 1 Dist]:[Cluster 3 Dist]],0)</f>
        <v>3</v>
      </c>
      <c r="U113">
        <f t="shared" si="7"/>
        <v>102</v>
      </c>
      <c r="V11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936.17862887415754</v>
      </c>
      <c r="W11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490.76101843760927</v>
      </c>
      <c r="X11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418.35200562713339</v>
      </c>
      <c r="AA113" s="7">
        <f>MATCH(MIN(Table4810[[#This Row],[Cluster 1 Dist]:[Cluster 3 Dist]]),Table4810[[#This Row],[Cluster 1 Dist]:[Cluster 3 Dist]],0)</f>
        <v>3</v>
      </c>
      <c r="AB113">
        <f t="shared" si="8"/>
        <v>102</v>
      </c>
      <c r="AC11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960.02486337771631</v>
      </c>
      <c r="AD11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700.76293610982168</v>
      </c>
      <c r="AE11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338.89839600061765</v>
      </c>
    </row>
    <row r="114" spans="2:31" x14ac:dyDescent="0.3">
      <c r="B114">
        <f t="shared" si="5"/>
        <v>112</v>
      </c>
      <c r="C114">
        <v>414</v>
      </c>
      <c r="D114">
        <v>185</v>
      </c>
      <c r="E114">
        <v>202</v>
      </c>
      <c r="F114">
        <v>3875</v>
      </c>
      <c r="G114">
        <v>1</v>
      </c>
      <c r="K114" s="7">
        <f>MATCH(MIN(Table4[[#This Row],[Cluster 1 Dist]:[Cluster 3 Dist]]),Table4[[#This Row],[Cluster 1 Dist]:[Cluster 3 Dist]],0)</f>
        <v>3</v>
      </c>
      <c r="L114">
        <f t="shared" si="6"/>
        <v>103</v>
      </c>
      <c r="M11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350.86464626690446</v>
      </c>
      <c r="N11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500.32189638271882</v>
      </c>
      <c r="O11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105.99528291391084</v>
      </c>
      <c r="T114" s="7">
        <f>MATCH(MIN(Table48[[#This Row],[Cluster 1 Dist]:[Cluster 3 Dist]]),Table48[[#This Row],[Cluster 1 Dist]:[Cluster 3 Dist]],0)</f>
        <v>3</v>
      </c>
      <c r="U114">
        <f t="shared" si="7"/>
        <v>103</v>
      </c>
      <c r="V11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562.0257380327015</v>
      </c>
      <c r="W11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865.07443792919537</v>
      </c>
      <c r="X11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60.596091677026727</v>
      </c>
      <c r="AA114" s="7">
        <f>MATCH(MIN(Table4810[[#This Row],[Cluster 1 Dist]:[Cluster 3 Dist]]),Table4810[[#This Row],[Cluster 1 Dist]:[Cluster 3 Dist]],0)</f>
        <v>3</v>
      </c>
      <c r="AB114">
        <f t="shared" si="8"/>
        <v>103</v>
      </c>
      <c r="AC11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585.72931056924619</v>
      </c>
      <c r="AD11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1075.9112261696412</v>
      </c>
      <c r="AE11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61.792656000538585</v>
      </c>
    </row>
    <row r="115" spans="2:31" x14ac:dyDescent="0.3">
      <c r="B115">
        <f t="shared" si="5"/>
        <v>113</v>
      </c>
      <c r="C115">
        <v>352</v>
      </c>
      <c r="D115">
        <v>159</v>
      </c>
      <c r="E115">
        <v>186</v>
      </c>
      <c r="F115">
        <v>3050</v>
      </c>
      <c r="G115">
        <v>0</v>
      </c>
      <c r="K115" s="7">
        <f>MATCH(MIN(Table4[[#This Row],[Cluster 1 Dist]:[Cluster 3 Dist]]),Table4[[#This Row],[Cluster 1 Dist]:[Cluster 3 Dist]],0)</f>
        <v>3</v>
      </c>
      <c r="L115">
        <f t="shared" si="6"/>
        <v>104</v>
      </c>
      <c r="M11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525.58919319179313</v>
      </c>
      <c r="N11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326.50574267537775</v>
      </c>
      <c r="O11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282.66764936936096</v>
      </c>
      <c r="T115" s="7">
        <f>MATCH(MIN(Table48[[#This Row],[Cluster 1 Dist]:[Cluster 3 Dist]]),Table48[[#This Row],[Cluster 1 Dist]:[Cluster 3 Dist]],0)</f>
        <v>3</v>
      </c>
      <c r="U115">
        <f t="shared" si="7"/>
        <v>104</v>
      </c>
      <c r="V11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736.47803762785247</v>
      </c>
      <c r="W11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689.38019298877896</v>
      </c>
      <c r="X11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221.6475336737893</v>
      </c>
      <c r="AA115" s="7">
        <f>MATCH(MIN(Table4810[[#This Row],[Cluster 1 Dist]:[Cluster 3 Dist]]),Table4810[[#This Row],[Cluster 1 Dist]:[Cluster 3 Dist]],0)</f>
        <v>3</v>
      </c>
      <c r="AB115">
        <f t="shared" si="8"/>
        <v>104</v>
      </c>
      <c r="AC11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760.44527805233849</v>
      </c>
      <c r="AD11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899.71842293601128</v>
      </c>
      <c r="AE11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144.6663450261324</v>
      </c>
    </row>
    <row r="116" spans="2:31" x14ac:dyDescent="0.3">
      <c r="B116">
        <f t="shared" si="5"/>
        <v>114</v>
      </c>
      <c r="C116">
        <v>406</v>
      </c>
      <c r="D116">
        <v>19</v>
      </c>
      <c r="E116">
        <v>199</v>
      </c>
      <c r="F116">
        <v>4000</v>
      </c>
      <c r="G116">
        <v>1</v>
      </c>
      <c r="K116" s="7">
        <f>MATCH(MIN(Table4[[#This Row],[Cluster 1 Dist]:[Cluster 3 Dist]]),Table4[[#This Row],[Cluster 1 Dist]:[Cluster 3 Dist]],0)</f>
        <v>1</v>
      </c>
      <c r="L116">
        <f t="shared" si="6"/>
        <v>105</v>
      </c>
      <c r="M11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671.92782350487619</v>
      </c>
      <c r="N11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1512.7508056517438</v>
      </c>
      <c r="O11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917.724359489275</v>
      </c>
      <c r="T116" s="7">
        <f>MATCH(MIN(Table48[[#This Row],[Cluster 1 Dist]:[Cluster 3 Dist]]),Table48[[#This Row],[Cluster 1 Dist]:[Cluster 3 Dist]],0)</f>
        <v>1</v>
      </c>
      <c r="U116">
        <f t="shared" si="7"/>
        <v>105</v>
      </c>
      <c r="V11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461.55668847482809</v>
      </c>
      <c r="W11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1867.5352133915769</v>
      </c>
      <c r="X11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972.06587109881684</v>
      </c>
      <c r="AA116" s="7">
        <f>MATCH(MIN(Table4810[[#This Row],[Cluster 1 Dist]:[Cluster 3 Dist]]),Table4810[[#This Row],[Cluster 1 Dist]:[Cluster 3 Dist]],0)</f>
        <v>1</v>
      </c>
      <c r="AB116">
        <f t="shared" si="8"/>
        <v>105</v>
      </c>
      <c r="AC11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439.30584973085712</v>
      </c>
      <c r="AD11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2077.6654363077796</v>
      </c>
      <c r="AE11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1050.9530545232699</v>
      </c>
    </row>
    <row r="117" spans="2:31" x14ac:dyDescent="0.3">
      <c r="B117">
        <f t="shared" si="5"/>
        <v>115</v>
      </c>
      <c r="C117">
        <v>388</v>
      </c>
      <c r="D117">
        <v>176</v>
      </c>
      <c r="E117">
        <v>191</v>
      </c>
      <c r="F117">
        <v>3275</v>
      </c>
      <c r="G117">
        <v>0</v>
      </c>
      <c r="K117" s="7">
        <f>MATCH(MIN(Table4[[#This Row],[Cluster 1 Dist]:[Cluster 3 Dist]]),Table4[[#This Row],[Cluster 1 Dist]:[Cluster 3 Dist]],0)</f>
        <v>3</v>
      </c>
      <c r="L117">
        <f t="shared" si="6"/>
        <v>106</v>
      </c>
      <c r="M11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228.75969924792261</v>
      </c>
      <c r="N11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626.32020564564255</v>
      </c>
      <c r="O11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30.099833886584822</v>
      </c>
      <c r="T117" s="7">
        <f>MATCH(MIN(Table48[[#This Row],[Cluster 1 Dist]:[Cluster 3 Dist]]),Table48[[#This Row],[Cluster 1 Dist]:[Cluster 3 Dist]],0)</f>
        <v>3</v>
      </c>
      <c r="U117">
        <f t="shared" si="7"/>
        <v>106</v>
      </c>
      <c r="V11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437.31013301023006</v>
      </c>
      <c r="W11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989.9674817092133</v>
      </c>
      <c r="X11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93.639585864186159</v>
      </c>
      <c r="AA117" s="7">
        <f>MATCH(MIN(Table4810[[#This Row],[Cluster 1 Dist]:[Cluster 3 Dist]]),Table4810[[#This Row],[Cluster 1 Dist]:[Cluster 3 Dist]],0)</f>
        <v>3</v>
      </c>
      <c r="AB117">
        <f t="shared" si="8"/>
        <v>106</v>
      </c>
      <c r="AC11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460.69489011889812</v>
      </c>
      <c r="AD11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1201.0836406359633</v>
      </c>
      <c r="AE11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170.42953844241939</v>
      </c>
    </row>
    <row r="118" spans="2:31" x14ac:dyDescent="0.3">
      <c r="B118">
        <f t="shared" si="5"/>
        <v>116</v>
      </c>
      <c r="C118">
        <v>415</v>
      </c>
      <c r="D118">
        <v>183</v>
      </c>
      <c r="E118">
        <v>195</v>
      </c>
      <c r="F118">
        <v>4300</v>
      </c>
      <c r="G118">
        <v>1</v>
      </c>
      <c r="K118" s="7">
        <f>MATCH(MIN(Table4[[#This Row],[Cluster 1 Dist]:[Cluster 3 Dist]]),Table4[[#This Row],[Cluster 1 Dist]:[Cluster 3 Dist]],0)</f>
        <v>1</v>
      </c>
      <c r="L118">
        <f t="shared" si="6"/>
        <v>107</v>
      </c>
      <c r="M11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266.45637541631464</v>
      </c>
      <c r="N11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1069.2562835915439</v>
      </c>
      <c r="O11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483.96487475848903</v>
      </c>
      <c r="T118" s="7">
        <f>MATCH(MIN(Table48[[#This Row],[Cluster 1 Dist]:[Cluster 3 Dist]]),Table48[[#This Row],[Cluster 1 Dist]:[Cluster 3 Dist]],0)</f>
        <v>1</v>
      </c>
      <c r="U118">
        <f t="shared" si="7"/>
        <v>107</v>
      </c>
      <c r="V11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137.82931513358412</v>
      </c>
      <c r="W11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1419.5943539240941</v>
      </c>
      <c r="X11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532.19768135610673</v>
      </c>
      <c r="AA118" s="7">
        <f>MATCH(MIN(Table4810[[#This Row],[Cluster 1 Dist]:[Cluster 3 Dist]]),Table4810[[#This Row],[Cluster 1 Dist]:[Cluster 3 Dist]],0)</f>
        <v>1</v>
      </c>
      <c r="AB118">
        <f t="shared" si="8"/>
        <v>107</v>
      </c>
      <c r="AC11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140.36195151762973</v>
      </c>
      <c r="AD11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1629.5538660057539</v>
      </c>
      <c r="AE11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609.00213382406753</v>
      </c>
    </row>
    <row r="119" spans="2:31" x14ac:dyDescent="0.3">
      <c r="B119">
        <f t="shared" si="5"/>
        <v>117</v>
      </c>
      <c r="C119">
        <v>39</v>
      </c>
      <c r="D119">
        <v>171</v>
      </c>
      <c r="E119">
        <v>191</v>
      </c>
      <c r="F119">
        <v>3050</v>
      </c>
      <c r="G119">
        <v>0</v>
      </c>
      <c r="K119" s="7">
        <f>MATCH(MIN(Table4[[#This Row],[Cluster 1 Dist]:[Cluster 3 Dist]]),Table4[[#This Row],[Cluster 1 Dist]:[Cluster 3 Dist]],0)</f>
        <v>1</v>
      </c>
      <c r="L119">
        <f t="shared" si="6"/>
        <v>108</v>
      </c>
      <c r="M11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225.13551474611907</v>
      </c>
      <c r="N11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1075.3092578416686</v>
      </c>
      <c r="O11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477.50497379608521</v>
      </c>
      <c r="T119" s="7">
        <f>MATCH(MIN(Table48[[#This Row],[Cluster 1 Dist]:[Cluster 3 Dist]]),Table48[[#This Row],[Cluster 1 Dist]:[Cluster 3 Dist]],0)</f>
        <v>1</v>
      </c>
      <c r="U119">
        <f t="shared" si="7"/>
        <v>108</v>
      </c>
      <c r="V11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50.332038003510036</v>
      </c>
      <c r="W11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1438.5250563038373</v>
      </c>
      <c r="X11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536.98906669978101</v>
      </c>
      <c r="AA119" s="7">
        <f>MATCH(MIN(Table4810[[#This Row],[Cluster 1 Dist]:[Cluster 3 Dist]]),Table4810[[#This Row],[Cluster 1 Dist]:[Cluster 3 Dist]],0)</f>
        <v>1</v>
      </c>
      <c r="AB119">
        <f t="shared" si="8"/>
        <v>108</v>
      </c>
      <c r="AC11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53.857291694069033</v>
      </c>
      <c r="AD11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1649.3283255622482</v>
      </c>
      <c r="AE11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616.81753800677848</v>
      </c>
    </row>
    <row r="120" spans="2:31" x14ac:dyDescent="0.3">
      <c r="B120">
        <f t="shared" si="5"/>
        <v>118</v>
      </c>
      <c r="C120">
        <v>441</v>
      </c>
      <c r="D120">
        <v>18</v>
      </c>
      <c r="E120">
        <v>210</v>
      </c>
      <c r="F120">
        <v>4000</v>
      </c>
      <c r="G120">
        <v>1</v>
      </c>
      <c r="K120" s="7">
        <f>MATCH(MIN(Table4[[#This Row],[Cluster 1 Dist]:[Cluster 3 Dist]]),Table4[[#This Row],[Cluster 1 Dist]:[Cluster 3 Dist]],0)</f>
        <v>1</v>
      </c>
      <c r="L120">
        <f t="shared" si="6"/>
        <v>109</v>
      </c>
      <c r="M12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402.67729014683704</v>
      </c>
      <c r="N12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1251.6736795187473</v>
      </c>
      <c r="O12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650.41525197369106</v>
      </c>
      <c r="T120" s="7">
        <f>MATCH(MIN(Table48[[#This Row],[Cluster 1 Dist]:[Cluster 3 Dist]]),Table48[[#This Row],[Cluster 1 Dist]:[Cluster 3 Dist]],0)</f>
        <v>1</v>
      </c>
      <c r="U120">
        <f t="shared" si="7"/>
        <v>109</v>
      </c>
      <c r="V12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192.37933620605349</v>
      </c>
      <c r="W12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1613.6203042007155</v>
      </c>
      <c r="X12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710.51605031491135</v>
      </c>
      <c r="AA120" s="7">
        <f>MATCH(MIN(Table4810[[#This Row],[Cluster 1 Dist]:[Cluster 3 Dist]]),Table4810[[#This Row],[Cluster 1 Dist]:[Cluster 3 Dist]],0)</f>
        <v>1</v>
      </c>
      <c r="AB120">
        <f t="shared" si="8"/>
        <v>109</v>
      </c>
      <c r="AC12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168.62628875689686</v>
      </c>
      <c r="AD12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1824.7755409411423</v>
      </c>
      <c r="AE12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790.70176121768156</v>
      </c>
    </row>
    <row r="121" spans="2:31" x14ac:dyDescent="0.3">
      <c r="B121">
        <f t="shared" si="5"/>
        <v>119</v>
      </c>
      <c r="C121">
        <v>385</v>
      </c>
      <c r="D121">
        <v>179</v>
      </c>
      <c r="E121">
        <v>190</v>
      </c>
      <c r="F121">
        <v>3325</v>
      </c>
      <c r="G121">
        <v>0</v>
      </c>
      <c r="K121" s="7">
        <f>MATCH(MIN(Table4[[#This Row],[Cluster 1 Dist]:[Cluster 3 Dist]]),Table4[[#This Row],[Cluster 1 Dist]:[Cluster 3 Dist]],0)</f>
        <v>1</v>
      </c>
      <c r="L121">
        <f t="shared" si="6"/>
        <v>110</v>
      </c>
      <c r="M12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60.909769331364245</v>
      </c>
      <c r="N12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900.81851668357706</v>
      </c>
      <c r="O12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300.44799882841625</v>
      </c>
      <c r="T121" s="7">
        <f>MATCH(MIN(Table48[[#This Row],[Cluster 1 Dist]:[Cluster 3 Dist]]),Table48[[#This Row],[Cluster 1 Dist]:[Cluster 3 Dist]],0)</f>
        <v>1</v>
      </c>
      <c r="U121">
        <f t="shared" si="7"/>
        <v>110</v>
      </c>
      <c r="V12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165.55380250641852</v>
      </c>
      <c r="W12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1264.1346905420248</v>
      </c>
      <c r="X12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361.73502620519531</v>
      </c>
      <c r="AA121" s="7">
        <f>MATCH(MIN(Table4810[[#This Row],[Cluster 1 Dist]:[Cluster 3 Dist]]),Table4810[[#This Row],[Cluster 1 Dist]:[Cluster 3 Dist]],0)</f>
        <v>1</v>
      </c>
      <c r="AB121">
        <f t="shared" si="8"/>
        <v>110</v>
      </c>
      <c r="AC12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188.48682124133651</v>
      </c>
      <c r="AD12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1475.2379263022624</v>
      </c>
      <c r="AE12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441.75042399244569</v>
      </c>
    </row>
    <row r="122" spans="2:31" x14ac:dyDescent="0.3">
      <c r="B122">
        <f t="shared" si="5"/>
        <v>120</v>
      </c>
      <c r="C122">
        <v>431</v>
      </c>
      <c r="D122">
        <v>192</v>
      </c>
      <c r="E122">
        <v>197</v>
      </c>
      <c r="F122">
        <v>3500</v>
      </c>
      <c r="G122">
        <v>1</v>
      </c>
      <c r="K122" s="7">
        <f>MATCH(MIN(Table4[[#This Row],[Cluster 1 Dist]:[Cluster 3 Dist]]),Table4[[#This Row],[Cluster 1 Dist]:[Cluster 3 Dist]],0)</f>
        <v>1</v>
      </c>
      <c r="L122">
        <f t="shared" si="6"/>
        <v>111</v>
      </c>
      <c r="M12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196.53752822298341</v>
      </c>
      <c r="N12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969.85514382303506</v>
      </c>
      <c r="O12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394.84427310016792</v>
      </c>
      <c r="T122" s="7">
        <f>MATCH(MIN(Table48[[#This Row],[Cluster 1 Dist]:[Cluster 3 Dist]]),Table48[[#This Row],[Cluster 1 Dist]:[Cluster 3 Dist]],0)</f>
        <v>1</v>
      </c>
      <c r="U122">
        <f t="shared" si="7"/>
        <v>111</v>
      </c>
      <c r="V12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176.80586542755518</v>
      </c>
      <c r="W12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1319.6102826251386</v>
      </c>
      <c r="X12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438.11427150682846</v>
      </c>
      <c r="AA122" s="7">
        <f>MATCH(MIN(Table4810[[#This Row],[Cluster 1 Dist]:[Cluster 3 Dist]]),Table4810[[#This Row],[Cluster 1 Dist]:[Cluster 3 Dist]],0)</f>
        <v>1</v>
      </c>
      <c r="AB122">
        <f t="shared" si="8"/>
        <v>111</v>
      </c>
      <c r="AC12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193.15273084747588</v>
      </c>
      <c r="AD12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1529.0854530608301</v>
      </c>
      <c r="AE12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513.17176086094662</v>
      </c>
    </row>
    <row r="123" spans="2:31" x14ac:dyDescent="0.3">
      <c r="B123">
        <f t="shared" si="5"/>
        <v>121</v>
      </c>
      <c r="C123">
        <v>368</v>
      </c>
      <c r="D123">
        <v>185</v>
      </c>
      <c r="E123">
        <v>193</v>
      </c>
      <c r="F123">
        <v>3500</v>
      </c>
      <c r="G123">
        <v>0</v>
      </c>
      <c r="K123" s="7">
        <f>MATCH(MIN(Table4[[#This Row],[Cluster 1 Dist]:[Cluster 3 Dist]]),Table4[[#This Row],[Cluster 1 Dist]:[Cluster 3 Dist]],0)</f>
        <v>3</v>
      </c>
      <c r="L123">
        <f t="shared" si="6"/>
        <v>112</v>
      </c>
      <c r="M12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325.65472513077407</v>
      </c>
      <c r="N12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525.690973862021</v>
      </c>
      <c r="O12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92.03260291874831</v>
      </c>
      <c r="T123" s="7">
        <f>MATCH(MIN(Table48[[#This Row],[Cluster 1 Dist]:[Cluster 3 Dist]]),Table48[[#This Row],[Cluster 1 Dist]:[Cluster 3 Dist]],0)</f>
        <v>3</v>
      </c>
      <c r="U123">
        <f t="shared" si="7"/>
        <v>112</v>
      </c>
      <c r="V12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536.52814974027979</v>
      </c>
      <c r="W12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888.79110855344504</v>
      </c>
      <c r="X12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46.834060081029435</v>
      </c>
      <c r="AA123" s="7">
        <f>MATCH(MIN(Table4810[[#This Row],[Cluster 1 Dist]:[Cluster 3 Dist]]),Table4810[[#This Row],[Cluster 1 Dist]:[Cluster 3 Dist]],0)</f>
        <v>3</v>
      </c>
      <c r="AB123">
        <f t="shared" si="8"/>
        <v>112</v>
      </c>
      <c r="AC12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560.49064224350184</v>
      </c>
      <c r="AD12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1099.4974042444694</v>
      </c>
      <c r="AE12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78.16051221002985</v>
      </c>
    </row>
    <row r="124" spans="2:31" x14ac:dyDescent="0.3">
      <c r="B124">
        <f t="shared" si="5"/>
        <v>122</v>
      </c>
      <c r="C124">
        <v>375</v>
      </c>
      <c r="D124">
        <v>185</v>
      </c>
      <c r="E124">
        <v>199</v>
      </c>
      <c r="F124">
        <v>4475</v>
      </c>
      <c r="G124">
        <v>1</v>
      </c>
      <c r="K124" s="7">
        <f>MATCH(MIN(Table4[[#This Row],[Cluster 1 Dist]:[Cluster 3 Dist]]),Table4[[#This Row],[Cluster 1 Dist]:[Cluster 3 Dist]],0)</f>
        <v>1</v>
      </c>
      <c r="L124">
        <f t="shared" si="6"/>
        <v>113</v>
      </c>
      <c r="M12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503.64173774618797</v>
      </c>
      <c r="N12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1352.4078526835017</v>
      </c>
      <c r="O12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750.95539148474063</v>
      </c>
      <c r="T124" s="7">
        <f>MATCH(MIN(Table48[[#This Row],[Cluster 1 Dist]:[Cluster 3 Dist]]),Table48[[#This Row],[Cluster 1 Dist]:[Cluster 3 Dist]],0)</f>
        <v>1</v>
      </c>
      <c r="U124">
        <f t="shared" si="7"/>
        <v>113</v>
      </c>
      <c r="V12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291.99673256282273</v>
      </c>
      <c r="W12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1713.7005096059986</v>
      </c>
      <c r="X12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810.73895783729404</v>
      </c>
      <c r="AA124" s="7">
        <f>MATCH(MIN(Table4810[[#This Row],[Cluster 1 Dist]:[Cluster 3 Dist]]),Table4810[[#This Row],[Cluster 1 Dist]:[Cluster 3 Dist]],0)</f>
        <v>1</v>
      </c>
      <c r="AB124">
        <f t="shared" si="8"/>
        <v>113</v>
      </c>
      <c r="AC12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268.01934396267967</v>
      </c>
      <c r="AD12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1924.8694442888236</v>
      </c>
      <c r="AE12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890.89840100149991</v>
      </c>
    </row>
    <row r="125" spans="2:31" x14ac:dyDescent="0.3">
      <c r="B125">
        <f t="shared" si="5"/>
        <v>123</v>
      </c>
      <c r="C125">
        <v>381</v>
      </c>
      <c r="D125">
        <v>176</v>
      </c>
      <c r="E125">
        <v>187</v>
      </c>
      <c r="F125">
        <v>3425</v>
      </c>
      <c r="G125">
        <v>0</v>
      </c>
      <c r="K125" s="7">
        <f>MATCH(MIN(Table4[[#This Row],[Cluster 1 Dist]:[Cluster 3 Dist]]),Table4[[#This Row],[Cluster 1 Dist]:[Cluster 3 Dist]],0)</f>
        <v>3</v>
      </c>
      <c r="L125">
        <f t="shared" si="6"/>
        <v>114</v>
      </c>
      <c r="M12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480.25514052428423</v>
      </c>
      <c r="N12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443.7668306667365</v>
      </c>
      <c r="O12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270.01111088249684</v>
      </c>
      <c r="T125" s="7">
        <f>MATCH(MIN(Table48[[#This Row],[Cluster 1 Dist]:[Cluster 3 Dist]]),Table48[[#This Row],[Cluster 1 Dist]:[Cluster 3 Dist]],0)</f>
        <v>3</v>
      </c>
      <c r="U125">
        <f t="shared" si="7"/>
        <v>114</v>
      </c>
      <c r="V12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673.33982213276875</v>
      </c>
      <c r="W12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773.58201866004936</v>
      </c>
      <c r="X12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205.8897084383199</v>
      </c>
      <c r="AA125" s="7">
        <f>MATCH(MIN(Table4810[[#This Row],[Cluster 1 Dist]:[Cluster 3 Dist]]),Table4810[[#This Row],[Cluster 1 Dist]:[Cluster 3 Dist]],0)</f>
        <v>3</v>
      </c>
      <c r="AB125">
        <f t="shared" si="8"/>
        <v>114</v>
      </c>
      <c r="AC12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696.68900119806642</v>
      </c>
      <c r="AD12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981.39726753993307</v>
      </c>
      <c r="AE12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159.93534095997006</v>
      </c>
    </row>
    <row r="126" spans="2:31" x14ac:dyDescent="0.3">
      <c r="B126">
        <f t="shared" si="5"/>
        <v>124</v>
      </c>
      <c r="C126">
        <v>411</v>
      </c>
      <c r="D126">
        <v>175</v>
      </c>
      <c r="E126">
        <v>190</v>
      </c>
      <c r="F126">
        <v>3900</v>
      </c>
      <c r="G126">
        <v>1</v>
      </c>
      <c r="K126" s="7">
        <f>MATCH(MIN(Table4[[#This Row],[Cluster 1 Dist]:[Cluster 3 Dist]]),Table4[[#This Row],[Cluster 1 Dist]:[Cluster 3 Dist]],0)</f>
        <v>1</v>
      </c>
      <c r="L126">
        <f t="shared" si="6"/>
        <v>115</v>
      </c>
      <c r="M12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275.88765829590858</v>
      </c>
      <c r="N12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1125.8294719894307</v>
      </c>
      <c r="O12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525.94011065899895</v>
      </c>
      <c r="T126" s="7">
        <f>MATCH(MIN(Table48[[#This Row],[Cluster 1 Dist]:[Cluster 3 Dist]]),Table48[[#This Row],[Cluster 1 Dist]:[Cluster 3 Dist]],0)</f>
        <v>1</v>
      </c>
      <c r="U126">
        <f t="shared" si="7"/>
        <v>115</v>
      </c>
      <c r="V12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70.758808632436271</v>
      </c>
      <c r="W12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1488.2692589443984</v>
      </c>
      <c r="X12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585.60091289518425</v>
      </c>
      <c r="AA126" s="7">
        <f>MATCH(MIN(Table4810[[#This Row],[Cluster 1 Dist]:[Cluster 3 Dist]]),Table4810[[#This Row],[Cluster 1 Dist]:[Cluster 3 Dist]],0)</f>
        <v>1</v>
      </c>
      <c r="AB126">
        <f t="shared" si="8"/>
        <v>115</v>
      </c>
      <c r="AC12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51.855979898452659</v>
      </c>
      <c r="AD12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1699.2739165038074</v>
      </c>
      <c r="AE12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665.67993807433345</v>
      </c>
    </row>
    <row r="127" spans="2:31" x14ac:dyDescent="0.3">
      <c r="B127">
        <f t="shared" si="5"/>
        <v>125</v>
      </c>
      <c r="C127">
        <v>356</v>
      </c>
      <c r="D127">
        <v>175</v>
      </c>
      <c r="E127">
        <v>191</v>
      </c>
      <c r="F127">
        <v>3175</v>
      </c>
      <c r="G127">
        <v>0</v>
      </c>
      <c r="K127" s="7">
        <f>MATCH(MIN(Table4[[#This Row],[Cluster 1 Dist]:[Cluster 3 Dist]]),Table4[[#This Row],[Cluster 1 Dist]:[Cluster 3 Dist]],0)</f>
        <v>2</v>
      </c>
      <c r="L127">
        <f t="shared" si="6"/>
        <v>116</v>
      </c>
      <c r="M12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750.15598377937374</v>
      </c>
      <c r="N12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103.86529738079028</v>
      </c>
      <c r="O12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502.86479296128897</v>
      </c>
      <c r="T127" s="7">
        <f>MATCH(MIN(Table48[[#This Row],[Cluster 1 Dist]:[Cluster 3 Dist]]),Table48[[#This Row],[Cluster 1 Dist]:[Cluster 3 Dist]],0)</f>
        <v>3</v>
      </c>
      <c r="U127">
        <f t="shared" si="7"/>
        <v>116</v>
      </c>
      <c r="V12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960.35433323472751</v>
      </c>
      <c r="W12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464.59934937076838</v>
      </c>
      <c r="X12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441.83167517016437</v>
      </c>
      <c r="AA127" s="7">
        <f>MATCH(MIN(Table4810[[#This Row],[Cluster 1 Dist]:[Cluster 3 Dist]]),Table4810[[#This Row],[Cluster 1 Dist]:[Cluster 3 Dist]],0)</f>
        <v>3</v>
      </c>
      <c r="AB127">
        <f t="shared" si="8"/>
        <v>116</v>
      </c>
      <c r="AC12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984.15821414918639</v>
      </c>
      <c r="AD12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675.00109144146995</v>
      </c>
      <c r="AE12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361.98790949604279</v>
      </c>
    </row>
    <row r="128" spans="2:31" x14ac:dyDescent="0.3">
      <c r="B128">
        <f t="shared" si="5"/>
        <v>126</v>
      </c>
      <c r="C128">
        <v>402</v>
      </c>
      <c r="D128">
        <v>201</v>
      </c>
      <c r="E128">
        <v>200</v>
      </c>
      <c r="F128">
        <v>3975</v>
      </c>
      <c r="G128">
        <v>1</v>
      </c>
      <c r="K128" s="7">
        <f>MATCH(MIN(Table4[[#This Row],[Cluster 1 Dist]:[Cluster 3 Dist]]),Table4[[#This Row],[Cluster 1 Dist]:[Cluster 3 Dist]],0)</f>
        <v>1</v>
      </c>
      <c r="L128">
        <f t="shared" si="6"/>
        <v>117</v>
      </c>
      <c r="M12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620.46675978653366</v>
      </c>
      <c r="N12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1401.4253458532851</v>
      </c>
      <c r="O12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817.34570409343928</v>
      </c>
      <c r="T128" s="7">
        <f>MATCH(MIN(Table48[[#This Row],[Cluster 1 Dist]:[Cluster 3 Dist]]),Table48[[#This Row],[Cluster 1 Dist]:[Cluster 3 Dist]],0)</f>
        <v>1</v>
      </c>
      <c r="U128">
        <f t="shared" si="7"/>
        <v>117</v>
      </c>
      <c r="V12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445.81636717543921</v>
      </c>
      <c r="W12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1750.8041069126709</v>
      </c>
      <c r="X12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876.95272753240818</v>
      </c>
      <c r="AA128" s="7">
        <f>MATCH(MIN(Table4810[[#This Row],[Cluster 1 Dist]:[Cluster 3 Dist]]),Table4810[[#This Row],[Cluster 1 Dist]:[Cluster 3 Dist]],0)</f>
        <v>1</v>
      </c>
      <c r="AB128">
        <f t="shared" si="8"/>
        <v>117</v>
      </c>
      <c r="AC12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425.24126047192368</v>
      </c>
      <c r="AD12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1960.4235758465175</v>
      </c>
      <c r="AE12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952.52953407649341</v>
      </c>
    </row>
    <row r="129" spans="2:31" x14ac:dyDescent="0.3">
      <c r="B129">
        <f t="shared" si="5"/>
        <v>127</v>
      </c>
      <c r="C129">
        <v>37</v>
      </c>
      <c r="D129">
        <v>165</v>
      </c>
      <c r="E129">
        <v>185</v>
      </c>
      <c r="F129">
        <v>3400</v>
      </c>
      <c r="G129">
        <v>0</v>
      </c>
      <c r="K129" s="7">
        <f>MATCH(MIN(Table4[[#This Row],[Cluster 1 Dist]:[Cluster 3 Dist]]),Table4[[#This Row],[Cluster 1 Dist]:[Cluster 3 Dist]],0)</f>
        <v>3</v>
      </c>
      <c r="L129">
        <f t="shared" si="6"/>
        <v>118</v>
      </c>
      <c r="M12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482.36708013710887</v>
      </c>
      <c r="N12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445.2617207890209</v>
      </c>
      <c r="O12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278.94981627525766</v>
      </c>
      <c r="T129" s="7">
        <f>MATCH(MIN(Table48[[#This Row],[Cluster 1 Dist]:[Cluster 3 Dist]]),Table48[[#This Row],[Cluster 1 Dist]:[Cluster 3 Dist]],0)</f>
        <v>3</v>
      </c>
      <c r="U129">
        <f t="shared" si="7"/>
        <v>118</v>
      </c>
      <c r="V12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676.24290426202492</v>
      </c>
      <c r="W12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774.78735568209288</v>
      </c>
      <c r="X12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215.33469108268068</v>
      </c>
      <c r="AA129" s="7">
        <f>MATCH(MIN(Table4810[[#This Row],[Cluster 1 Dist]:[Cluster 3 Dist]]),Table4810[[#This Row],[Cluster 1 Dist]:[Cluster 3 Dist]],0)</f>
        <v>3</v>
      </c>
      <c r="AB129">
        <f t="shared" si="8"/>
        <v>118</v>
      </c>
      <c r="AC12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699.85928650843698</v>
      </c>
      <c r="AD12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981.78156877670176</v>
      </c>
      <c r="AE12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171.22229759217629</v>
      </c>
    </row>
    <row r="130" spans="2:31" x14ac:dyDescent="0.3">
      <c r="B130">
        <f t="shared" si="5"/>
        <v>128</v>
      </c>
      <c r="C130">
        <v>397</v>
      </c>
      <c r="D130">
        <v>179</v>
      </c>
      <c r="E130">
        <v>193</v>
      </c>
      <c r="F130">
        <v>4250</v>
      </c>
      <c r="G130">
        <v>1</v>
      </c>
      <c r="K130" s="7">
        <f>MATCH(MIN(Table4[[#This Row],[Cluster 1 Dist]:[Cluster 3 Dist]]),Table4[[#This Row],[Cluster 1 Dist]:[Cluster 3 Dist]],0)</f>
        <v>1</v>
      </c>
      <c r="L130">
        <f t="shared" si="6"/>
        <v>119</v>
      </c>
      <c r="M13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226.19681695373168</v>
      </c>
      <c r="N13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1075.8526850828603</v>
      </c>
      <c r="O13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475.77936062843247</v>
      </c>
      <c r="T130" s="7">
        <f>MATCH(MIN(Table48[[#This Row],[Cluster 1 Dist]:[Cluster 3 Dist]]),Table48[[#This Row],[Cluster 1 Dist]:[Cluster 3 Dist]],0)</f>
        <v>1</v>
      </c>
      <c r="U130">
        <f t="shared" si="7"/>
        <v>119</v>
      </c>
      <c r="V13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31.581398902795396</v>
      </c>
      <c r="W13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1438.3856156115148</v>
      </c>
      <c r="X13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535.62110865873854</v>
      </c>
      <c r="AA130" s="7">
        <f>MATCH(MIN(Table4810[[#This Row],[Cluster 1 Dist]:[Cluster 3 Dist]]),Table4810[[#This Row],[Cluster 1 Dist]:[Cluster 3 Dist]],0)</f>
        <v>1</v>
      </c>
      <c r="AB130">
        <f t="shared" si="8"/>
        <v>119</v>
      </c>
      <c r="AC13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31.444555053825802</v>
      </c>
      <c r="AD13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1649.4213579049256</v>
      </c>
      <c r="AE13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615.72187517879854</v>
      </c>
    </row>
    <row r="131" spans="2:31" x14ac:dyDescent="0.3">
      <c r="B131">
        <f t="shared" si="5"/>
        <v>129</v>
      </c>
      <c r="C131">
        <v>402</v>
      </c>
      <c r="D131">
        <v>171</v>
      </c>
      <c r="E131">
        <v>193</v>
      </c>
      <c r="F131">
        <v>3400</v>
      </c>
      <c r="G131">
        <v>0</v>
      </c>
      <c r="K131" s="7">
        <f>MATCH(MIN(Table4[[#This Row],[Cluster 1 Dist]:[Cluster 3 Dist]]),Table4[[#This Row],[Cluster 1 Dist]:[Cluster 3 Dist]],0)</f>
        <v>1</v>
      </c>
      <c r="L131">
        <f t="shared" si="6"/>
        <v>120</v>
      </c>
      <c r="M13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57.9396237474839</v>
      </c>
      <c r="N13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900.38269641303077</v>
      </c>
      <c r="O13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307.7044036083982</v>
      </c>
      <c r="T131" s="7">
        <f>MATCH(MIN(Table48[[#This Row],[Cluster 1 Dist]:[Cluster 3 Dist]]),Table48[[#This Row],[Cluster 1 Dist]:[Cluster 3 Dist]],0)</f>
        <v>1</v>
      </c>
      <c r="U131">
        <f t="shared" si="7"/>
        <v>120</v>
      </c>
      <c r="V13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172.84473942986131</v>
      </c>
      <c r="W13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1264.0658864698196</v>
      </c>
      <c r="X13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365.6895647336712</v>
      </c>
      <c r="AA131" s="7">
        <f>MATCH(MIN(Table4810[[#This Row],[Cluster 1 Dist]:[Cluster 3 Dist]]),Table4810[[#This Row],[Cluster 1 Dist]:[Cluster 3 Dist]],0)</f>
        <v>1</v>
      </c>
      <c r="AB131">
        <f t="shared" si="8"/>
        <v>120</v>
      </c>
      <c r="AC13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196.89690316842396</v>
      </c>
      <c r="AD13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1474.6036735323564</v>
      </c>
      <c r="AE13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444.61336756930183</v>
      </c>
    </row>
    <row r="132" spans="2:31" x14ac:dyDescent="0.3">
      <c r="B132">
        <f t="shared" si="5"/>
        <v>130</v>
      </c>
      <c r="C132">
        <v>406</v>
      </c>
      <c r="D132">
        <v>172</v>
      </c>
      <c r="E132">
        <v>187</v>
      </c>
      <c r="F132">
        <v>3475</v>
      </c>
      <c r="G132">
        <v>1</v>
      </c>
      <c r="K132" s="7">
        <f>MATCH(MIN(Table4[[#This Row],[Cluster 1 Dist]:[Cluster 3 Dist]]),Table4[[#This Row],[Cluster 1 Dist]:[Cluster 3 Dist]],0)</f>
        <v>1</v>
      </c>
      <c r="L132">
        <f t="shared" si="6"/>
        <v>121</v>
      </c>
      <c r="M13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63.608175575157006</v>
      </c>
      <c r="N13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901.50207986448925</v>
      </c>
      <c r="O13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300.22491568822198</v>
      </c>
      <c r="T132" s="7">
        <f>MATCH(MIN(Table48[[#This Row],[Cluster 1 Dist]:[Cluster 3 Dist]]),Table48[[#This Row],[Cluster 1 Dist]:[Cluster 3 Dist]],0)</f>
        <v>1</v>
      </c>
      <c r="U132">
        <f t="shared" si="7"/>
        <v>121</v>
      </c>
      <c r="V13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162.51694832857032</v>
      </c>
      <c r="W13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1263.9130504113396</v>
      </c>
      <c r="X13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360.87013973880119</v>
      </c>
      <c r="AA132" s="7">
        <f>MATCH(MIN(Table4810[[#This Row],[Cluster 1 Dist]:[Cluster 3 Dist]]),Table4810[[#This Row],[Cluster 1 Dist]:[Cluster 3 Dist]],0)</f>
        <v>1</v>
      </c>
      <c r="AB132">
        <f t="shared" si="8"/>
        <v>121</v>
      </c>
      <c r="AC13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185.45572317921173</v>
      </c>
      <c r="AD13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1475.0989869810028</v>
      </c>
      <c r="AE13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441.05165333215717</v>
      </c>
    </row>
    <row r="133" spans="2:31" x14ac:dyDescent="0.3">
      <c r="B133">
        <f t="shared" si="5"/>
        <v>131</v>
      </c>
      <c r="C133">
        <v>321</v>
      </c>
      <c r="D133">
        <v>155</v>
      </c>
      <c r="E133">
        <v>188</v>
      </c>
      <c r="F133">
        <v>3050</v>
      </c>
      <c r="G133">
        <v>0</v>
      </c>
      <c r="K133" s="7">
        <f>MATCH(MIN(Table4[[#This Row],[Cluster 1 Dist]:[Cluster 3 Dist]]),Table4[[#This Row],[Cluster 1 Dist]:[Cluster 3 Dist]],0)</f>
        <v>2</v>
      </c>
      <c r="L133">
        <f t="shared" si="6"/>
        <v>122</v>
      </c>
      <c r="M13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925.65814424116638</v>
      </c>
      <c r="N13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88.096537956948112</v>
      </c>
      <c r="O13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675.24069782559764</v>
      </c>
      <c r="T133" s="7">
        <f>MATCH(MIN(Table48[[#This Row],[Cluster 1 Dist]:[Cluster 3 Dist]]),Table48[[#This Row],[Cluster 1 Dist]:[Cluster 3 Dist]],0)</f>
        <v>2</v>
      </c>
      <c r="U133">
        <f t="shared" si="7"/>
        <v>122</v>
      </c>
      <c r="V13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1134.5856142529697</v>
      </c>
      <c r="W13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291.53273849425426</v>
      </c>
      <c r="X13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614.93156463436947</v>
      </c>
      <c r="AA133" s="7">
        <f>MATCH(MIN(Table4810[[#This Row],[Cluster 1 Dist]:[Cluster 3 Dist]]),Table4810[[#This Row],[Cluster 1 Dist]:[Cluster 3 Dist]],0)</f>
        <v>2</v>
      </c>
      <c r="AB133">
        <f t="shared" si="8"/>
        <v>122</v>
      </c>
      <c r="AC13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1158.1150536254322</v>
      </c>
      <c r="AD13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502.21323258295604</v>
      </c>
      <c r="AE13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534.92961615558636</v>
      </c>
    </row>
    <row r="134" spans="2:31" x14ac:dyDescent="0.3">
      <c r="B134">
        <f t="shared" si="5"/>
        <v>132</v>
      </c>
      <c r="C134">
        <v>407</v>
      </c>
      <c r="D134">
        <v>17</v>
      </c>
      <c r="E134">
        <v>190</v>
      </c>
      <c r="F134">
        <v>3725</v>
      </c>
      <c r="G134">
        <v>1</v>
      </c>
      <c r="K134" s="7">
        <f>MATCH(MIN(Table4[[#This Row],[Cluster 1 Dist]:[Cluster 3 Dist]]),Table4[[#This Row],[Cluster 1 Dist]:[Cluster 3 Dist]],0)</f>
        <v>1</v>
      </c>
      <c r="L134">
        <f t="shared" si="6"/>
        <v>123</v>
      </c>
      <c r="M13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127.93357651531517</v>
      </c>
      <c r="N13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976.18594540179686</v>
      </c>
      <c r="O13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375.92552453910338</v>
      </c>
      <c r="T134" s="7">
        <f>MATCH(MIN(Table48[[#This Row],[Cluster 1 Dist]:[Cluster 3 Dist]]),Table48[[#This Row],[Cluster 1 Dist]:[Cluster 3 Dist]],0)</f>
        <v>1</v>
      </c>
      <c r="U134">
        <f t="shared" si="7"/>
        <v>123</v>
      </c>
      <c r="V13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87.278093269378189</v>
      </c>
      <c r="W13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1338.4443352654071</v>
      </c>
      <c r="X13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435.56570839143251</v>
      </c>
      <c r="AA134" s="7">
        <f>MATCH(MIN(Table4810[[#This Row],[Cluster 1 Dist]:[Cluster 3 Dist]]),Table4810[[#This Row],[Cluster 1 Dist]:[Cluster 3 Dist]],0)</f>
        <v>1</v>
      </c>
      <c r="AB134">
        <f t="shared" si="8"/>
        <v>123</v>
      </c>
      <c r="AC13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110.68874908032829</v>
      </c>
      <c r="AD13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1549.5221603778275</v>
      </c>
      <c r="AE13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515.68945892841987</v>
      </c>
    </row>
    <row r="135" spans="2:31" x14ac:dyDescent="0.3">
      <c r="B135">
        <f t="shared" ref="B135:B198" si="9">1+B134</f>
        <v>133</v>
      </c>
      <c r="C135">
        <v>373</v>
      </c>
      <c r="D135">
        <v>168</v>
      </c>
      <c r="E135">
        <v>192</v>
      </c>
      <c r="F135">
        <v>3000</v>
      </c>
      <c r="G135">
        <v>0</v>
      </c>
      <c r="K135" s="7">
        <f>MATCH(MIN(Table4[[#This Row],[Cluster 1 Dist]:[Cluster 3 Dist]]),Table4[[#This Row],[Cluster 1 Dist]:[Cluster 3 Dist]],0)</f>
        <v>3</v>
      </c>
      <c r="L135">
        <f t="shared" si="6"/>
        <v>124</v>
      </c>
      <c r="M13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350.27846065666097</v>
      </c>
      <c r="N13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501.32324901205209</v>
      </c>
      <c r="O13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112.71202242884297</v>
      </c>
      <c r="T135" s="7">
        <f>MATCH(MIN(Table48[[#This Row],[Cluster 1 Dist]:[Cluster 3 Dist]]),Table48[[#This Row],[Cluster 1 Dist]:[Cluster 3 Dist]],0)</f>
        <v>3</v>
      </c>
      <c r="U135">
        <f t="shared" si="7"/>
        <v>124</v>
      </c>
      <c r="V13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560.59167057698403</v>
      </c>
      <c r="W13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863.51630379564313</v>
      </c>
      <c r="X13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54.877791872635889</v>
      </c>
      <c r="AA135" s="7">
        <f>MATCH(MIN(Table4810[[#This Row],[Cluster 1 Dist]:[Cluster 3 Dist]]),Table4810[[#This Row],[Cluster 1 Dist]:[Cluster 3 Dist]],0)</f>
        <v>3</v>
      </c>
      <c r="AB135">
        <f t="shared" si="8"/>
        <v>124</v>
      </c>
      <c r="AC13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584.52743755954214</v>
      </c>
      <c r="AD13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1074.28791045188</v>
      </c>
      <c r="AE13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54.115563753533998</v>
      </c>
    </row>
    <row r="136" spans="2:31" x14ac:dyDescent="0.3">
      <c r="B136">
        <f t="shared" si="9"/>
        <v>134</v>
      </c>
      <c r="C136">
        <v>39</v>
      </c>
      <c r="D136">
        <v>187</v>
      </c>
      <c r="E136">
        <v>185</v>
      </c>
      <c r="F136">
        <v>3650</v>
      </c>
      <c r="G136">
        <v>1</v>
      </c>
      <c r="K136" s="7">
        <f>MATCH(MIN(Table4[[#This Row],[Cluster 1 Dist]:[Cluster 3 Dist]]),Table4[[#This Row],[Cluster 1 Dist]:[Cluster 3 Dist]],0)</f>
        <v>1</v>
      </c>
      <c r="L136">
        <f t="shared" si="6"/>
        <v>125</v>
      </c>
      <c r="M13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378.56439346562956</v>
      </c>
      <c r="N13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1226.8606277813303</v>
      </c>
      <c r="O13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625.36069591876333</v>
      </c>
      <c r="T136" s="7">
        <f>MATCH(MIN(Table48[[#This Row],[Cluster 1 Dist]:[Cluster 3 Dist]]),Table48[[#This Row],[Cluster 1 Dist]:[Cluster 3 Dist]],0)</f>
        <v>1</v>
      </c>
      <c r="U136">
        <f t="shared" si="7"/>
        <v>125</v>
      </c>
      <c r="V13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168.58804883859048</v>
      </c>
      <c r="W13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1588.7987027348613</v>
      </c>
      <c r="X13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685.65405732521583</v>
      </c>
      <c r="AA136" s="7">
        <f>MATCH(MIN(Table4810[[#This Row],[Cluster 1 Dist]:[Cluster 3 Dist]]),Table4810[[#This Row],[Cluster 1 Dist]:[Cluster 3 Dist]],0)</f>
        <v>1</v>
      </c>
      <c r="AB136">
        <f t="shared" si="8"/>
        <v>125</v>
      </c>
      <c r="AC13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144.70659685366056</v>
      </c>
      <c r="AD13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1799.9939024312391</v>
      </c>
      <c r="AE13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765.85157019731696</v>
      </c>
    </row>
    <row r="137" spans="2:31" x14ac:dyDescent="0.3">
      <c r="B137">
        <f t="shared" si="9"/>
        <v>135</v>
      </c>
      <c r="C137">
        <v>392</v>
      </c>
      <c r="D137">
        <v>186</v>
      </c>
      <c r="E137">
        <v>190</v>
      </c>
      <c r="F137">
        <v>4250</v>
      </c>
      <c r="G137">
        <v>1</v>
      </c>
      <c r="K137" s="7">
        <f>MATCH(MIN(Table4[[#This Row],[Cluster 1 Dist]:[Cluster 3 Dist]]),Table4[[#This Row],[Cluster 1 Dist]:[Cluster 3 Dist]],0)</f>
        <v>3</v>
      </c>
      <c r="L137">
        <f t="shared" si="6"/>
        <v>126</v>
      </c>
      <c r="M13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425.62307268286105</v>
      </c>
      <c r="N13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425.28931329155216</v>
      </c>
      <c r="O13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179.67192323788379</v>
      </c>
      <c r="T137" s="7">
        <f>MATCH(MIN(Table48[[#This Row],[Cluster 1 Dist]:[Cluster 3 Dist]]),Table48[[#This Row],[Cluster 1 Dist]:[Cluster 3 Dist]],0)</f>
        <v>3</v>
      </c>
      <c r="U137">
        <f t="shared" si="7"/>
        <v>126</v>
      </c>
      <c r="V13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636.511190685418</v>
      </c>
      <c r="W13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789.73388862431477</v>
      </c>
      <c r="X13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122.96341168105634</v>
      </c>
      <c r="AA137" s="7">
        <f>MATCH(MIN(Table4810[[#This Row],[Cluster 1 Dist]:[Cluster 3 Dist]]),Table4810[[#This Row],[Cluster 1 Dist]:[Cluster 3 Dist]],0)</f>
        <v>3</v>
      </c>
      <c r="AB137">
        <f t="shared" si="8"/>
        <v>126</v>
      </c>
      <c r="AC13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660.27983135539364</v>
      </c>
      <c r="AD13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1000.508319857816</v>
      </c>
      <c r="AE13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56.215223767409846</v>
      </c>
    </row>
    <row r="138" spans="2:31" x14ac:dyDescent="0.3">
      <c r="B138">
        <f t="shared" si="9"/>
        <v>136</v>
      </c>
      <c r="C138">
        <v>366</v>
      </c>
      <c r="D138">
        <v>184</v>
      </c>
      <c r="E138">
        <v>184</v>
      </c>
      <c r="F138">
        <v>3475</v>
      </c>
      <c r="G138">
        <v>0</v>
      </c>
      <c r="K138" s="7">
        <f>MATCH(MIN(Table4[[#This Row],[Cluster 1 Dist]:[Cluster 3 Dist]]),Table4[[#This Row],[Cluster 1 Dist]:[Cluster 3 Dist]],0)</f>
        <v>1</v>
      </c>
      <c r="L138">
        <f t="shared" si="6"/>
        <v>127</v>
      </c>
      <c r="M13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398.88218812075326</v>
      </c>
      <c r="N13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1069.3890779318817</v>
      </c>
      <c r="O13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516.91585388726469</v>
      </c>
      <c r="T138" s="7">
        <f>MATCH(MIN(Table48[[#This Row],[Cluster 1 Dist]:[Cluster 3 Dist]]),Table48[[#This Row],[Cluster 1 Dist]:[Cluster 3 Dist]],0)</f>
        <v>1</v>
      </c>
      <c r="U138">
        <f t="shared" si="7"/>
        <v>127</v>
      </c>
      <c r="V13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344.67310073868413</v>
      </c>
      <c r="W13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1410.7461725471853</v>
      </c>
      <c r="X13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570.70124837602987</v>
      </c>
      <c r="AA138" s="7">
        <f>MATCH(MIN(Table4810[[#This Row],[Cluster 1 Dist]:[Cluster 3 Dist]]),Table4810[[#This Row],[Cluster 1 Dist]:[Cluster 3 Dist]],0)</f>
        <v>1</v>
      </c>
      <c r="AB138">
        <f t="shared" si="8"/>
        <v>127</v>
      </c>
      <c r="AC13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342.49874522006019</v>
      </c>
      <c r="AD13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1618.8381744606256</v>
      </c>
      <c r="AE13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638.65875749579834</v>
      </c>
    </row>
    <row r="139" spans="2:31" x14ac:dyDescent="0.3">
      <c r="B139">
        <f t="shared" si="9"/>
        <v>137</v>
      </c>
      <c r="C139">
        <v>36</v>
      </c>
      <c r="D139">
        <v>178</v>
      </c>
      <c r="E139">
        <v>195</v>
      </c>
      <c r="F139">
        <v>3450</v>
      </c>
      <c r="G139">
        <v>0</v>
      </c>
      <c r="K139" s="7">
        <f>MATCH(MIN(Table4[[#This Row],[Cluster 1 Dist]:[Cluster 3 Dist]]),Table4[[#This Row],[Cluster 1 Dist]:[Cluster 3 Dist]],0)</f>
        <v>2</v>
      </c>
      <c r="L139">
        <f t="shared" si="6"/>
        <v>128</v>
      </c>
      <c r="M13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700.16426644038324</v>
      </c>
      <c r="N13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154.22062118925601</v>
      </c>
      <c r="O13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451.57612868706866</v>
      </c>
      <c r="T139" s="7">
        <f>MATCH(MIN(Table48[[#This Row],[Cluster 1 Dist]:[Cluster 3 Dist]]),Table48[[#This Row],[Cluster 1 Dist]:[Cluster 3 Dist]],0)</f>
        <v>3</v>
      </c>
      <c r="U139">
        <f t="shared" si="7"/>
        <v>128</v>
      </c>
      <c r="V13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909.70313778620732</v>
      </c>
      <c r="W13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514.01371576077293</v>
      </c>
      <c r="X13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390.50242440910387</v>
      </c>
      <c r="AA139" s="7">
        <f>MATCH(MIN(Table4810[[#This Row],[Cluster 1 Dist]:[Cluster 3 Dist]]),Table4810[[#This Row],[Cluster 1 Dist]:[Cluster 3 Dist]],0)</f>
        <v>3</v>
      </c>
      <c r="AB139">
        <f t="shared" si="8"/>
        <v>128</v>
      </c>
      <c r="AC13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933.39886112828356</v>
      </c>
      <c r="AD13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724.96156309677804</v>
      </c>
      <c r="AE13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310.51037702524991</v>
      </c>
    </row>
    <row r="140" spans="2:31" x14ac:dyDescent="0.3">
      <c r="B140">
        <f t="shared" si="9"/>
        <v>138</v>
      </c>
      <c r="C140">
        <v>378</v>
      </c>
      <c r="D140">
        <v>181</v>
      </c>
      <c r="E140">
        <v>193</v>
      </c>
      <c r="F140">
        <v>3750</v>
      </c>
      <c r="G140">
        <v>1</v>
      </c>
      <c r="K140" s="7">
        <f>MATCH(MIN(Table4[[#This Row],[Cluster 1 Dist]:[Cluster 3 Dist]]),Table4[[#This Row],[Cluster 1 Dist]:[Cluster 3 Dist]],0)</f>
        <v>1</v>
      </c>
      <c r="L140">
        <f t="shared" si="6"/>
        <v>129</v>
      </c>
      <c r="M14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151.13570061371999</v>
      </c>
      <c r="N14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1000.8626279365216</v>
      </c>
      <c r="O14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402.62513582735988</v>
      </c>
      <c r="T140" s="7">
        <f>MATCH(MIN(Table48[[#This Row],[Cluster 1 Dist]:[Cluster 3 Dist]]),Table48[[#This Row],[Cluster 1 Dist]:[Cluster 3 Dist]],0)</f>
        <v>1</v>
      </c>
      <c r="U140">
        <f t="shared" si="7"/>
        <v>129</v>
      </c>
      <c r="V14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66.983194855285234</v>
      </c>
      <c r="W14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1363.1342600350433</v>
      </c>
      <c r="X14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461.21820127101802</v>
      </c>
      <c r="AA140" s="7">
        <f>MATCH(MIN(Table4810[[#This Row],[Cluster 1 Dist]:[Cluster 3 Dist]]),Table4810[[#This Row],[Cluster 1 Dist]:[Cluster 3 Dist]],0)</f>
        <v>1</v>
      </c>
      <c r="AB140">
        <f t="shared" si="8"/>
        <v>129</v>
      </c>
      <c r="AC14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90.824719144902858</v>
      </c>
      <c r="AD14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1574.0222734392269</v>
      </c>
      <c r="AE14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541.09491197401974</v>
      </c>
    </row>
    <row r="141" spans="2:31" x14ac:dyDescent="0.3">
      <c r="B141">
        <f t="shared" si="9"/>
        <v>139</v>
      </c>
      <c r="C141">
        <v>36</v>
      </c>
      <c r="D141">
        <v>171</v>
      </c>
      <c r="E141">
        <v>187</v>
      </c>
      <c r="F141">
        <v>3700</v>
      </c>
      <c r="G141">
        <v>0</v>
      </c>
      <c r="K141" s="7">
        <f>MATCH(MIN(Table4[[#This Row],[Cluster 1 Dist]:[Cluster 3 Dist]]),Table4[[#This Row],[Cluster 1 Dist]:[Cluster 3 Dist]],0)</f>
        <v>1</v>
      </c>
      <c r="L141">
        <f t="shared" si="6"/>
        <v>130</v>
      </c>
      <c r="M14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76.400261779656233</v>
      </c>
      <c r="N14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925.88282195966895</v>
      </c>
      <c r="O14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328.65179141456082</v>
      </c>
      <c r="T141" s="7">
        <f>MATCH(MIN(Table48[[#This Row],[Cluster 1 Dist]:[Cluster 3 Dist]]),Table48[[#This Row],[Cluster 1 Dist]:[Cluster 3 Dist]],0)</f>
        <v>1</v>
      </c>
      <c r="U141">
        <f t="shared" si="7"/>
        <v>130</v>
      </c>
      <c r="V14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138.63020685120165</v>
      </c>
      <c r="W14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1288.248481270266</v>
      </c>
      <c r="X14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386.76921954011971</v>
      </c>
      <c r="AA141" s="7">
        <f>MATCH(MIN(Table4810[[#This Row],[Cluster 1 Dist]:[Cluster 3 Dist]]),Table4810[[#This Row],[Cluster 1 Dist]:[Cluster 3 Dist]],0)</f>
        <v>1</v>
      </c>
      <c r="AB141">
        <f t="shared" si="8"/>
        <v>130</v>
      </c>
      <c r="AC14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162.9807912098928</v>
      </c>
      <c r="AD14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1499.0975255984499</v>
      </c>
      <c r="AE14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466.51136764833996</v>
      </c>
    </row>
    <row r="142" spans="2:31" x14ac:dyDescent="0.3">
      <c r="B142">
        <f t="shared" si="9"/>
        <v>140</v>
      </c>
      <c r="C142">
        <v>415</v>
      </c>
      <c r="D142">
        <v>185</v>
      </c>
      <c r="E142">
        <v>201</v>
      </c>
      <c r="F142">
        <v>4000</v>
      </c>
      <c r="G142">
        <v>1</v>
      </c>
      <c r="K142" s="7">
        <f>MATCH(MIN(Table4[[#This Row],[Cluster 1 Dist]:[Cluster 3 Dist]]),Table4[[#This Row],[Cluster 1 Dist]:[Cluster 3 Dist]],0)</f>
        <v>1</v>
      </c>
      <c r="L142">
        <f t="shared" si="6"/>
        <v>131</v>
      </c>
      <c r="M14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508.14564841194891</v>
      </c>
      <c r="N14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1354.3079413486432</v>
      </c>
      <c r="O14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752.24264702288713</v>
      </c>
      <c r="T142" s="7">
        <f>MATCH(MIN(Table48[[#This Row],[Cluster 1 Dist]:[Cluster 3 Dist]]),Table48[[#This Row],[Cluster 1 Dist]:[Cluster 3 Dist]],0)</f>
        <v>1</v>
      </c>
      <c r="U142">
        <f t="shared" si="7"/>
        <v>131</v>
      </c>
      <c r="V14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296.13322982597305</v>
      </c>
      <c r="W14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1714.8123070776719</v>
      </c>
      <c r="X14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812.20903399184056</v>
      </c>
      <c r="AA142" s="7">
        <f>MATCH(MIN(Table4810[[#This Row],[Cluster 1 Dist]:[Cluster 3 Dist]]),Table4810[[#This Row],[Cluster 1 Dist]:[Cluster 3 Dist]],0)</f>
        <v>1</v>
      </c>
      <c r="AB142">
        <f t="shared" si="8"/>
        <v>131</v>
      </c>
      <c r="AC14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271.70024091284546</v>
      </c>
      <c r="AD14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1926.0899513897152</v>
      </c>
      <c r="AE14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892.32422516246368</v>
      </c>
    </row>
    <row r="143" spans="2:31" x14ac:dyDescent="0.3">
      <c r="B143">
        <f t="shared" si="9"/>
        <v>141</v>
      </c>
      <c r="C143">
        <v>465</v>
      </c>
      <c r="D143">
        <v>179</v>
      </c>
      <c r="E143">
        <v>192</v>
      </c>
      <c r="F143">
        <v>3500</v>
      </c>
      <c r="G143">
        <v>0</v>
      </c>
      <c r="K143" s="7">
        <f>MATCH(MIN(Table4[[#This Row],[Cluster 1 Dist]:[Cluster 3 Dist]]),Table4[[#This Row],[Cluster 1 Dist]:[Cluster 3 Dist]],0)</f>
        <v>3</v>
      </c>
      <c r="L143">
        <f t="shared" si="6"/>
        <v>132</v>
      </c>
      <c r="M14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243.38446951274437</v>
      </c>
      <c r="N14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702.3688489675493</v>
      </c>
      <c r="O14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198.1035082980612</v>
      </c>
      <c r="T143" s="7">
        <f>MATCH(MIN(Table48[[#This Row],[Cluster 1 Dist]:[Cluster 3 Dist]]),Table48[[#This Row],[Cluster 1 Dist]:[Cluster 3 Dist]],0)</f>
        <v>3</v>
      </c>
      <c r="U143">
        <f t="shared" si="7"/>
        <v>132</v>
      </c>
      <c r="V14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408.66614873303831</v>
      </c>
      <c r="W14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1046.1104484170046</v>
      </c>
      <c r="X14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204.60882688881307</v>
      </c>
      <c r="AA143" s="7">
        <f>MATCH(MIN(Table4810[[#This Row],[Cluster 1 Dist]:[Cluster 3 Dist]]),Table4810[[#This Row],[Cluster 1 Dist]:[Cluster 3 Dist]],0)</f>
        <v>3</v>
      </c>
      <c r="AB143">
        <f t="shared" si="8"/>
        <v>132</v>
      </c>
      <c r="AC14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431.35904952574083</v>
      </c>
      <c r="AD14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1254.9730475828972</v>
      </c>
      <c r="AE14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262.92662194246714</v>
      </c>
    </row>
    <row r="144" spans="2:31" x14ac:dyDescent="0.3">
      <c r="B144">
        <f t="shared" si="9"/>
        <v>142</v>
      </c>
      <c r="C144">
        <v>50</v>
      </c>
      <c r="D144">
        <v>195</v>
      </c>
      <c r="E144">
        <v>196</v>
      </c>
      <c r="F144">
        <v>3900</v>
      </c>
      <c r="G144">
        <v>1</v>
      </c>
      <c r="K144" s="7">
        <f>MATCH(MIN(Table4[[#This Row],[Cluster 1 Dist]:[Cluster 3 Dist]]),Table4[[#This Row],[Cluster 1 Dist]:[Cluster 3 Dist]],0)</f>
        <v>1</v>
      </c>
      <c r="L144">
        <f t="shared" ref="L144:L207" si="10">1+L143</f>
        <v>133</v>
      </c>
      <c r="M14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551.35741583840149</v>
      </c>
      <c r="N14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1401.2348125849571</v>
      </c>
      <c r="O14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800.52108029707745</v>
      </c>
      <c r="T144" s="7">
        <f>MATCH(MIN(Table48[[#This Row],[Cluster 1 Dist]:[Cluster 3 Dist]]),Table48[[#This Row],[Cluster 1 Dist]:[Cluster 3 Dist]],0)</f>
        <v>1</v>
      </c>
      <c r="U144">
        <f t="shared" ref="U144:U207" si="11">1+U143</f>
        <v>133</v>
      </c>
      <c r="V14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341.26427288624387</v>
      </c>
      <c r="W14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1763.2557788291392</v>
      </c>
      <c r="X14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860.3615854715398</v>
      </c>
      <c r="AA144" s="7">
        <f>MATCH(MIN(Table4810[[#This Row],[Cluster 1 Dist]:[Cluster 3 Dist]]),Table4810[[#This Row],[Cluster 1 Dist]:[Cluster 3 Dist]],0)</f>
        <v>1</v>
      </c>
      <c r="AB144">
        <f t="shared" ref="AB144:AB207" si="12">1+AB143</f>
        <v>133</v>
      </c>
      <c r="AC14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317.79029734403673</v>
      </c>
      <c r="AD14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1974.3198362760093</v>
      </c>
      <c r="AE14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940.49833748486299</v>
      </c>
    </row>
    <row r="145" spans="2:31" x14ac:dyDescent="0.3">
      <c r="B145">
        <f t="shared" si="9"/>
        <v>143</v>
      </c>
      <c r="C145">
        <v>513</v>
      </c>
      <c r="D145">
        <v>192</v>
      </c>
      <c r="E145">
        <v>193</v>
      </c>
      <c r="F145">
        <v>3650</v>
      </c>
      <c r="G145">
        <v>1</v>
      </c>
      <c r="K145" s="7">
        <f>MATCH(MIN(Table4[[#This Row],[Cluster 1 Dist]:[Cluster 3 Dist]]),Table4[[#This Row],[Cluster 1 Dist]:[Cluster 3 Dist]],0)</f>
        <v>3</v>
      </c>
      <c r="L145">
        <f t="shared" si="10"/>
        <v>134</v>
      </c>
      <c r="M14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380.38664540175432</v>
      </c>
      <c r="N14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838.48196164258661</v>
      </c>
      <c r="O14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357.16242803520083</v>
      </c>
      <c r="T145" s="7">
        <f>MATCH(MIN(Table48[[#This Row],[Cluster 1 Dist]:[Cluster 3 Dist]]),Table48[[#This Row],[Cluster 1 Dist]:[Cluster 3 Dist]],0)</f>
        <v>3</v>
      </c>
      <c r="U145">
        <f t="shared" si="11"/>
        <v>134</v>
      </c>
      <c r="V14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458.79970862615562</v>
      </c>
      <c r="W14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1170.9371219474394</v>
      </c>
      <c r="X14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396.33294161884248</v>
      </c>
      <c r="AA145" s="7">
        <f>MATCH(MIN(Table4810[[#This Row],[Cluster 1 Dist]:[Cluster 3 Dist]]),Table4810[[#This Row],[Cluster 1 Dist]:[Cluster 3 Dist]],0)</f>
        <v>3</v>
      </c>
      <c r="AB145">
        <f t="shared" si="12"/>
        <v>134</v>
      </c>
      <c r="AC14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469.892262442576</v>
      </c>
      <c r="AD14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1377.0708866546533</v>
      </c>
      <c r="AE14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446.42299922871661</v>
      </c>
    </row>
    <row r="146" spans="2:31" x14ac:dyDescent="0.3">
      <c r="B146">
        <f t="shared" si="9"/>
        <v>144</v>
      </c>
      <c r="C146">
        <v>454</v>
      </c>
      <c r="D146">
        <v>187</v>
      </c>
      <c r="E146">
        <v>188</v>
      </c>
      <c r="F146">
        <v>3525</v>
      </c>
      <c r="G146">
        <v>0</v>
      </c>
      <c r="K146" s="7">
        <f>MATCH(MIN(Table4[[#This Row],[Cluster 1 Dist]:[Cluster 3 Dist]]),Table4[[#This Row],[Cluster 1 Dist]:[Cluster 3 Dist]],0)</f>
        <v>2</v>
      </c>
      <c r="L146">
        <f t="shared" si="10"/>
        <v>135</v>
      </c>
      <c r="M14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700.17497813046703</v>
      </c>
      <c r="N14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153.59361965915122</v>
      </c>
      <c r="O14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451.02328099556013</v>
      </c>
      <c r="T146" s="7">
        <f>MATCH(MIN(Table48[[#This Row],[Cluster 1 Dist]:[Cluster 3 Dist]]),Table48[[#This Row],[Cluster 1 Dist]:[Cluster 3 Dist]],0)</f>
        <v>3</v>
      </c>
      <c r="U146">
        <f t="shared" si="11"/>
        <v>135</v>
      </c>
      <c r="V14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909.81984614176497</v>
      </c>
      <c r="W14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514.63157155934596</v>
      </c>
      <c r="X14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390.54302932596579</v>
      </c>
      <c r="AA146" s="7">
        <f>MATCH(MIN(Table4810[[#This Row],[Cluster 1 Dist]:[Cluster 3 Dist]]),Table4810[[#This Row],[Cluster 1 Dist]:[Cluster 3 Dist]],0)</f>
        <v>3</v>
      </c>
      <c r="AB146">
        <f t="shared" si="12"/>
        <v>135</v>
      </c>
      <c r="AC14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933.47451657022305</v>
      </c>
      <c r="AD14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725.56405607952559</v>
      </c>
      <c r="AE14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310.67355237471497</v>
      </c>
    </row>
    <row r="147" spans="2:31" x14ac:dyDescent="0.3">
      <c r="B147">
        <f t="shared" si="9"/>
        <v>145</v>
      </c>
      <c r="C147">
        <v>527</v>
      </c>
      <c r="D147">
        <v>198</v>
      </c>
      <c r="E147">
        <v>197</v>
      </c>
      <c r="F147">
        <v>3725</v>
      </c>
      <c r="G147">
        <v>1</v>
      </c>
      <c r="K147" s="7">
        <f>MATCH(MIN(Table4[[#This Row],[Cluster 1 Dist]:[Cluster 3 Dist]]),Table4[[#This Row],[Cluster 1 Dist]:[Cluster 3 Dist]],0)</f>
        <v>1</v>
      </c>
      <c r="L147">
        <f t="shared" si="10"/>
        <v>136</v>
      </c>
      <c r="M14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85.03528679318957</v>
      </c>
      <c r="N14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926.65257783054813</v>
      </c>
      <c r="O14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325.25682160409798</v>
      </c>
      <c r="T147" s="7">
        <f>MATCH(MIN(Table48[[#This Row],[Cluster 1 Dist]:[Cluster 3 Dist]]),Table48[[#This Row],[Cluster 1 Dist]:[Cluster 3 Dist]],0)</f>
        <v>1</v>
      </c>
      <c r="U147">
        <f t="shared" si="11"/>
        <v>136</v>
      </c>
      <c r="V14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138.05960837163116</v>
      </c>
      <c r="W14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1289.0294495365008</v>
      </c>
      <c r="X14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385.95888091233485</v>
      </c>
      <c r="AA147" s="7">
        <f>MATCH(MIN(Table4810[[#This Row],[Cluster 1 Dist]:[Cluster 3 Dist]]),Table4810[[#This Row],[Cluster 1 Dist]:[Cluster 3 Dist]],0)</f>
        <v>1</v>
      </c>
      <c r="AB147">
        <f t="shared" si="12"/>
        <v>136</v>
      </c>
      <c r="AC14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160.72397091019684</v>
      </c>
      <c r="AD14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1500.2195983622496</v>
      </c>
      <c r="AE14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466.15764649227827</v>
      </c>
    </row>
    <row r="148" spans="2:31" x14ac:dyDescent="0.3">
      <c r="B148">
        <f t="shared" si="9"/>
        <v>146</v>
      </c>
      <c r="C148">
        <v>452</v>
      </c>
      <c r="D148">
        <v>178</v>
      </c>
      <c r="E148">
        <v>198</v>
      </c>
      <c r="F148">
        <v>3950</v>
      </c>
      <c r="G148">
        <v>0</v>
      </c>
      <c r="K148" s="7">
        <f>MATCH(MIN(Table4[[#This Row],[Cluster 1 Dist]:[Cluster 3 Dist]]),Table4[[#This Row],[Cluster 1 Dist]:[Cluster 3 Dist]],0)</f>
        <v>1</v>
      </c>
      <c r="L148">
        <f t="shared" si="10"/>
        <v>137</v>
      </c>
      <c r="M14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383.54791095767945</v>
      </c>
      <c r="N14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1022.6040289378876</v>
      </c>
      <c r="O14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479.31617957252394</v>
      </c>
      <c r="T148" s="7">
        <f>MATCH(MIN(Table48[[#This Row],[Cluster 1 Dist]:[Cluster 3 Dist]]),Table48[[#This Row],[Cluster 1 Dist]:[Cluster 3 Dist]],0)</f>
        <v>1</v>
      </c>
      <c r="U148">
        <f t="shared" si="11"/>
        <v>137</v>
      </c>
      <c r="V14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358.31715384063801</v>
      </c>
      <c r="W14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1362.896054160273</v>
      </c>
      <c r="X14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531.863704920955</v>
      </c>
      <c r="AA148" s="7">
        <f>MATCH(MIN(Table4810[[#This Row],[Cluster 1 Dist]:[Cluster 3 Dist]]),Table4810[[#This Row],[Cluster 1 Dist]:[Cluster 3 Dist]],0)</f>
        <v>1</v>
      </c>
      <c r="AB148">
        <f t="shared" si="12"/>
        <v>137</v>
      </c>
      <c r="AC14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359.50672612552</v>
      </c>
      <c r="AD14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1570.6609967137597</v>
      </c>
      <c r="AE14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597.56816622706879</v>
      </c>
    </row>
    <row r="149" spans="2:31" x14ac:dyDescent="0.3">
      <c r="B149">
        <f t="shared" si="9"/>
        <v>147</v>
      </c>
      <c r="C149">
        <v>461</v>
      </c>
      <c r="D149">
        <v>182</v>
      </c>
      <c r="E149">
        <v>178</v>
      </c>
      <c r="F149">
        <v>3250</v>
      </c>
      <c r="G149">
        <v>0</v>
      </c>
      <c r="K149" s="7">
        <f>MATCH(MIN(Table4[[#This Row],[Cluster 1 Dist]:[Cluster 3 Dist]]),Table4[[#This Row],[Cluster 1 Dist]:[Cluster 3 Dist]],0)</f>
        <v>3</v>
      </c>
      <c r="L149">
        <f t="shared" si="10"/>
        <v>138</v>
      </c>
      <c r="M14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202.25973400556029</v>
      </c>
      <c r="N14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651.63563438473807</v>
      </c>
      <c r="O14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54.12947441089743</v>
      </c>
      <c r="T149" s="7">
        <f>MATCH(MIN(Table48[[#This Row],[Cluster 1 Dist]:[Cluster 3 Dist]]),Table48[[#This Row],[Cluster 1 Dist]:[Cluster 3 Dist]],0)</f>
        <v>3</v>
      </c>
      <c r="U149">
        <f t="shared" si="11"/>
        <v>138</v>
      </c>
      <c r="V14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410.06376802586021</v>
      </c>
      <c r="W14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1013.7574020875143</v>
      </c>
      <c r="X14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111.33501841977021</v>
      </c>
      <c r="AA149" s="7">
        <f>MATCH(MIN(Table4810[[#This Row],[Cluster 1 Dist]:[Cluster 3 Dist]]),Table4810[[#This Row],[Cluster 1 Dist]:[Cluster 3 Dist]],0)</f>
        <v>3</v>
      </c>
      <c r="AB149">
        <f t="shared" si="12"/>
        <v>138</v>
      </c>
      <c r="AC14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433.63072754201835</v>
      </c>
      <c r="AD14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1224.9160304552936</v>
      </c>
      <c r="AE14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191.20380289199994</v>
      </c>
    </row>
    <row r="150" spans="2:31" x14ac:dyDescent="0.3">
      <c r="B150">
        <f t="shared" si="9"/>
        <v>148</v>
      </c>
      <c r="C150">
        <v>513</v>
      </c>
      <c r="D150">
        <v>182</v>
      </c>
      <c r="E150">
        <v>197</v>
      </c>
      <c r="F150">
        <v>3750</v>
      </c>
      <c r="G150">
        <v>1</v>
      </c>
      <c r="K150" s="7">
        <f>MATCH(MIN(Table4[[#This Row],[Cluster 1 Dist]:[Cluster 3 Dist]]),Table4[[#This Row],[Cluster 1 Dist]:[Cluster 3 Dist]],0)</f>
        <v>3</v>
      </c>
      <c r="L150">
        <f t="shared" si="10"/>
        <v>139</v>
      </c>
      <c r="M15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399.55224939924943</v>
      </c>
      <c r="N15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796.11180119377707</v>
      </c>
      <c r="O15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342.80460907053163</v>
      </c>
      <c r="T150" s="7">
        <f>MATCH(MIN(Table48[[#This Row],[Cluster 1 Dist]:[Cluster 3 Dist]]),Table48[[#This Row],[Cluster 1 Dist]:[Cluster 3 Dist]],0)</f>
        <v>3</v>
      </c>
      <c r="U150">
        <f t="shared" si="11"/>
        <v>139</v>
      </c>
      <c r="V15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495.07681365958166</v>
      </c>
      <c r="W15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1124.0045633386183</v>
      </c>
      <c r="X15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374.35628642200385</v>
      </c>
      <c r="AA150" s="7">
        <f>MATCH(MIN(Table4810[[#This Row],[Cluster 1 Dist]:[Cluster 3 Dist]]),Table4810[[#This Row],[Cluster 1 Dist]:[Cluster 3 Dist]],0)</f>
        <v>3</v>
      </c>
      <c r="AB150">
        <f t="shared" si="12"/>
        <v>139</v>
      </c>
      <c r="AC15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507.64807139430684</v>
      </c>
      <c r="AD15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1329.4551699059436</v>
      </c>
      <c r="AE15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417.47272389072765</v>
      </c>
    </row>
    <row r="151" spans="2:31" x14ac:dyDescent="0.3">
      <c r="B151">
        <f t="shared" si="9"/>
        <v>149</v>
      </c>
      <c r="C151">
        <v>46</v>
      </c>
      <c r="D151">
        <v>189</v>
      </c>
      <c r="E151">
        <v>195</v>
      </c>
      <c r="F151">
        <v>4150</v>
      </c>
      <c r="G151">
        <v>0</v>
      </c>
      <c r="K151" s="7">
        <f>MATCH(MIN(Table4[[#This Row],[Cluster 1 Dist]:[Cluster 3 Dist]]),Table4[[#This Row],[Cluster 1 Dist]:[Cluster 3 Dist]],0)</f>
        <v>3</v>
      </c>
      <c r="L151">
        <f t="shared" si="10"/>
        <v>140</v>
      </c>
      <c r="M15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450.45088522501538</v>
      </c>
      <c r="N15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400.89400095287033</v>
      </c>
      <c r="O15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207.18349355100662</v>
      </c>
      <c r="T151" s="7">
        <f>MATCH(MIN(Table48[[#This Row],[Cluster 1 Dist]:[Cluster 3 Dist]]),Table48[[#This Row],[Cluster 1 Dist]:[Cluster 3 Dist]],0)</f>
        <v>3</v>
      </c>
      <c r="U151">
        <f t="shared" si="11"/>
        <v>140</v>
      </c>
      <c r="V15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661.1058083296216</v>
      </c>
      <c r="W15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763.9643873497713</v>
      </c>
      <c r="X15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146.78215358906868</v>
      </c>
      <c r="AA151" s="7">
        <f>MATCH(MIN(Table4810[[#This Row],[Cluster 1 Dist]:[Cluster 3 Dist]]),Table4810[[#This Row],[Cluster 1 Dist]:[Cluster 3 Dist]],0)</f>
        <v>3</v>
      </c>
      <c r="AB151">
        <f t="shared" si="12"/>
        <v>140</v>
      </c>
      <c r="AC15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685.01199548298177</v>
      </c>
      <c r="AD15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974.61284594169649</v>
      </c>
      <c r="AE15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73.674761152235945</v>
      </c>
    </row>
    <row r="152" spans="2:31" x14ac:dyDescent="0.3">
      <c r="B152">
        <f t="shared" si="9"/>
        <v>150</v>
      </c>
      <c r="C152">
        <v>513</v>
      </c>
      <c r="D152">
        <v>199</v>
      </c>
      <c r="E152">
        <v>198</v>
      </c>
      <c r="F152">
        <v>3700</v>
      </c>
      <c r="G152">
        <v>1</v>
      </c>
      <c r="K152" s="7">
        <f>MATCH(MIN(Table4[[#This Row],[Cluster 1 Dist]:[Cluster 3 Dist]]),Table4[[#This Row],[Cluster 1 Dist]:[Cluster 3 Dist]],0)</f>
        <v>1</v>
      </c>
      <c r="L152">
        <f t="shared" si="10"/>
        <v>141</v>
      </c>
      <c r="M15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78.179281142768261</v>
      </c>
      <c r="N15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902.07427632096903</v>
      </c>
      <c r="O15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317.2774810792597</v>
      </c>
      <c r="T152" s="7">
        <f>MATCH(MIN(Table48[[#This Row],[Cluster 1 Dist]:[Cluster 3 Dist]]),Table48[[#This Row],[Cluster 1 Dist]:[Cluster 3 Dist]],0)</f>
        <v>1</v>
      </c>
      <c r="U152">
        <f t="shared" si="11"/>
        <v>141</v>
      </c>
      <c r="V15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183.97952485192005</v>
      </c>
      <c r="W15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1264.9907059456248</v>
      </c>
      <c r="X15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371.83348890247584</v>
      </c>
      <c r="AA152" s="7">
        <f>MATCH(MIN(Table4810[[#This Row],[Cluster 1 Dist]:[Cluster 3 Dist]]),Table4810[[#This Row],[Cluster 1 Dist]:[Cluster 3 Dist]],0)</f>
        <v>1</v>
      </c>
      <c r="AB152">
        <f t="shared" si="12"/>
        <v>141</v>
      </c>
      <c r="AC15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207.90105098112141</v>
      </c>
      <c r="AD15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1475.0060253494012</v>
      </c>
      <c r="AE15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449.41050165997177</v>
      </c>
    </row>
    <row r="153" spans="2:31" x14ac:dyDescent="0.3">
      <c r="B153">
        <f t="shared" si="9"/>
        <v>151</v>
      </c>
      <c r="C153">
        <v>466</v>
      </c>
      <c r="D153">
        <v>178</v>
      </c>
      <c r="E153">
        <v>193</v>
      </c>
      <c r="F153">
        <v>3800</v>
      </c>
      <c r="G153">
        <v>0</v>
      </c>
      <c r="K153" s="7">
        <f>MATCH(MIN(Table4[[#This Row],[Cluster 1 Dist]:[Cluster 3 Dist]]),Table4[[#This Row],[Cluster 1 Dist]:[Cluster 3 Dist]],0)</f>
        <v>3</v>
      </c>
      <c r="L153">
        <f t="shared" si="10"/>
        <v>142</v>
      </c>
      <c r="M15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499.48573553205699</v>
      </c>
      <c r="N15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618.0825187626649</v>
      </c>
      <c r="O15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328.64114167279786</v>
      </c>
      <c r="T153" s="7">
        <f>MATCH(MIN(Table48[[#This Row],[Cluster 1 Dist]:[Cluster 3 Dist]]),Table48[[#This Row],[Cluster 1 Dist]:[Cluster 3 Dist]],0)</f>
        <v>3</v>
      </c>
      <c r="U153">
        <f t="shared" si="11"/>
        <v>142</v>
      </c>
      <c r="V15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648.75816174706051</v>
      </c>
      <c r="W15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932.58609932995671</v>
      </c>
      <c r="X15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327.80482091062191</v>
      </c>
      <c r="AA153" s="7">
        <f>MATCH(MIN(Table4810[[#This Row],[Cluster 1 Dist]:[Cluster 3 Dist]]),Table4810[[#This Row],[Cluster 1 Dist]:[Cluster 3 Dist]],0)</f>
        <v>3</v>
      </c>
      <c r="AB153">
        <f t="shared" si="12"/>
        <v>142</v>
      </c>
      <c r="AC15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665.6690155801175</v>
      </c>
      <c r="AD15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1135.4648710757967</v>
      </c>
      <c r="AE15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330.9836263427988</v>
      </c>
    </row>
    <row r="154" spans="2:31" x14ac:dyDescent="0.3">
      <c r="B154">
        <f t="shared" si="9"/>
        <v>152</v>
      </c>
      <c r="C154">
        <v>517</v>
      </c>
      <c r="D154">
        <v>203</v>
      </c>
      <c r="E154">
        <v>194</v>
      </c>
      <c r="F154">
        <v>3775</v>
      </c>
      <c r="G154">
        <v>1</v>
      </c>
      <c r="K154" s="7">
        <f>MATCH(MIN(Table4[[#This Row],[Cluster 1 Dist]:[Cluster 3 Dist]]),Table4[[#This Row],[Cluster 1 Dist]:[Cluster 3 Dist]],0)</f>
        <v>1</v>
      </c>
      <c r="L154">
        <f t="shared" si="10"/>
        <v>143</v>
      </c>
      <c r="M15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146.91834466805022</v>
      </c>
      <c r="N15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756.8784578781457</v>
      </c>
      <c r="O15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212.17445652104308</v>
      </c>
      <c r="T154" s="7">
        <f>MATCH(MIN(Table48[[#This Row],[Cluster 1 Dist]:[Cluster 3 Dist]]),Table48[[#This Row],[Cluster 1 Dist]:[Cluster 3 Dist]],0)</f>
        <v>3</v>
      </c>
      <c r="U154">
        <f t="shared" si="11"/>
        <v>143</v>
      </c>
      <c r="V15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340.20556903305078</v>
      </c>
      <c r="W15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1119.517484017065</v>
      </c>
      <c r="X15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253.29508604046154</v>
      </c>
      <c r="AA154" s="7">
        <f>MATCH(MIN(Table4810[[#This Row],[Cluster 1 Dist]:[Cluster 3 Dist]]),Table4810[[#This Row],[Cluster 1 Dist]:[Cluster 3 Dist]],0)</f>
        <v>3</v>
      </c>
      <c r="AB154">
        <f t="shared" si="12"/>
        <v>143</v>
      </c>
      <c r="AC15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364.50687242154038</v>
      </c>
      <c r="AD15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1328.237969485951</v>
      </c>
      <c r="AE15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321.88294079322702</v>
      </c>
    </row>
    <row r="155" spans="2:31" x14ac:dyDescent="0.3">
      <c r="B155">
        <f t="shared" si="9"/>
        <v>153</v>
      </c>
      <c r="C155">
        <v>47</v>
      </c>
      <c r="D155">
        <v>173</v>
      </c>
      <c r="E155">
        <v>185</v>
      </c>
      <c r="F155">
        <v>3700</v>
      </c>
      <c r="G155">
        <v>0</v>
      </c>
      <c r="K155" s="7">
        <f>MATCH(MIN(Table4[[#This Row],[Cluster 1 Dist]:[Cluster 3 Dist]]),Table4[[#This Row],[Cluster 1 Dist]:[Cluster 3 Dist]],0)</f>
        <v>1</v>
      </c>
      <c r="L155">
        <f t="shared" si="10"/>
        <v>144</v>
      </c>
      <c r="M15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54.369108876272747</v>
      </c>
      <c r="N15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876.31729413494975</v>
      </c>
      <c r="O15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289.78440261684204</v>
      </c>
      <c r="T155" s="7">
        <f>MATCH(MIN(Table48[[#This Row],[Cluster 1 Dist]:[Cluster 3 Dist]]),Table48[[#This Row],[Cluster 1 Dist]:[Cluster 3 Dist]],0)</f>
        <v>1</v>
      </c>
      <c r="U155">
        <f t="shared" si="11"/>
        <v>144</v>
      </c>
      <c r="V15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202.64638282937392</v>
      </c>
      <c r="W15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1239.7890993557271</v>
      </c>
      <c r="X15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345.37168472856132</v>
      </c>
      <c r="AA155" s="7">
        <f>MATCH(MIN(Table4810[[#This Row],[Cluster 1 Dist]:[Cluster 3 Dist]]),Table4810[[#This Row],[Cluster 1 Dist]:[Cluster 3 Dist]],0)</f>
        <v>1</v>
      </c>
      <c r="AB155">
        <f t="shared" si="12"/>
        <v>144</v>
      </c>
      <c r="AC15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226.84398785319792</v>
      </c>
      <c r="AD15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1449.9706967357586</v>
      </c>
      <c r="AE15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423.19898387714545</v>
      </c>
    </row>
    <row r="156" spans="2:31" x14ac:dyDescent="0.3">
      <c r="B156">
        <f t="shared" si="9"/>
        <v>154</v>
      </c>
      <c r="C156">
        <v>52</v>
      </c>
      <c r="D156">
        <v>181</v>
      </c>
      <c r="E156">
        <v>201</v>
      </c>
      <c r="F156">
        <v>4050</v>
      </c>
      <c r="G156">
        <v>1</v>
      </c>
      <c r="K156" s="7">
        <f>MATCH(MIN(Table4[[#This Row],[Cluster 1 Dist]:[Cluster 3 Dist]]),Table4[[#This Row],[Cluster 1 Dist]:[Cluster 3 Dist]],0)</f>
        <v>3</v>
      </c>
      <c r="L156">
        <f t="shared" si="10"/>
        <v>145</v>
      </c>
      <c r="M15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213.5556133656992</v>
      </c>
      <c r="N15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684.68532918414428</v>
      </c>
      <c r="O15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180.49653736290898</v>
      </c>
      <c r="T156" s="7">
        <f>MATCH(MIN(Table48[[#This Row],[Cluster 1 Dist]:[Cluster 3 Dist]]),Table48[[#This Row],[Cluster 1 Dist]:[Cluster 3 Dist]],0)</f>
        <v>3</v>
      </c>
      <c r="U156">
        <f t="shared" si="11"/>
        <v>145</v>
      </c>
      <c r="V15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415.09436788711906</v>
      </c>
      <c r="W15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1046.8329800445763</v>
      </c>
      <c r="X15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206.53882522792307</v>
      </c>
      <c r="AA156" s="7">
        <f>MATCH(MIN(Table4810[[#This Row],[Cluster 1 Dist]:[Cluster 3 Dist]]),Table4810[[#This Row],[Cluster 1 Dist]:[Cluster 3 Dist]],0)</f>
        <v>3</v>
      </c>
      <c r="AB156">
        <f t="shared" si="12"/>
        <v>145</v>
      </c>
      <c r="AC15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439.502385657979</v>
      </c>
      <c r="AD15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1254.8976848630223</v>
      </c>
      <c r="AE15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264.62154278710835</v>
      </c>
    </row>
    <row r="157" spans="2:31" x14ac:dyDescent="0.3">
      <c r="B157">
        <f t="shared" si="9"/>
        <v>155</v>
      </c>
      <c r="C157">
        <v>459</v>
      </c>
      <c r="D157">
        <v>171</v>
      </c>
      <c r="E157">
        <v>190</v>
      </c>
      <c r="F157">
        <v>3575</v>
      </c>
      <c r="G157">
        <v>0</v>
      </c>
      <c r="K157" s="7">
        <f>MATCH(MIN(Table4[[#This Row],[Cluster 1 Dist]:[Cluster 3 Dist]]),Table4[[#This Row],[Cluster 1 Dist]:[Cluster 3 Dist]],0)</f>
        <v>3</v>
      </c>
      <c r="L157">
        <f t="shared" si="10"/>
        <v>146</v>
      </c>
      <c r="M15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402.99627789844413</v>
      </c>
      <c r="N15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452.90175535098115</v>
      </c>
      <c r="O15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175.42804792848833</v>
      </c>
      <c r="T157" s="7">
        <f>MATCH(MIN(Table48[[#This Row],[Cluster 1 Dist]:[Cluster 3 Dist]]),Table48[[#This Row],[Cluster 1 Dist]:[Cluster 3 Dist]],0)</f>
        <v>3</v>
      </c>
      <c r="U157">
        <f t="shared" si="11"/>
        <v>146</v>
      </c>
      <c r="V15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614.34450647453934</v>
      </c>
      <c r="W15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815.1236564090882</v>
      </c>
      <c r="X15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119.30477435406138</v>
      </c>
      <c r="AA157" s="7">
        <f>MATCH(MIN(Table4810[[#This Row],[Cluster 1 Dist]:[Cluster 3 Dist]]),Table4810[[#This Row],[Cluster 1 Dist]:[Cluster 3 Dist]],0)</f>
        <v>3</v>
      </c>
      <c r="AB157">
        <f t="shared" si="12"/>
        <v>146</v>
      </c>
      <c r="AC15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638.5732221464765</v>
      </c>
      <c r="AD15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1024.9612659680595</v>
      </c>
      <c r="AE15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76.745274105352379</v>
      </c>
    </row>
    <row r="158" spans="2:31" x14ac:dyDescent="0.3">
      <c r="B158">
        <f t="shared" si="9"/>
        <v>156</v>
      </c>
      <c r="C158">
        <v>505</v>
      </c>
      <c r="D158">
        <v>196</v>
      </c>
      <c r="E158">
        <v>201</v>
      </c>
      <c r="F158">
        <v>4050</v>
      </c>
      <c r="G158">
        <v>1</v>
      </c>
      <c r="K158" s="7">
        <f>MATCH(MIN(Table4[[#This Row],[Cluster 1 Dist]:[Cluster 3 Dist]]),Table4[[#This Row],[Cluster 1 Dist]:[Cluster 3 Dist]],0)</f>
        <v>1</v>
      </c>
      <c r="L158">
        <f t="shared" si="10"/>
        <v>147</v>
      </c>
      <c r="M15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305.06884468919469</v>
      </c>
      <c r="N15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1151.4925097455041</v>
      </c>
      <c r="O15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558.94364653335128</v>
      </c>
      <c r="T158" s="7">
        <f>MATCH(MIN(Table48[[#This Row],[Cluster 1 Dist]:[Cluster 3 Dist]]),Table48[[#This Row],[Cluster 1 Dist]:[Cluster 3 Dist]],0)</f>
        <v>1</v>
      </c>
      <c r="U158">
        <f t="shared" si="11"/>
        <v>147</v>
      </c>
      <c r="V15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127.97384087608174</v>
      </c>
      <c r="W15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1514.7249696408792</v>
      </c>
      <c r="X15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616.89943661666518</v>
      </c>
      <c r="AA158" s="7">
        <f>MATCH(MIN(Table4810[[#This Row],[Cluster 1 Dist]:[Cluster 3 Dist]]),Table4810[[#This Row],[Cluster 1 Dist]:[Cluster 3 Dist]],0)</f>
        <v>1</v>
      </c>
      <c r="AB158">
        <f t="shared" si="12"/>
        <v>147</v>
      </c>
      <c r="AC15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118.01740493935638</v>
      </c>
      <c r="AD15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1724.9400130989022</v>
      </c>
      <c r="AE15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695.99708466301081</v>
      </c>
    </row>
    <row r="159" spans="2:31" x14ac:dyDescent="0.3">
      <c r="B159">
        <f t="shared" si="9"/>
        <v>157</v>
      </c>
      <c r="C159">
        <v>503</v>
      </c>
      <c r="D159">
        <v>20</v>
      </c>
      <c r="E159">
        <v>197</v>
      </c>
      <c r="F159">
        <v>3300</v>
      </c>
      <c r="G159">
        <v>1</v>
      </c>
      <c r="K159" s="7">
        <f>MATCH(MIN(Table4[[#This Row],[Cluster 1 Dist]:[Cluster 3 Dist]]),Table4[[#This Row],[Cluster 1 Dist]:[Cluster 3 Dist]],0)</f>
        <v>3</v>
      </c>
      <c r="L159">
        <f t="shared" si="10"/>
        <v>148</v>
      </c>
      <c r="M15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227.29056293651965</v>
      </c>
      <c r="N15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658.28945001420163</v>
      </c>
      <c r="O15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158.80176321439257</v>
      </c>
      <c r="T159" s="7">
        <f>MATCH(MIN(Table48[[#This Row],[Cluster 1 Dist]:[Cluster 3 Dist]]),Table48[[#This Row],[Cluster 1 Dist]:[Cluster 3 Dist]],0)</f>
        <v>3</v>
      </c>
      <c r="U159">
        <f t="shared" si="11"/>
        <v>148</v>
      </c>
      <c r="V15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432.35595009776404</v>
      </c>
      <c r="W15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1019.7388478487904</v>
      </c>
      <c r="X15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178.01894132194954</v>
      </c>
      <c r="AA159" s="7">
        <f>MATCH(MIN(Table4810[[#This Row],[Cluster 1 Dist]:[Cluster 3 Dist]]),Table4810[[#This Row],[Cluster 1 Dist]:[Cluster 3 Dist]],0)</f>
        <v>3</v>
      </c>
      <c r="AB159">
        <f t="shared" si="12"/>
        <v>148</v>
      </c>
      <c r="AC15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456.90190084859012</v>
      </c>
      <c r="AD15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1228.2056605797143</v>
      </c>
      <c r="AE15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234.64895553912203</v>
      </c>
    </row>
    <row r="160" spans="2:31" x14ac:dyDescent="0.3">
      <c r="B160">
        <f t="shared" si="9"/>
        <v>158</v>
      </c>
      <c r="C160">
        <v>58</v>
      </c>
      <c r="D160">
        <v>178</v>
      </c>
      <c r="E160">
        <v>181</v>
      </c>
      <c r="F160">
        <v>3700</v>
      </c>
      <c r="G160">
        <v>0</v>
      </c>
      <c r="K160" s="7">
        <f>MATCH(MIN(Table4[[#This Row],[Cluster 1 Dist]:[Cluster 3 Dist]]),Table4[[#This Row],[Cluster 1 Dist]:[Cluster 3 Dist]],0)</f>
        <v>2</v>
      </c>
      <c r="L160">
        <f t="shared" si="10"/>
        <v>149</v>
      </c>
      <c r="M16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699.82426365481217</v>
      </c>
      <c r="N16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444.60544306159818</v>
      </c>
      <c r="O16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472.28275429026627</v>
      </c>
      <c r="T160" s="7">
        <f>MATCH(MIN(Table48[[#This Row],[Cluster 1 Dist]:[Cluster 3 Dist]]),Table48[[#This Row],[Cluster 1 Dist]:[Cluster 3 Dist]],0)</f>
        <v>3</v>
      </c>
      <c r="U160">
        <f t="shared" si="11"/>
        <v>149</v>
      </c>
      <c r="V16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874.6879622021238</v>
      </c>
      <c r="W16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709.28124335020618</v>
      </c>
      <c r="X16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438.27199713121968</v>
      </c>
      <c r="AA160" s="7">
        <f>MATCH(MIN(Table4810[[#This Row],[Cluster 1 Dist]:[Cluster 3 Dist]]),Table4810[[#This Row],[Cluster 1 Dist]:[Cluster 3 Dist]],0)</f>
        <v>3</v>
      </c>
      <c r="AB160">
        <f t="shared" si="12"/>
        <v>149</v>
      </c>
      <c r="AC16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893.87118469337736</v>
      </c>
      <c r="AD16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904.05972164259742</v>
      </c>
      <c r="AE16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392.57606961051391</v>
      </c>
    </row>
    <row r="161" spans="2:31" x14ac:dyDescent="0.3">
      <c r="B161">
        <f t="shared" si="9"/>
        <v>159</v>
      </c>
      <c r="C161">
        <v>464</v>
      </c>
      <c r="D161">
        <v>186</v>
      </c>
      <c r="E161">
        <v>190</v>
      </c>
      <c r="F161">
        <v>3450</v>
      </c>
      <c r="G161">
        <v>0</v>
      </c>
      <c r="K161" s="7">
        <f>MATCH(MIN(Table4[[#This Row],[Cluster 1 Dist]:[Cluster 3 Dist]]),Table4[[#This Row],[Cluster 1 Dist]:[Cluster 3 Dist]],0)</f>
        <v>3</v>
      </c>
      <c r="L161">
        <f t="shared" si="10"/>
        <v>150</v>
      </c>
      <c r="M16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185.31864450184176</v>
      </c>
      <c r="N16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707.21496024900375</v>
      </c>
      <c r="O16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180.49930747789588</v>
      </c>
      <c r="T161" s="7">
        <f>MATCH(MIN(Table48[[#This Row],[Cluster 1 Dist]:[Cluster 3 Dist]]),Table48[[#This Row],[Cluster 1 Dist]:[Cluster 3 Dist]],0)</f>
        <v>3</v>
      </c>
      <c r="U161">
        <f t="shared" si="11"/>
        <v>150</v>
      </c>
      <c r="V16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387.05256463038768</v>
      </c>
      <c r="W16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1070.10178612292</v>
      </c>
      <c r="X16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214.56487673086323</v>
      </c>
      <c r="AA161" s="7">
        <f>MATCH(MIN(Table4810[[#This Row],[Cluster 1 Dist]:[Cluster 3 Dist]]),Table4810[[#This Row],[Cluster 1 Dist]:[Cluster 3 Dist]],0)</f>
        <v>3</v>
      </c>
      <c r="AB161">
        <f t="shared" si="12"/>
        <v>150</v>
      </c>
      <c r="AC16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411.45159158331882</v>
      </c>
      <c r="AD16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1278.6695759288557</v>
      </c>
      <c r="AE16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278.37658452497641</v>
      </c>
    </row>
    <row r="162" spans="2:31" x14ac:dyDescent="0.3">
      <c r="B162">
        <f t="shared" si="9"/>
        <v>160</v>
      </c>
      <c r="C162">
        <v>492</v>
      </c>
      <c r="D162">
        <v>182</v>
      </c>
      <c r="E162">
        <v>195</v>
      </c>
      <c r="F162">
        <v>4400</v>
      </c>
      <c r="G162">
        <v>1</v>
      </c>
      <c r="K162" s="7">
        <f>MATCH(MIN(Table4[[#This Row],[Cluster 1 Dist]:[Cluster 3 Dist]]),Table4[[#This Row],[Cluster 1 Dist]:[Cluster 3 Dist]],0)</f>
        <v>3</v>
      </c>
      <c r="L162">
        <f t="shared" si="10"/>
        <v>151</v>
      </c>
      <c r="M16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257.41989045137905</v>
      </c>
      <c r="N16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603.24373183647754</v>
      </c>
      <c r="O16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104.44137111317526</v>
      </c>
      <c r="T162" s="7">
        <f>MATCH(MIN(Table48[[#This Row],[Cluster 1 Dist]:[Cluster 3 Dist]]),Table48[[#This Row],[Cluster 1 Dist]:[Cluster 3 Dist]],0)</f>
        <v>3</v>
      </c>
      <c r="U162">
        <f t="shared" si="11"/>
        <v>151</v>
      </c>
      <c r="V16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468.44236939406551</v>
      </c>
      <c r="W16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965.67144392591354</v>
      </c>
      <c r="X16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110.46253682048182</v>
      </c>
      <c r="AA162" s="7">
        <f>MATCH(MIN(Table4810[[#This Row],[Cluster 1 Dist]:[Cluster 3 Dist]]),Table4810[[#This Row],[Cluster 1 Dist]:[Cluster 3 Dist]],0)</f>
        <v>3</v>
      </c>
      <c r="AB162">
        <f t="shared" si="12"/>
        <v>151</v>
      </c>
      <c r="AC16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492.8873220285202</v>
      </c>
      <c r="AD16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1175.3563234805886</v>
      </c>
      <c r="AE16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166.81400806881246</v>
      </c>
    </row>
    <row r="163" spans="2:31" x14ac:dyDescent="0.3">
      <c r="B163">
        <f t="shared" si="9"/>
        <v>161</v>
      </c>
      <c r="C163">
        <v>424</v>
      </c>
      <c r="D163">
        <v>173</v>
      </c>
      <c r="E163">
        <v>181</v>
      </c>
      <c r="F163">
        <v>3600</v>
      </c>
      <c r="G163">
        <v>0</v>
      </c>
      <c r="K163" s="7">
        <f>MATCH(MIN(Table4[[#This Row],[Cluster 1 Dist]:[Cluster 3 Dist]]),Table4[[#This Row],[Cluster 1 Dist]:[Cluster 3 Dist]],0)</f>
        <v>3</v>
      </c>
      <c r="L163">
        <f t="shared" si="10"/>
        <v>152</v>
      </c>
      <c r="M16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251.70617791385257</v>
      </c>
      <c r="N16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633.64501102746794</v>
      </c>
      <c r="O16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156.27219842313605</v>
      </c>
      <c r="T163" s="7">
        <f>MATCH(MIN(Table48[[#This Row],[Cluster 1 Dist]:[Cluster 3 Dist]]),Table48[[#This Row],[Cluster 1 Dist]:[Cluster 3 Dist]],0)</f>
        <v>3</v>
      </c>
      <c r="U163">
        <f t="shared" si="11"/>
        <v>152</v>
      </c>
      <c r="V16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459.05539916673695</v>
      </c>
      <c r="W16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996.35886661348343</v>
      </c>
      <c r="X16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170.2771708067736</v>
      </c>
      <c r="AA163" s="7">
        <f>MATCH(MIN(Table4810[[#This Row],[Cluster 1 Dist]:[Cluster 3 Dist]]),Table4810[[#This Row],[Cluster 1 Dist]:[Cluster 3 Dist]],0)</f>
        <v>3</v>
      </c>
      <c r="AB163">
        <f t="shared" si="12"/>
        <v>152</v>
      </c>
      <c r="AC16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483.52754882975984</v>
      </c>
      <c r="AD16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1204.5464704504236</v>
      </c>
      <c r="AE16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220.08727479360783</v>
      </c>
    </row>
    <row r="164" spans="2:31" x14ac:dyDescent="0.3">
      <c r="B164">
        <f t="shared" si="9"/>
        <v>162</v>
      </c>
      <c r="C164">
        <v>485</v>
      </c>
      <c r="D164">
        <v>175</v>
      </c>
      <c r="E164">
        <v>191</v>
      </c>
      <c r="F164">
        <v>3400</v>
      </c>
      <c r="G164">
        <v>1</v>
      </c>
      <c r="K164" s="7">
        <f>MATCH(MIN(Table4[[#This Row],[Cluster 1 Dist]:[Cluster 3 Dist]]),Table4[[#This Row],[Cluster 1 Dist]:[Cluster 3 Dist]],0)</f>
        <v>3</v>
      </c>
      <c r="L164">
        <f t="shared" si="10"/>
        <v>153</v>
      </c>
      <c r="M16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389.30065502128298</v>
      </c>
      <c r="N16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790.88621179029292</v>
      </c>
      <c r="O16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332.21378658929854</v>
      </c>
      <c r="T164" s="7">
        <f>MATCH(MIN(Table48[[#This Row],[Cluster 1 Dist]:[Cluster 3 Dist]]),Table48[[#This Row],[Cluster 1 Dist]:[Cluster 3 Dist]],0)</f>
        <v>3</v>
      </c>
      <c r="U164">
        <f t="shared" si="11"/>
        <v>153</v>
      </c>
      <c r="V16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487.66857319485945</v>
      </c>
      <c r="W16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1120.5646786330976</v>
      </c>
      <c r="X16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364.52289841570678</v>
      </c>
      <c r="AA164" s="7">
        <f>MATCH(MIN(Table4810[[#This Row],[Cluster 1 Dist]:[Cluster 3 Dist]]),Table4810[[#This Row],[Cluster 1 Dist]:[Cluster 3 Dist]],0)</f>
        <v>3</v>
      </c>
      <c r="AB164">
        <f t="shared" si="12"/>
        <v>153</v>
      </c>
      <c r="AC16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500.58357166056322</v>
      </c>
      <c r="AD16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1326.4335102103005</v>
      </c>
      <c r="AE16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408.61790156386684</v>
      </c>
    </row>
    <row r="165" spans="2:31" x14ac:dyDescent="0.3">
      <c r="B165">
        <f t="shared" si="9"/>
        <v>163</v>
      </c>
      <c r="C165">
        <v>432</v>
      </c>
      <c r="D165">
        <v>166</v>
      </c>
      <c r="E165">
        <v>187</v>
      </c>
      <c r="F165">
        <v>2900</v>
      </c>
      <c r="G165">
        <v>0</v>
      </c>
      <c r="K165" s="7">
        <f>MATCH(MIN(Table4[[#This Row],[Cluster 1 Dist]:[Cluster 3 Dist]]),Table4[[#This Row],[Cluster 1 Dist]:[Cluster 3 Dist]],0)</f>
        <v>3</v>
      </c>
      <c r="L165">
        <f t="shared" si="10"/>
        <v>154</v>
      </c>
      <c r="M16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612.91516541851047</v>
      </c>
      <c r="N16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503.74299002566778</v>
      </c>
      <c r="O16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399.42208251422454</v>
      </c>
      <c r="T165" s="7">
        <f>MATCH(MIN(Table48[[#This Row],[Cluster 1 Dist]:[Cluster 3 Dist]]),Table48[[#This Row],[Cluster 1 Dist]:[Cluster 3 Dist]],0)</f>
        <v>3</v>
      </c>
      <c r="U165">
        <f t="shared" si="11"/>
        <v>154</v>
      </c>
      <c r="V16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780.34326227557028</v>
      </c>
      <c r="W16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794.19619429943225</v>
      </c>
      <c r="X16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374.17558985163157</v>
      </c>
      <c r="AA165" s="7">
        <f>MATCH(MIN(Table4810[[#This Row],[Cluster 1 Dist]:[Cluster 3 Dist]]),Table4810[[#This Row],[Cluster 1 Dist]:[Cluster 3 Dist]],0)</f>
        <v>3</v>
      </c>
      <c r="AB165">
        <f t="shared" si="12"/>
        <v>154</v>
      </c>
      <c r="AC16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798.90275244776831</v>
      </c>
      <c r="AD16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993.40468627214045</v>
      </c>
      <c r="AE16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343.47645507770073</v>
      </c>
    </row>
    <row r="166" spans="2:31" x14ac:dyDescent="0.3">
      <c r="B166">
        <f t="shared" si="9"/>
        <v>164</v>
      </c>
      <c r="C166">
        <v>506</v>
      </c>
      <c r="D166">
        <v>194</v>
      </c>
      <c r="E166">
        <v>193</v>
      </c>
      <c r="F166">
        <v>3800</v>
      </c>
      <c r="G166">
        <v>1</v>
      </c>
      <c r="K166" s="7">
        <f>MATCH(MIN(Table4[[#This Row],[Cluster 1 Dist]:[Cluster 3 Dist]]),Table4[[#This Row],[Cluster 1 Dist]:[Cluster 3 Dist]],0)</f>
        <v>1</v>
      </c>
      <c r="L166">
        <f t="shared" si="10"/>
        <v>155</v>
      </c>
      <c r="M16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60.901559914340453</v>
      </c>
      <c r="N16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827.26477019150286</v>
      </c>
      <c r="O16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245.80073230159425</v>
      </c>
      <c r="T166" s="7">
        <f>MATCH(MIN(Table48[[#This Row],[Cluster 1 Dist]:[Cluster 3 Dist]]),Table48[[#This Row],[Cluster 1 Dist]:[Cluster 3 Dist]],0)</f>
        <v>1</v>
      </c>
      <c r="U166">
        <f t="shared" si="11"/>
        <v>155</v>
      </c>
      <c r="V16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248.89876833337195</v>
      </c>
      <c r="W16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1189.6488836319857</v>
      </c>
      <c r="X16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297.75709282321134</v>
      </c>
      <c r="AA166" s="7">
        <f>MATCH(MIN(Table4810[[#This Row],[Cluster 1 Dist]:[Cluster 3 Dist]]),Table4810[[#This Row],[Cluster 1 Dist]:[Cluster 3 Dist]],0)</f>
        <v>1</v>
      </c>
      <c r="AB166">
        <f t="shared" si="12"/>
        <v>155</v>
      </c>
      <c r="AC16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273.42684268996464</v>
      </c>
      <c r="AD16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1399.7122872739976</v>
      </c>
      <c r="AE16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374.64067731294955</v>
      </c>
    </row>
    <row r="167" spans="2:31" x14ac:dyDescent="0.3">
      <c r="B167">
        <f t="shared" si="9"/>
        <v>165</v>
      </c>
      <c r="C167">
        <v>467</v>
      </c>
      <c r="D167">
        <v>179</v>
      </c>
      <c r="E167">
        <v>195</v>
      </c>
      <c r="F167">
        <v>3300</v>
      </c>
      <c r="G167">
        <v>0</v>
      </c>
      <c r="K167" s="7">
        <f>MATCH(MIN(Table4[[#This Row],[Cluster 1 Dist]:[Cluster 3 Dist]]),Table4[[#This Row],[Cluster 1 Dist]:[Cluster 3 Dist]],0)</f>
        <v>3</v>
      </c>
      <c r="L167">
        <f t="shared" si="10"/>
        <v>156</v>
      </c>
      <c r="M16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510.12253429935834</v>
      </c>
      <c r="N16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362.2499137335991</v>
      </c>
      <c r="O16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287.7255636887345</v>
      </c>
      <c r="T167" s="7">
        <f>MATCH(MIN(Table48[[#This Row],[Cluster 1 Dist]:[Cluster 3 Dist]]),Table48[[#This Row],[Cluster 1 Dist]:[Cluster 3 Dist]],0)</f>
        <v>3</v>
      </c>
      <c r="U167">
        <f t="shared" si="11"/>
        <v>156</v>
      </c>
      <c r="V16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722.04543276644267</v>
      </c>
      <c r="W16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722.17446055322739</v>
      </c>
      <c r="X16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232.33424330529706</v>
      </c>
      <c r="AA167" s="7">
        <f>MATCH(MIN(Table4810[[#This Row],[Cluster 1 Dist]:[Cluster 3 Dist]]),Table4810[[#This Row],[Cluster 1 Dist]:[Cluster 3 Dist]],0)</f>
        <v>3</v>
      </c>
      <c r="AB167">
        <f t="shared" si="12"/>
        <v>156</v>
      </c>
      <c r="AC16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746.44516910307334</v>
      </c>
      <c r="AD16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929.55985726670463</v>
      </c>
      <c r="AE16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171.39300133619665</v>
      </c>
    </row>
    <row r="168" spans="2:31" x14ac:dyDescent="0.3">
      <c r="B168">
        <f t="shared" si="9"/>
        <v>166</v>
      </c>
      <c r="C168">
        <v>52</v>
      </c>
      <c r="D168">
        <v>19</v>
      </c>
      <c r="E168">
        <v>197</v>
      </c>
      <c r="F168">
        <v>4150</v>
      </c>
      <c r="G168">
        <v>1</v>
      </c>
      <c r="K168" s="7">
        <f>MATCH(MIN(Table4[[#This Row],[Cluster 1 Dist]:[Cluster 3 Dist]]),Table4[[#This Row],[Cluster 1 Dist]:[Cluster 3 Dist]],0)</f>
        <v>1</v>
      </c>
      <c r="L168">
        <f t="shared" si="10"/>
        <v>157</v>
      </c>
      <c r="M16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315.69130491668597</v>
      </c>
      <c r="N16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1120.082586240854</v>
      </c>
      <c r="O16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547.97262705357832</v>
      </c>
      <c r="T168" s="7">
        <f>MATCH(MIN(Table48[[#This Row],[Cluster 1 Dist]:[Cluster 3 Dist]]),Table48[[#This Row],[Cluster 1 Dist]:[Cluster 3 Dist]],0)</f>
        <v>1</v>
      </c>
      <c r="U168">
        <f t="shared" si="11"/>
        <v>157</v>
      </c>
      <c r="V16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188.45976155761861</v>
      </c>
      <c r="W16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1471.9760245404404</v>
      </c>
      <c r="X16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593.43412250653557</v>
      </c>
      <c r="AA168" s="7">
        <f>MATCH(MIN(Table4810[[#This Row],[Cluster 1 Dist]:[Cluster 3 Dist]]),Table4810[[#This Row],[Cluster 1 Dist]:[Cluster 3 Dist]],0)</f>
        <v>1</v>
      </c>
      <c r="AB168">
        <f t="shared" si="12"/>
        <v>157</v>
      </c>
      <c r="AC16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189.67214057973376</v>
      </c>
      <c r="AD16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1680.3473530409815</v>
      </c>
      <c r="AE16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668.55401815615733</v>
      </c>
    </row>
    <row r="169" spans="2:31" x14ac:dyDescent="0.3">
      <c r="B169">
        <f t="shared" si="9"/>
        <v>167</v>
      </c>
      <c r="C169">
        <v>505</v>
      </c>
      <c r="D169">
        <v>184</v>
      </c>
      <c r="E169">
        <v>200</v>
      </c>
      <c r="F169">
        <v>3400</v>
      </c>
      <c r="G169">
        <v>0</v>
      </c>
      <c r="K169" s="7">
        <f>MATCH(MIN(Table4[[#This Row],[Cluster 1 Dist]:[Cluster 3 Dist]]),Table4[[#This Row],[Cluster 1 Dist]:[Cluster 3 Dist]],0)</f>
        <v>3</v>
      </c>
      <c r="L169">
        <f t="shared" si="10"/>
        <v>158</v>
      </c>
      <c r="M16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379.04221400788595</v>
      </c>
      <c r="N16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785.69141525156044</v>
      </c>
      <c r="O16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321.55248405198176</v>
      </c>
      <c r="T169" s="7">
        <f>MATCH(MIN(Table48[[#This Row],[Cluster 1 Dist]:[Cluster 3 Dist]]),Table48[[#This Row],[Cluster 1 Dist]:[Cluster 3 Dist]],0)</f>
        <v>3</v>
      </c>
      <c r="U169">
        <f t="shared" si="11"/>
        <v>158</v>
      </c>
      <c r="V16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480.58822428594107</v>
      </c>
      <c r="W16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1117.3496182024348</v>
      </c>
      <c r="X16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354.93053732601055</v>
      </c>
      <c r="AA169" s="7">
        <f>MATCH(MIN(Table4810[[#This Row],[Cluster 1 Dist]:[Cluster 3 Dist]]),Table4810[[#This Row],[Cluster 1 Dist]:[Cluster 3 Dist]],0)</f>
        <v>3</v>
      </c>
      <c r="AB169">
        <f t="shared" si="12"/>
        <v>158</v>
      </c>
      <c r="AC16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493.84815396330879</v>
      </c>
      <c r="AD16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1323.6187505225389</v>
      </c>
      <c r="AE16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400.04697218532783</v>
      </c>
    </row>
    <row r="170" spans="2:31" x14ac:dyDescent="0.3">
      <c r="B170">
        <f t="shared" si="9"/>
        <v>168</v>
      </c>
      <c r="C170">
        <v>495</v>
      </c>
      <c r="D170">
        <v>19</v>
      </c>
      <c r="E170">
        <v>200</v>
      </c>
      <c r="F170">
        <v>3800</v>
      </c>
      <c r="G170">
        <v>1</v>
      </c>
      <c r="K170" s="7">
        <f>MATCH(MIN(Table4[[#This Row],[Cluster 1 Dist]:[Cluster 3 Dist]]),Table4[[#This Row],[Cluster 1 Dist]:[Cluster 3 Dist]],0)</f>
        <v>1</v>
      </c>
      <c r="L170">
        <f t="shared" si="10"/>
        <v>159</v>
      </c>
      <c r="M17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115.81882403132921</v>
      </c>
      <c r="N17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951.71003987559152</v>
      </c>
      <c r="O17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364.39401751400914</v>
      </c>
      <c r="T170" s="7">
        <f>MATCH(MIN(Table48[[#This Row],[Cluster 1 Dist]:[Cluster 3 Dist]]),Table48[[#This Row],[Cluster 1 Dist]:[Cluster 3 Dist]],0)</f>
        <v>1</v>
      </c>
      <c r="U170">
        <f t="shared" si="11"/>
        <v>159</v>
      </c>
      <c r="V17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143.75182356011865</v>
      </c>
      <c r="W17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1315.071191458492</v>
      </c>
      <c r="X17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420.53180689722478</v>
      </c>
      <c r="AA170" s="7">
        <f>MATCH(MIN(Table4810[[#This Row],[Cluster 1 Dist]:[Cluster 3 Dist]]),Table4810[[#This Row],[Cluster 1 Dist]:[Cluster 3 Dist]],0)</f>
        <v>1</v>
      </c>
      <c r="AB170">
        <f t="shared" si="12"/>
        <v>159</v>
      </c>
      <c r="AC17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166.35562757280499</v>
      </c>
      <c r="AD17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1525.1370141083521</v>
      </c>
      <c r="AE17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498.61003843769424</v>
      </c>
    </row>
    <row r="171" spans="2:31" x14ac:dyDescent="0.3">
      <c r="B171">
        <f t="shared" si="9"/>
        <v>169</v>
      </c>
      <c r="C171">
        <v>464</v>
      </c>
      <c r="D171">
        <v>178</v>
      </c>
      <c r="E171">
        <v>191</v>
      </c>
      <c r="F171">
        <v>3700</v>
      </c>
      <c r="G171">
        <v>0</v>
      </c>
      <c r="K171" s="7">
        <f>MATCH(MIN(Table4[[#This Row],[Cluster 1 Dist]:[Cluster 3 Dist]]),Table4[[#This Row],[Cluster 1 Dist]:[Cluster 3 Dist]],0)</f>
        <v>2</v>
      </c>
      <c r="L171">
        <f t="shared" si="10"/>
        <v>160</v>
      </c>
      <c r="M17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854.43314542449718</v>
      </c>
      <c r="N17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84.15461959987698</v>
      </c>
      <c r="O17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613.86887850745461</v>
      </c>
      <c r="T171" s="7">
        <f>MATCH(MIN(Table48[[#This Row],[Cluster 1 Dist]:[Cluster 3 Dist]]),Table48[[#This Row],[Cluster 1 Dist]:[Cluster 3 Dist]],0)</f>
        <v>2</v>
      </c>
      <c r="U171">
        <f t="shared" si="11"/>
        <v>160</v>
      </c>
      <c r="V17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1065.7964446949211</v>
      </c>
      <c r="W17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376.00840125185891</v>
      </c>
      <c r="X17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552.56588544272461</v>
      </c>
      <c r="AA171" s="7">
        <f>MATCH(MIN(Table4810[[#This Row],[Cluster 1 Dist]:[Cluster 3 Dist]]),Table4810[[#This Row],[Cluster 1 Dist]:[Cluster 3 Dist]],0)</f>
        <v>3</v>
      </c>
      <c r="AB171">
        <f t="shared" si="12"/>
        <v>160</v>
      </c>
      <c r="AC17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1089.9631421965062</v>
      </c>
      <c r="AD17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580.22511646424175</v>
      </c>
      <c r="AE17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473.99570919534807</v>
      </c>
    </row>
    <row r="172" spans="2:31" x14ac:dyDescent="0.3">
      <c r="B172">
        <f t="shared" si="9"/>
        <v>170</v>
      </c>
      <c r="C172">
        <v>528</v>
      </c>
      <c r="D172">
        <v>20</v>
      </c>
      <c r="E172">
        <v>205</v>
      </c>
      <c r="F172">
        <v>4550</v>
      </c>
      <c r="G172">
        <v>1</v>
      </c>
      <c r="K172" s="7">
        <f>MATCH(MIN(Table4[[#This Row],[Cluster 1 Dist]:[Cluster 3 Dist]]),Table4[[#This Row],[Cluster 1 Dist]:[Cluster 3 Dist]],0)</f>
        <v>1</v>
      </c>
      <c r="L172">
        <f t="shared" si="10"/>
        <v>161</v>
      </c>
      <c r="M17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54.753995288015282</v>
      </c>
      <c r="N17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801.10049307187421</v>
      </c>
      <c r="O17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210.44476710053877</v>
      </c>
      <c r="T172" s="7">
        <f>MATCH(MIN(Table48[[#This Row],[Cluster 1 Dist]:[Cluster 3 Dist]]),Table48[[#This Row],[Cluster 1 Dist]:[Cluster 3 Dist]],0)</f>
        <v>1</v>
      </c>
      <c r="U172">
        <f t="shared" si="11"/>
        <v>161</v>
      </c>
      <c r="V17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264.29544401361596</v>
      </c>
      <c r="W17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1163.6439866698786</v>
      </c>
      <c r="X17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265.47865243359792</v>
      </c>
      <c r="AA172" s="7">
        <f>MATCH(MIN(Table4810[[#This Row],[Cluster 1 Dist]:[Cluster 3 Dist]]),Table4810[[#This Row],[Cluster 1 Dist]:[Cluster 3 Dist]],0)</f>
        <v>1</v>
      </c>
      <c r="AB172">
        <f t="shared" si="12"/>
        <v>161</v>
      </c>
      <c r="AC17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288.67222129411925</v>
      </c>
      <c r="AD17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1374.254221469957</v>
      </c>
      <c r="AE17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344.10564401120007</v>
      </c>
    </row>
    <row r="173" spans="2:31" x14ac:dyDescent="0.3">
      <c r="B173">
        <f t="shared" si="9"/>
        <v>171</v>
      </c>
      <c r="C173">
        <v>409</v>
      </c>
      <c r="D173">
        <v>166</v>
      </c>
      <c r="E173">
        <v>187</v>
      </c>
      <c r="F173">
        <v>3200</v>
      </c>
      <c r="G173">
        <v>0</v>
      </c>
      <c r="K173" s="7">
        <f>MATCH(MIN(Table4[[#This Row],[Cluster 1 Dist]:[Cluster 3 Dist]]),Table4[[#This Row],[Cluster 1 Dist]:[Cluster 3 Dist]],0)</f>
        <v>1</v>
      </c>
      <c r="L173">
        <f t="shared" si="10"/>
        <v>162</v>
      </c>
      <c r="M17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170.0764533967004</v>
      </c>
      <c r="N17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1003.2427423111517</v>
      </c>
      <c r="O17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418.6705148443105</v>
      </c>
      <c r="T173" s="7">
        <f>MATCH(MIN(Table48[[#This Row],[Cluster 1 Dist]:[Cluster 3 Dist]]),Table48[[#This Row],[Cluster 1 Dist]:[Cluster 3 Dist]],0)</f>
        <v>1</v>
      </c>
      <c r="U173">
        <f t="shared" si="11"/>
        <v>162</v>
      </c>
      <c r="V17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125.62201163475501</v>
      </c>
      <c r="W17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1365.8497521816778</v>
      </c>
      <c r="X17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473.59069191590703</v>
      </c>
      <c r="AA173" s="7">
        <f>MATCH(MIN(Table4810[[#This Row],[Cluster 1 Dist]:[Cluster 3 Dist]]),Table4810[[#This Row],[Cluster 1 Dist]:[Cluster 3 Dist]],0)</f>
        <v>1</v>
      </c>
      <c r="AB173">
        <f t="shared" si="12"/>
        <v>162</v>
      </c>
      <c r="AC17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144.00452604273923</v>
      </c>
      <c r="AD17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1575.5929719230162</v>
      </c>
      <c r="AE17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551.26207487250895</v>
      </c>
    </row>
    <row r="174" spans="2:31" x14ac:dyDescent="0.3">
      <c r="B174">
        <f t="shared" si="9"/>
        <v>172</v>
      </c>
      <c r="C174">
        <v>542</v>
      </c>
      <c r="D174">
        <v>208</v>
      </c>
      <c r="E174">
        <v>201</v>
      </c>
      <c r="F174">
        <v>4300</v>
      </c>
      <c r="G174">
        <v>1</v>
      </c>
      <c r="K174" s="7">
        <f>MATCH(MIN(Table4[[#This Row],[Cluster 1 Dist]:[Cluster 3 Dist]]),Table4[[#This Row],[Cluster 1 Dist]:[Cluster 3 Dist]],0)</f>
        <v>1</v>
      </c>
      <c r="L174">
        <f t="shared" si="10"/>
        <v>163</v>
      </c>
      <c r="M17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650.84022616921891</v>
      </c>
      <c r="N17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1500.8167776247706</v>
      </c>
      <c r="O17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903.11239610582243</v>
      </c>
      <c r="T174" s="7">
        <f>MATCH(MIN(Table48[[#This Row],[Cluster 1 Dist]:[Cluster 3 Dist]]),Table48[[#This Row],[Cluster 1 Dist]:[Cluster 3 Dist]],0)</f>
        <v>1</v>
      </c>
      <c r="U174">
        <f t="shared" si="11"/>
        <v>163</v>
      </c>
      <c r="V17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444.59668581702886</v>
      </c>
      <c r="W17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1863.3207636655122</v>
      </c>
      <c r="X17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962.12347026814393</v>
      </c>
      <c r="AA174" s="7">
        <f>MATCH(MIN(Table4810[[#This Row],[Cluster 1 Dist]:[Cluster 3 Dist]]),Table4810[[#This Row],[Cluster 1 Dist]:[Cluster 3 Dist]],0)</f>
        <v>1</v>
      </c>
      <c r="AB174">
        <f t="shared" si="12"/>
        <v>163</v>
      </c>
      <c r="AC17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422.29955270689788</v>
      </c>
      <c r="AD17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2073.9319203950445</v>
      </c>
      <c r="AE17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1041.9607062111227</v>
      </c>
    </row>
    <row r="175" spans="2:31" x14ac:dyDescent="0.3">
      <c r="B175">
        <f t="shared" si="9"/>
        <v>173</v>
      </c>
      <c r="C175">
        <v>425</v>
      </c>
      <c r="D175">
        <v>167</v>
      </c>
      <c r="E175">
        <v>187</v>
      </c>
      <c r="F175">
        <v>3350</v>
      </c>
      <c r="G175">
        <v>0</v>
      </c>
      <c r="K175" s="7">
        <f>MATCH(MIN(Table4[[#This Row],[Cluster 1 Dist]:[Cluster 3 Dist]]),Table4[[#This Row],[Cluster 1 Dist]:[Cluster 3 Dist]],0)</f>
        <v>3</v>
      </c>
      <c r="L175">
        <f t="shared" si="10"/>
        <v>164</v>
      </c>
      <c r="M17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269.56260868302934</v>
      </c>
      <c r="N17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607.40595979953969</v>
      </c>
      <c r="O17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143.03496076134672</v>
      </c>
      <c r="T175" s="7">
        <f>MATCH(MIN(Table48[[#This Row],[Cluster 1 Dist]:[Cluster 3 Dist]]),Table48[[#This Row],[Cluster 1 Dist]:[Cluster 3 Dist]],0)</f>
        <v>3</v>
      </c>
      <c r="U175">
        <f t="shared" si="11"/>
        <v>164</v>
      </c>
      <c r="V17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478.81339114997212</v>
      </c>
      <c r="W17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969.85293413567729</v>
      </c>
      <c r="X17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147.51726498748454</v>
      </c>
      <c r="AA175" s="7">
        <f>MATCH(MIN(Table4810[[#This Row],[Cluster 1 Dist]:[Cluster 3 Dist]]),Table4810[[#This Row],[Cluster 1 Dist]:[Cluster 3 Dist]],0)</f>
        <v>3</v>
      </c>
      <c r="AB175">
        <f t="shared" si="12"/>
        <v>164</v>
      </c>
      <c r="AC17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503.33198401203322</v>
      </c>
      <c r="AD17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1178.3537074022152</v>
      </c>
      <c r="AE17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192.93968697961378</v>
      </c>
    </row>
    <row r="176" spans="2:31" x14ac:dyDescent="0.3">
      <c r="B176">
        <f t="shared" si="9"/>
        <v>174</v>
      </c>
      <c r="C176">
        <v>51</v>
      </c>
      <c r="D176">
        <v>188</v>
      </c>
      <c r="E176">
        <v>203</v>
      </c>
      <c r="F176">
        <v>4100</v>
      </c>
      <c r="G176">
        <v>1</v>
      </c>
      <c r="K176" s="7">
        <f>MATCH(MIN(Table4[[#This Row],[Cluster 1 Dist]:[Cluster 3 Dist]]),Table4[[#This Row],[Cluster 1 Dist]:[Cluster 3 Dist]],0)</f>
        <v>1</v>
      </c>
      <c r="L176">
        <f t="shared" si="10"/>
        <v>165</v>
      </c>
      <c r="M17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257.71107853563456</v>
      </c>
      <c r="N17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1101.7899073779902</v>
      </c>
      <c r="O17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510.97749461204256</v>
      </c>
      <c r="T176" s="7">
        <f>MATCH(MIN(Table48[[#This Row],[Cluster 1 Dist]:[Cluster 3 Dist]]),Table48[[#This Row],[Cluster 1 Dist]:[Cluster 3 Dist]],0)</f>
        <v>1</v>
      </c>
      <c r="U176">
        <f t="shared" si="11"/>
        <v>165</v>
      </c>
      <c r="V17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102.95409837796213</v>
      </c>
      <c r="W17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1464.7677378112785</v>
      </c>
      <c r="X17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568.1256154214127</v>
      </c>
      <c r="AA176" s="7">
        <f>MATCH(MIN(Table4810[[#This Row],[Cluster 1 Dist]:[Cluster 3 Dist]]),Table4810[[#This Row],[Cluster 1 Dist]:[Cluster 3 Dist]],0)</f>
        <v>1</v>
      </c>
      <c r="AB176">
        <f t="shared" si="12"/>
        <v>165</v>
      </c>
      <c r="AC17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102.94341649204583</v>
      </c>
      <c r="AD17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1674.8783949381927</v>
      </c>
      <c r="AE17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646.91851179806974</v>
      </c>
    </row>
    <row r="177" spans="2:31" x14ac:dyDescent="0.3">
      <c r="B177">
        <f t="shared" si="9"/>
        <v>175</v>
      </c>
      <c r="C177">
        <v>497</v>
      </c>
      <c r="D177">
        <v>186</v>
      </c>
      <c r="E177">
        <v>195</v>
      </c>
      <c r="F177">
        <v>3600</v>
      </c>
      <c r="G177">
        <v>1</v>
      </c>
      <c r="K177" s="7">
        <f>MATCH(MIN(Table4[[#This Row],[Cluster 1 Dist]:[Cluster 3 Dist]]),Table4[[#This Row],[Cluster 1 Dist]:[Cluster 3 Dist]],0)</f>
        <v>2</v>
      </c>
      <c r="L177">
        <f t="shared" si="10"/>
        <v>166</v>
      </c>
      <c r="M17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716.52006252442084</v>
      </c>
      <c r="N17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479.25880273605827</v>
      </c>
      <c r="O17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500.24593951375556</v>
      </c>
      <c r="T177" s="7">
        <f>MATCH(MIN(Table48[[#This Row],[Cluster 1 Dist]:[Cluster 3 Dist]]),Table48[[#This Row],[Cluster 1 Dist]:[Cluster 3 Dist]],0)</f>
        <v>3</v>
      </c>
      <c r="U177">
        <f t="shared" si="11"/>
        <v>166</v>
      </c>
      <c r="V17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881.98397275177331</v>
      </c>
      <c r="W17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716.55940243494081</v>
      </c>
      <c r="X17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457.76544278947597</v>
      </c>
      <c r="AA177" s="7">
        <f>MATCH(MIN(Table4810[[#This Row],[Cluster 1 Dist]:[Cluster 3 Dist]]),Table4810[[#This Row],[Cluster 1 Dist]:[Cluster 3 Dist]],0)</f>
        <v>3</v>
      </c>
      <c r="AB177">
        <f t="shared" si="12"/>
        <v>166</v>
      </c>
      <c r="AC17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901.02581589658041</v>
      </c>
      <c r="AD17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908.66486099747431</v>
      </c>
      <c r="AE17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413.24495094127661</v>
      </c>
    </row>
    <row r="178" spans="2:31" x14ac:dyDescent="0.3">
      <c r="B178">
        <f t="shared" si="9"/>
        <v>176</v>
      </c>
      <c r="C178">
        <v>475</v>
      </c>
      <c r="D178">
        <v>168</v>
      </c>
      <c r="E178">
        <v>199</v>
      </c>
      <c r="F178">
        <v>3900</v>
      </c>
      <c r="G178">
        <v>0</v>
      </c>
      <c r="K178" s="7">
        <f>MATCH(MIN(Table4[[#This Row],[Cluster 1 Dist]:[Cluster 3 Dist]]),Table4[[#This Row],[Cluster 1 Dist]:[Cluster 3 Dist]],0)</f>
        <v>1</v>
      </c>
      <c r="L178">
        <f t="shared" si="10"/>
        <v>167</v>
      </c>
      <c r="M17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180.5408541023333</v>
      </c>
      <c r="N17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1004.5989249446766</v>
      </c>
      <c r="O17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424.71873045581589</v>
      </c>
      <c r="T178" s="7">
        <f>MATCH(MIN(Table48[[#This Row],[Cluster 1 Dist]:[Cluster 3 Dist]]),Table48[[#This Row],[Cluster 1 Dist]:[Cluster 3 Dist]],0)</f>
        <v>1</v>
      </c>
      <c r="U178">
        <f t="shared" si="11"/>
        <v>167</v>
      </c>
      <c r="V17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145.3376803252138</v>
      </c>
      <c r="W17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1367.3866854386686</v>
      </c>
      <c r="X17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478.9310723275492</v>
      </c>
      <c r="AA178" s="7">
        <f>MATCH(MIN(Table4810[[#This Row],[Cluster 1 Dist]:[Cluster 3 Dist]]),Table4810[[#This Row],[Cluster 1 Dist]:[Cluster 3 Dist]],0)</f>
        <v>1</v>
      </c>
      <c r="AB178">
        <f t="shared" si="12"/>
        <v>167</v>
      </c>
      <c r="AC17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162.40602379306077</v>
      </c>
      <c r="AD17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1576.7536858291921</v>
      </c>
      <c r="AE17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555.76485174112884</v>
      </c>
    </row>
    <row r="179" spans="2:31" x14ac:dyDescent="0.3">
      <c r="B179">
        <f t="shared" si="9"/>
        <v>177</v>
      </c>
      <c r="C179">
        <v>476</v>
      </c>
      <c r="D179">
        <v>183</v>
      </c>
      <c r="E179">
        <v>195</v>
      </c>
      <c r="F179">
        <v>3850</v>
      </c>
      <c r="G179">
        <v>0</v>
      </c>
      <c r="K179" s="7">
        <f>MATCH(MIN(Table4[[#This Row],[Cluster 1 Dist]:[Cluster 3 Dist]]),Table4[[#This Row],[Cluster 1 Dist]:[Cluster 3 Dist]],0)</f>
        <v>3</v>
      </c>
      <c r="L179">
        <f t="shared" si="10"/>
        <v>168</v>
      </c>
      <c r="M17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314.00477703372604</v>
      </c>
      <c r="N17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635.30543835229366</v>
      </c>
      <c r="O17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220.22715545545242</v>
      </c>
      <c r="T179" s="7">
        <f>MATCH(MIN(Table48[[#This Row],[Cluster 1 Dist]:[Cluster 3 Dist]]),Table48[[#This Row],[Cluster 1 Dist]:[Cluster 3 Dist]],0)</f>
        <v>3</v>
      </c>
      <c r="U179">
        <f t="shared" si="11"/>
        <v>168</v>
      </c>
      <c r="V17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492.9215223348437</v>
      </c>
      <c r="W17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975.95185879389851</v>
      </c>
      <c r="X17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200.32652070547013</v>
      </c>
      <c r="AA179" s="7">
        <f>MATCH(MIN(Table4810[[#This Row],[Cluster 1 Dist]:[Cluster 3 Dist]]),Table4810[[#This Row],[Cluster 1 Dist]:[Cluster 3 Dist]],0)</f>
        <v>3</v>
      </c>
      <c r="AB179">
        <f t="shared" si="12"/>
        <v>168</v>
      </c>
      <c r="AC17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516.55996246819393</v>
      </c>
      <c r="AD17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1182.7076409062954</v>
      </c>
      <c r="AE17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234.19096593608614</v>
      </c>
    </row>
    <row r="180" spans="2:31" x14ac:dyDescent="0.3">
      <c r="B180">
        <f t="shared" si="9"/>
        <v>178</v>
      </c>
      <c r="C180">
        <v>52</v>
      </c>
      <c r="D180">
        <v>207</v>
      </c>
      <c r="E180">
        <v>210</v>
      </c>
      <c r="F180">
        <v>4800</v>
      </c>
      <c r="G180">
        <v>1</v>
      </c>
      <c r="K180" s="7">
        <f>MATCH(MIN(Table4[[#This Row],[Cluster 1 Dist]:[Cluster 3 Dist]]),Table4[[#This Row],[Cluster 1 Dist]:[Cluster 3 Dist]],0)</f>
        <v>3</v>
      </c>
      <c r="L180">
        <f t="shared" si="10"/>
        <v>169</v>
      </c>
      <c r="M18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161.22344742623511</v>
      </c>
      <c r="N18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702.64286803467951</v>
      </c>
      <c r="O18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143.15027069481914</v>
      </c>
      <c r="T180" s="7">
        <f>MATCH(MIN(Table48[[#This Row],[Cluster 1 Dist]:[Cluster 3 Dist]]),Table48[[#This Row],[Cluster 1 Dist]:[Cluster 3 Dist]],0)</f>
        <v>3</v>
      </c>
      <c r="U180">
        <f t="shared" si="11"/>
        <v>169</v>
      </c>
      <c r="V18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370.47568508811196</v>
      </c>
      <c r="W18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1065.3114410006258</v>
      </c>
      <c r="X18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184.16972152482217</v>
      </c>
      <c r="AA180" s="7">
        <f>MATCH(MIN(Table4810[[#This Row],[Cluster 1 Dist]:[Cluster 3 Dist]]),Table4810[[#This Row],[Cluster 1 Dist]:[Cluster 3 Dist]],0)</f>
        <v>3</v>
      </c>
      <c r="AB180">
        <f t="shared" si="12"/>
        <v>169</v>
      </c>
      <c r="AC18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394.99163342698256</v>
      </c>
      <c r="AD18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1275.1664170826468</v>
      </c>
      <c r="AE18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256.0951812498829</v>
      </c>
    </row>
    <row r="181" spans="2:31" x14ac:dyDescent="0.3">
      <c r="B181">
        <f t="shared" si="9"/>
        <v>179</v>
      </c>
      <c r="C181">
        <v>469</v>
      </c>
      <c r="D181">
        <v>166</v>
      </c>
      <c r="E181">
        <v>192</v>
      </c>
      <c r="F181">
        <v>2700</v>
      </c>
      <c r="G181">
        <v>0</v>
      </c>
      <c r="K181" s="7">
        <f>MATCH(MIN(Table4[[#This Row],[Cluster 1 Dist]:[Cluster 3 Dist]]),Table4[[#This Row],[Cluster 1 Dist]:[Cluster 3 Dist]],0)</f>
        <v>2</v>
      </c>
      <c r="L181">
        <f t="shared" si="10"/>
        <v>170</v>
      </c>
      <c r="M18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1021.2365054187986</v>
      </c>
      <c r="N18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268.89775008355872</v>
      </c>
      <c r="O18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787.76582814945709</v>
      </c>
      <c r="T181" s="7">
        <f>MATCH(MIN(Table48[[#This Row],[Cluster 1 Dist]:[Cluster 3 Dist]]),Table48[[#This Row],[Cluster 1 Dist]:[Cluster 3 Dist]],0)</f>
        <v>2</v>
      </c>
      <c r="U181">
        <f t="shared" si="11"/>
        <v>170</v>
      </c>
      <c r="V18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1225.9278246378551</v>
      </c>
      <c r="W18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278.7984491307684</v>
      </c>
      <c r="X18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721.76729572880606</v>
      </c>
      <c r="AA181" s="7">
        <f>MATCH(MIN(Table4810[[#This Row],[Cluster 1 Dist]:[Cluster 3 Dist]]),Table4810[[#This Row],[Cluster 1 Dist]:[Cluster 3 Dist]],0)</f>
        <v>2</v>
      </c>
      <c r="AB181">
        <f t="shared" si="12"/>
        <v>170</v>
      </c>
      <c r="AC18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1250.0064866088785</v>
      </c>
      <c r="AD18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454.86072776879058</v>
      </c>
      <c r="AE18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644.42355854809614</v>
      </c>
    </row>
    <row r="182" spans="2:31" x14ac:dyDescent="0.3">
      <c r="B182">
        <f t="shared" si="9"/>
        <v>180</v>
      </c>
      <c r="C182">
        <v>535</v>
      </c>
      <c r="D182">
        <v>199</v>
      </c>
      <c r="E182">
        <v>205</v>
      </c>
      <c r="F182">
        <v>4500</v>
      </c>
      <c r="G182">
        <v>1</v>
      </c>
      <c r="K182" s="7">
        <f>MATCH(MIN(Table4[[#This Row],[Cluster 1 Dist]:[Cluster 3 Dist]]),Table4[[#This Row],[Cluster 1 Dist]:[Cluster 3 Dist]],0)</f>
        <v>1</v>
      </c>
      <c r="L182">
        <f t="shared" si="10"/>
        <v>171</v>
      </c>
      <c r="M18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350.60804326198792</v>
      </c>
      <c r="N18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1200.8771793984595</v>
      </c>
      <c r="O18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602.46742650536714</v>
      </c>
      <c r="T182" s="7">
        <f>MATCH(MIN(Table48[[#This Row],[Cluster 1 Dist]:[Cluster 3 Dist]]),Table48[[#This Row],[Cluster 1 Dist]:[Cluster 3 Dist]],0)</f>
        <v>1</v>
      </c>
      <c r="U182">
        <f t="shared" si="11"/>
        <v>171</v>
      </c>
      <c r="V18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145.22243791449455</v>
      </c>
      <c r="W18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1563.111520251409</v>
      </c>
      <c r="X18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661.31397387384459</v>
      </c>
      <c r="AA182" s="7">
        <f>MATCH(MIN(Table4810[[#This Row],[Cluster 1 Dist]:[Cluster 3 Dist]]),Table4810[[#This Row],[Cluster 1 Dist]:[Cluster 3 Dist]],0)</f>
        <v>1</v>
      </c>
      <c r="AB182">
        <f t="shared" si="12"/>
        <v>171</v>
      </c>
      <c r="AC18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124.66005618380915</v>
      </c>
      <c r="AD18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1773.9189282089908</v>
      </c>
      <c r="AE18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741.21477444760239</v>
      </c>
    </row>
    <row r="183" spans="2:31" x14ac:dyDescent="0.3">
      <c r="B183">
        <f t="shared" si="9"/>
        <v>181</v>
      </c>
      <c r="C183">
        <v>49</v>
      </c>
      <c r="D183">
        <v>195</v>
      </c>
      <c r="E183">
        <v>210</v>
      </c>
      <c r="F183">
        <v>3950</v>
      </c>
      <c r="G183">
        <v>1</v>
      </c>
      <c r="K183" s="7">
        <f>MATCH(MIN(Table4[[#This Row],[Cluster 1 Dist]:[Cluster 3 Dist]]),Table4[[#This Row],[Cluster 1 Dist]:[Cluster 3 Dist]],0)</f>
        <v>2</v>
      </c>
      <c r="L183">
        <f t="shared" si="10"/>
        <v>172</v>
      </c>
      <c r="M18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762.76077507957893</v>
      </c>
      <c r="N18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163.35850146227469</v>
      </c>
      <c r="O18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531.34828502593291</v>
      </c>
      <c r="T183" s="7">
        <f>MATCH(MIN(Table48[[#This Row],[Cluster 1 Dist]:[Cluster 3 Dist]]),Table48[[#This Row],[Cluster 1 Dist]:[Cluster 3 Dist]],0)</f>
        <v>3</v>
      </c>
      <c r="U183">
        <f t="shared" si="11"/>
        <v>172</v>
      </c>
      <c r="V18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974.91372366740291</v>
      </c>
      <c r="W18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487.88095142408866</v>
      </c>
      <c r="X18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472.4352418640064</v>
      </c>
      <c r="AA183" s="7">
        <f>MATCH(MIN(Table4810[[#This Row],[Cluster 1 Dist]:[Cluster 3 Dist]]),Table4810[[#This Row],[Cluster 1 Dist]:[Cluster 3 Dist]],0)</f>
        <v>3</v>
      </c>
      <c r="AB183">
        <f t="shared" si="12"/>
        <v>172</v>
      </c>
      <c r="AC18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999.29124842208432</v>
      </c>
      <c r="AD18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688.62406549884827</v>
      </c>
      <c r="AE18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397.95808459874985</v>
      </c>
    </row>
    <row r="184" spans="2:31" x14ac:dyDescent="0.3">
      <c r="B184">
        <f t="shared" si="9"/>
        <v>182</v>
      </c>
      <c r="C184">
        <v>462</v>
      </c>
      <c r="D184">
        <v>175</v>
      </c>
      <c r="E184">
        <v>187</v>
      </c>
      <c r="F184">
        <v>3650</v>
      </c>
      <c r="G184">
        <v>0</v>
      </c>
      <c r="K184" s="7">
        <f>MATCH(MIN(Table4[[#This Row],[Cluster 1 Dist]:[Cluster 3 Dist]]),Table4[[#This Row],[Cluster 1 Dist]:[Cluster 3 Dist]],0)</f>
        <v>1</v>
      </c>
      <c r="L184">
        <f t="shared" si="10"/>
        <v>173</v>
      </c>
      <c r="M18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201.83904478569056</v>
      </c>
      <c r="N18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1051.0209322368419</v>
      </c>
      <c r="O18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455.12415888414449</v>
      </c>
      <c r="T184" s="7">
        <f>MATCH(MIN(Table48[[#This Row],[Cluster 1 Dist]:[Cluster 3 Dist]]),Table48[[#This Row],[Cluster 1 Dist]:[Cluster 3 Dist]],0)</f>
        <v>1</v>
      </c>
      <c r="U184">
        <f t="shared" si="11"/>
        <v>173</v>
      </c>
      <c r="V18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51.424858480979744</v>
      </c>
      <c r="W18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1413.338555430872</v>
      </c>
      <c r="X18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512.93165853408811</v>
      </c>
      <c r="AA184" s="7">
        <f>MATCH(MIN(Table4810[[#This Row],[Cluster 1 Dist]:[Cluster 3 Dist]]),Table4810[[#This Row],[Cluster 1 Dist]:[Cluster 3 Dist]],0)</f>
        <v>1</v>
      </c>
      <c r="AB184">
        <f t="shared" si="12"/>
        <v>173</v>
      </c>
      <c r="AC18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66.188459843435908</v>
      </c>
      <c r="AD18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1623.9750974946605</v>
      </c>
      <c r="AE18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592.48427662671895</v>
      </c>
    </row>
    <row r="185" spans="2:31" x14ac:dyDescent="0.3">
      <c r="B185">
        <f t="shared" si="9"/>
        <v>183</v>
      </c>
      <c r="C185">
        <v>509</v>
      </c>
      <c r="D185">
        <v>191</v>
      </c>
      <c r="E185">
        <v>196</v>
      </c>
      <c r="F185">
        <v>3550</v>
      </c>
      <c r="G185">
        <v>1</v>
      </c>
      <c r="K185" s="7">
        <f>MATCH(MIN(Table4[[#This Row],[Cluster 1 Dist]:[Cluster 3 Dist]]),Table4[[#This Row],[Cluster 1 Dist]:[Cluster 3 Dist]],0)</f>
        <v>3</v>
      </c>
      <c r="L185">
        <f t="shared" si="10"/>
        <v>174</v>
      </c>
      <c r="M18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654.92671345731503</v>
      </c>
      <c r="N18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470.78338968149671</v>
      </c>
      <c r="O18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433.08428740835194</v>
      </c>
      <c r="T185" s="7">
        <f>MATCH(MIN(Table48[[#This Row],[Cluster 1 Dist]:[Cluster 3 Dist]]),Table48[[#This Row],[Cluster 1 Dist]:[Cluster 3 Dist]],0)</f>
        <v>3</v>
      </c>
      <c r="U185">
        <f t="shared" si="11"/>
        <v>174</v>
      </c>
      <c r="V18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826.73232321689636</v>
      </c>
      <c r="W18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750.44764923852108</v>
      </c>
      <c r="X18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402.98387140460721</v>
      </c>
      <c r="AA185" s="7">
        <f>MATCH(MIN(Table4810[[#This Row],[Cluster 1 Dist]:[Cluster 3 Dist]]),Table4810[[#This Row],[Cluster 1 Dist]:[Cluster 3 Dist]],0)</f>
        <v>3</v>
      </c>
      <c r="AB185">
        <f t="shared" si="12"/>
        <v>174</v>
      </c>
      <c r="AC18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845.65801446792761</v>
      </c>
      <c r="AD18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947.78674817836429</v>
      </c>
      <c r="AE18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363.84682668395209</v>
      </c>
    </row>
    <row r="186" spans="2:31" x14ac:dyDescent="0.3">
      <c r="B186">
        <f t="shared" si="9"/>
        <v>184</v>
      </c>
      <c r="C186">
        <v>455</v>
      </c>
      <c r="D186">
        <v>17</v>
      </c>
      <c r="E186">
        <v>196</v>
      </c>
      <c r="F186">
        <v>3500</v>
      </c>
      <c r="G186">
        <v>0</v>
      </c>
      <c r="K186" s="7">
        <f>MATCH(MIN(Table4[[#This Row],[Cluster 1 Dist]:[Cluster 3 Dist]]),Table4[[#This Row],[Cluster 1 Dist]:[Cluster 3 Dist]],0)</f>
        <v>1</v>
      </c>
      <c r="L186">
        <f t="shared" si="10"/>
        <v>175</v>
      </c>
      <c r="M18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104.52272480183436</v>
      </c>
      <c r="N18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804.78630704057082</v>
      </c>
      <c r="O18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240.96057768855053</v>
      </c>
      <c r="T186" s="7">
        <f>MATCH(MIN(Table48[[#This Row],[Cluster 1 Dist]:[Cluster 3 Dist]]),Table48[[#This Row],[Cluster 1 Dist]:[Cluster 3 Dist]],0)</f>
        <v>1</v>
      </c>
      <c r="U186">
        <f t="shared" si="11"/>
        <v>175</v>
      </c>
      <c r="V18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287.75837034941731</v>
      </c>
      <c r="W18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1167.5671206308934</v>
      </c>
      <c r="X18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288.51541288012265</v>
      </c>
      <c r="AA186" s="7">
        <f>MATCH(MIN(Table4810[[#This Row],[Cluster 1 Dist]:[Cluster 3 Dist]]),Table4810[[#This Row],[Cluster 1 Dist]:[Cluster 3 Dist]],0)</f>
        <v>1</v>
      </c>
      <c r="AB186">
        <f t="shared" si="12"/>
        <v>175</v>
      </c>
      <c r="AC18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312.00543340992596</v>
      </c>
      <c r="AD18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1376.8071241131852</v>
      </c>
      <c r="AE18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361.61234038200797</v>
      </c>
    </row>
    <row r="187" spans="2:31" x14ac:dyDescent="0.3">
      <c r="B187">
        <f t="shared" si="9"/>
        <v>185</v>
      </c>
      <c r="C187">
        <v>509</v>
      </c>
      <c r="D187">
        <v>179</v>
      </c>
      <c r="E187">
        <v>196</v>
      </c>
      <c r="F187">
        <v>3675</v>
      </c>
      <c r="G187">
        <v>0</v>
      </c>
      <c r="K187" s="7">
        <f>MATCH(MIN(Table4[[#This Row],[Cluster 1 Dist]:[Cluster 3 Dist]]),Table4[[#This Row],[Cluster 1 Dist]:[Cluster 3 Dist]],0)</f>
        <v>3</v>
      </c>
      <c r="L187">
        <f t="shared" si="10"/>
        <v>176</v>
      </c>
      <c r="M18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357.54999650398543</v>
      </c>
      <c r="N18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505.67776300723369</v>
      </c>
      <c r="O18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152.82342752340034</v>
      </c>
      <c r="T187" s="7">
        <f>MATCH(MIN(Table48[[#This Row],[Cluster 1 Dist]:[Cluster 3 Dist]]),Table48[[#This Row],[Cluster 1 Dist]:[Cluster 3 Dist]],0)</f>
        <v>3</v>
      </c>
      <c r="U187">
        <f t="shared" si="11"/>
        <v>176</v>
      </c>
      <c r="V18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568.0159523555609</v>
      </c>
      <c r="W18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866.36225987558532</v>
      </c>
      <c r="X18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108.46118745280951</v>
      </c>
      <c r="AA187" s="7">
        <f>MATCH(MIN(Table4810[[#This Row],[Cluster 1 Dist]:[Cluster 3 Dist]]),Table4810[[#This Row],[Cluster 1 Dist]:[Cluster 3 Dist]],0)</f>
        <v>3</v>
      </c>
      <c r="AB187">
        <f t="shared" si="12"/>
        <v>176</v>
      </c>
      <c r="AC18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592.43113637525926</v>
      </c>
      <c r="AD18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1075.6253011693566</v>
      </c>
      <c r="AE18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106.06426152901898</v>
      </c>
    </row>
    <row r="188" spans="2:31" x14ac:dyDescent="0.3">
      <c r="B188">
        <f t="shared" si="9"/>
        <v>186</v>
      </c>
      <c r="C188">
        <v>508</v>
      </c>
      <c r="D188">
        <v>185</v>
      </c>
      <c r="E188">
        <v>201</v>
      </c>
      <c r="F188">
        <v>4450</v>
      </c>
      <c r="G188">
        <v>1</v>
      </c>
      <c r="K188" s="7">
        <f>MATCH(MIN(Table4[[#This Row],[Cluster 1 Dist]:[Cluster 3 Dist]]),Table4[[#This Row],[Cluster 1 Dist]:[Cluster 3 Dist]],0)</f>
        <v>3</v>
      </c>
      <c r="L188">
        <f t="shared" si="10"/>
        <v>177</v>
      </c>
      <c r="M18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308.30828727103653</v>
      </c>
      <c r="N18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554.30497021044289</v>
      </c>
      <c r="O18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124.25377257854186</v>
      </c>
      <c r="T188" s="7">
        <f>MATCH(MIN(Table48[[#This Row],[Cluster 1 Dist]:[Cluster 3 Dist]]),Table48[[#This Row],[Cluster 1 Dist]:[Cluster 3 Dist]],0)</f>
        <v>3</v>
      </c>
      <c r="U188">
        <f t="shared" si="11"/>
        <v>177</v>
      </c>
      <c r="V18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519.64898886204355</v>
      </c>
      <c r="W18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916.75372217346865</v>
      </c>
      <c r="X18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103.62983870192865</v>
      </c>
      <c r="AA188" s="7">
        <f>MATCH(MIN(Table4810[[#This Row],[Cluster 1 Dist]:[Cluster 3 Dist]]),Table4810[[#This Row],[Cluster 1 Dist]:[Cluster 3 Dist]],0)</f>
        <v>3</v>
      </c>
      <c r="AB188">
        <f t="shared" si="12"/>
        <v>177</v>
      </c>
      <c r="AC18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544.08946598795205</v>
      </c>
      <c r="AD18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1126.0756839795074</v>
      </c>
      <c r="AE18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135.31708424283255</v>
      </c>
    </row>
    <row r="189" spans="2:31" x14ac:dyDescent="0.3">
      <c r="B189">
        <f t="shared" si="9"/>
        <v>187</v>
      </c>
      <c r="C189">
        <v>501</v>
      </c>
      <c r="D189">
        <v>179</v>
      </c>
      <c r="E189">
        <v>190</v>
      </c>
      <c r="F189">
        <v>3400</v>
      </c>
      <c r="G189">
        <v>0</v>
      </c>
      <c r="K189" s="7">
        <f>MATCH(MIN(Table4[[#This Row],[Cluster 1 Dist]:[Cluster 3 Dist]]),Table4[[#This Row],[Cluster 1 Dist]:[Cluster 3 Dist]],0)</f>
        <v>2</v>
      </c>
      <c r="L189">
        <f t="shared" si="10"/>
        <v>178</v>
      </c>
      <c r="M18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1299.6099414824434</v>
      </c>
      <c r="N18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539.03803205339784</v>
      </c>
      <c r="O18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1047.504176602652</v>
      </c>
      <c r="T189" s="7">
        <f>MATCH(MIN(Table48[[#This Row],[Cluster 1 Dist]:[Cluster 3 Dist]]),Table48[[#This Row],[Cluster 1 Dist]:[Cluster 3 Dist]],0)</f>
        <v>2</v>
      </c>
      <c r="U189">
        <f t="shared" si="11"/>
        <v>178</v>
      </c>
      <c r="V18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1495.8268686984779</v>
      </c>
      <c r="W18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355.5217070005894</v>
      </c>
      <c r="X18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994.27851834423973</v>
      </c>
      <c r="AA189" s="7">
        <f>MATCH(MIN(Table4810[[#This Row],[Cluster 1 Dist]:[Cluster 3 Dist]]),Table4810[[#This Row],[Cluster 1 Dist]:[Cluster 3 Dist]],0)</f>
        <v>2</v>
      </c>
      <c r="AB189">
        <f t="shared" si="12"/>
        <v>178</v>
      </c>
      <c r="AC18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1517.26712962854</v>
      </c>
      <c r="AD18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408.17983146774753</v>
      </c>
      <c r="AE18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920.0388340418707</v>
      </c>
    </row>
    <row r="190" spans="2:31" x14ac:dyDescent="0.3">
      <c r="B190">
        <f t="shared" si="9"/>
        <v>188</v>
      </c>
      <c r="C190">
        <v>49</v>
      </c>
      <c r="D190">
        <v>196</v>
      </c>
      <c r="E190">
        <v>212</v>
      </c>
      <c r="F190">
        <v>4300</v>
      </c>
      <c r="G190">
        <v>1</v>
      </c>
      <c r="K190" s="7">
        <f>MATCH(MIN(Table4[[#This Row],[Cluster 1 Dist]:[Cluster 3 Dist]]),Table4[[#This Row],[Cluster 1 Dist]:[Cluster 3 Dist]],0)</f>
        <v>1</v>
      </c>
      <c r="L190">
        <f t="shared" si="10"/>
        <v>179</v>
      </c>
      <c r="M19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852.61421522280523</v>
      </c>
      <c r="N19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1701.5202026423312</v>
      </c>
      <c r="O19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1105.4781770799459</v>
      </c>
      <c r="T190" s="7">
        <f>MATCH(MIN(Table48[[#This Row],[Cluster 1 Dist]:[Cluster 3 Dist]]),Table48[[#This Row],[Cluster 1 Dist]:[Cluster 3 Dist]],0)</f>
        <v>1</v>
      </c>
      <c r="U190">
        <f t="shared" si="11"/>
        <v>179</v>
      </c>
      <c r="V19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647.70785510501446</v>
      </c>
      <c r="W19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2064.1380746159657</v>
      </c>
      <c r="X19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1164.2279602678279</v>
      </c>
      <c r="AA190" s="7">
        <f>MATCH(MIN(Table4810[[#This Row],[Cluster 1 Dist]:[Cluster 3 Dist]]),Table4810[[#This Row],[Cluster 1 Dist]:[Cluster 3 Dist]],0)</f>
        <v>1</v>
      </c>
      <c r="AB190">
        <f t="shared" si="12"/>
        <v>179</v>
      </c>
      <c r="AC19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625.55907102917217</v>
      </c>
      <c r="AD19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2274.4360901642622</v>
      </c>
      <c r="AE19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1243.8828833831969</v>
      </c>
    </row>
    <row r="191" spans="2:31" x14ac:dyDescent="0.3">
      <c r="B191">
        <f t="shared" si="9"/>
        <v>189</v>
      </c>
      <c r="C191">
        <v>515</v>
      </c>
      <c r="D191">
        <v>187</v>
      </c>
      <c r="E191">
        <v>187</v>
      </c>
      <c r="F191">
        <v>3250</v>
      </c>
      <c r="G191">
        <v>1</v>
      </c>
      <c r="K191" s="7">
        <f>MATCH(MIN(Table4[[#This Row],[Cluster 1 Dist]:[Cluster 3 Dist]]),Table4[[#This Row],[Cluster 1 Dist]:[Cluster 3 Dist]],0)</f>
        <v>2</v>
      </c>
      <c r="L191">
        <f t="shared" si="10"/>
        <v>180</v>
      </c>
      <c r="M19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959.05891372741019</v>
      </c>
      <c r="N19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158.51813776347487</v>
      </c>
      <c r="O19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720.98890421420492</v>
      </c>
      <c r="T191" s="7">
        <f>MATCH(MIN(Table48[[#This Row],[Cluster 1 Dist]:[Cluster 3 Dist]]),Table48[[#This Row],[Cluster 1 Dist]:[Cluster 3 Dist]],0)</f>
        <v>2</v>
      </c>
      <c r="U191">
        <f t="shared" si="11"/>
        <v>180</v>
      </c>
      <c r="V19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1170.9104464669988</v>
      </c>
      <c r="W19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299.85871423897015</v>
      </c>
      <c r="X19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660.4261615789909</v>
      </c>
      <c r="AA191" s="7">
        <f>MATCH(MIN(Table4810[[#This Row],[Cluster 1 Dist]:[Cluster 3 Dist]]),Table4810[[#This Row],[Cluster 1 Dist]:[Cluster 3 Dist]],0)</f>
        <v>2</v>
      </c>
      <c r="AB191">
        <f t="shared" si="12"/>
        <v>180</v>
      </c>
      <c r="AC19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1195.1832492019657</v>
      </c>
      <c r="AD19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491.81983227578218</v>
      </c>
      <c r="AE19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582.47659176541049</v>
      </c>
    </row>
    <row r="192" spans="2:31" x14ac:dyDescent="0.3">
      <c r="B192">
        <f t="shared" si="9"/>
        <v>190</v>
      </c>
      <c r="C192">
        <v>498</v>
      </c>
      <c r="D192">
        <v>173</v>
      </c>
      <c r="E192">
        <v>198</v>
      </c>
      <c r="F192">
        <v>3675</v>
      </c>
      <c r="G192">
        <v>0</v>
      </c>
      <c r="K192" s="7">
        <f>MATCH(MIN(Table4[[#This Row],[Cluster 1 Dist]:[Cluster 3 Dist]]),Table4[[#This Row],[Cluster 1 Dist]:[Cluster 3 Dist]],0)</f>
        <v>3</v>
      </c>
      <c r="L192">
        <f t="shared" si="10"/>
        <v>181</v>
      </c>
      <c r="M19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536.89756937427092</v>
      </c>
      <c r="N19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579.20376379992558</v>
      </c>
      <c r="O19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348.56276335833695</v>
      </c>
      <c r="T192" s="7">
        <f>MATCH(MIN(Table48[[#This Row],[Cluster 1 Dist]:[Cluster 3 Dist]]),Table48[[#This Row],[Cluster 1 Dist]:[Cluster 3 Dist]],0)</f>
        <v>3</v>
      </c>
      <c r="U192">
        <f t="shared" si="11"/>
        <v>181</v>
      </c>
      <c r="V19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693.07316717622803</v>
      </c>
      <c r="W19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886.89406367852996</v>
      </c>
      <c r="X19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338.8492720719251</v>
      </c>
      <c r="AA192" s="7">
        <f>MATCH(MIN(Table4810[[#This Row],[Cluster 1 Dist]:[Cluster 3 Dist]]),Table4810[[#This Row],[Cluster 1 Dist]:[Cluster 3 Dist]],0)</f>
        <v>3</v>
      </c>
      <c r="AB192">
        <f t="shared" si="12"/>
        <v>181</v>
      </c>
      <c r="AC19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710.5801512474726</v>
      </c>
      <c r="AD19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1088.5987194909392</v>
      </c>
      <c r="AE19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329.94845045044315</v>
      </c>
    </row>
    <row r="193" spans="2:31" x14ac:dyDescent="0.3">
      <c r="B193">
        <f t="shared" si="9"/>
        <v>191</v>
      </c>
      <c r="C193">
        <v>481</v>
      </c>
      <c r="D193">
        <v>164</v>
      </c>
      <c r="E193">
        <v>199</v>
      </c>
      <c r="F193">
        <v>3325</v>
      </c>
      <c r="G193">
        <v>0</v>
      </c>
      <c r="K193" s="7">
        <f>MATCH(MIN(Table4[[#This Row],[Cluster 1 Dist]:[Cluster 3 Dist]]),Table4[[#This Row],[Cluster 1 Dist]:[Cluster 3 Dist]],0)</f>
        <v>1</v>
      </c>
      <c r="L193">
        <f t="shared" si="10"/>
        <v>182</v>
      </c>
      <c r="M19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115.21284650593439</v>
      </c>
      <c r="N19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752.50382058830769</v>
      </c>
      <c r="O19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180.86182571233766</v>
      </c>
      <c r="T193" s="7">
        <f>MATCH(MIN(Table48[[#This Row],[Cluster 1 Dist]:[Cluster 3 Dist]]),Table48[[#This Row],[Cluster 1 Dist]:[Cluster 3 Dist]],0)</f>
        <v>3</v>
      </c>
      <c r="U193">
        <f t="shared" si="11"/>
        <v>182</v>
      </c>
      <c r="V19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321.48726494891554</v>
      </c>
      <c r="W19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1115.0671963901743</v>
      </c>
      <c r="X19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228.21406125631688</v>
      </c>
      <c r="AA193" s="7">
        <f>MATCH(MIN(Table4810[[#This Row],[Cluster 1 Dist]:[Cluster 3 Dist]]),Table4810[[#This Row],[Cluster 1 Dist]:[Cluster 3 Dist]],0)</f>
        <v>3</v>
      </c>
      <c r="AB193">
        <f t="shared" si="12"/>
        <v>182</v>
      </c>
      <c r="AC19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346.02921345498021</v>
      </c>
      <c r="AD19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1325.0111737013681</v>
      </c>
      <c r="AE19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302.93492771689262</v>
      </c>
    </row>
    <row r="194" spans="2:31" x14ac:dyDescent="0.3">
      <c r="B194">
        <f t="shared" si="9"/>
        <v>192</v>
      </c>
      <c r="C194">
        <v>514</v>
      </c>
      <c r="D194">
        <v>19</v>
      </c>
      <c r="E194">
        <v>201</v>
      </c>
      <c r="F194">
        <v>3950</v>
      </c>
      <c r="G194">
        <v>1</v>
      </c>
      <c r="K194" s="7">
        <f>MATCH(MIN(Table4[[#This Row],[Cluster 1 Dist]:[Cluster 3 Dist]]),Table4[[#This Row],[Cluster 1 Dist]:[Cluster 3 Dist]],0)</f>
        <v>1</v>
      </c>
      <c r="L194">
        <f t="shared" si="10"/>
        <v>183</v>
      </c>
      <c r="M19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103.93748120865735</v>
      </c>
      <c r="N19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855.63835818644782</v>
      </c>
      <c r="O19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289.59972375677432</v>
      </c>
      <c r="T194" s="7">
        <f>MATCH(MIN(Table48[[#This Row],[Cluster 1 Dist]:[Cluster 3 Dist]]),Table48[[#This Row],[Cluster 1 Dist]:[Cluster 3 Dist]],0)</f>
        <v>1</v>
      </c>
      <c r="U194">
        <f t="shared" si="11"/>
        <v>183</v>
      </c>
      <c r="V19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250.60434208490676</v>
      </c>
      <c r="W19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1218.5475898392592</v>
      </c>
      <c r="X19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339.24660315926809</v>
      </c>
      <c r="AA194" s="7">
        <f>MATCH(MIN(Table4810[[#This Row],[Cluster 1 Dist]:[Cluster 3 Dist]]),Table4810[[#This Row],[Cluster 1 Dist]:[Cluster 3 Dist]],0)</f>
        <v>1</v>
      </c>
      <c r="AB194">
        <f t="shared" si="12"/>
        <v>183</v>
      </c>
      <c r="AC19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274.1683456959675</v>
      </c>
      <c r="AD19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1427.587444538281</v>
      </c>
      <c r="AE19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413.00399969512677</v>
      </c>
    </row>
    <row r="195" spans="2:31" x14ac:dyDescent="0.3">
      <c r="B195">
        <f t="shared" si="9"/>
        <v>193</v>
      </c>
      <c r="C195">
        <v>457</v>
      </c>
      <c r="D195">
        <v>173</v>
      </c>
      <c r="E195">
        <v>193</v>
      </c>
      <c r="F195">
        <v>3600</v>
      </c>
      <c r="G195">
        <v>0</v>
      </c>
      <c r="K195" s="7">
        <f>MATCH(MIN(Table4[[#This Row],[Cluster 1 Dist]:[Cluster 3 Dist]]),Table4[[#This Row],[Cluster 1 Dist]:[Cluster 3 Dist]],0)</f>
        <v>1</v>
      </c>
      <c r="L195">
        <f t="shared" si="10"/>
        <v>184</v>
      </c>
      <c r="M19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183.39029418156241</v>
      </c>
      <c r="N19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921.6300776341883</v>
      </c>
      <c r="O19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360.81158517985534</v>
      </c>
      <c r="T195" s="7">
        <f>MATCH(MIN(Table48[[#This Row],[Cluster 1 Dist]:[Cluster 3 Dist]]),Table48[[#This Row],[Cluster 1 Dist]:[Cluster 3 Dist]],0)</f>
        <v>1</v>
      </c>
      <c r="U195">
        <f t="shared" si="11"/>
        <v>184</v>
      </c>
      <c r="V19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223.80822623486125</v>
      </c>
      <c r="W19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1270.751356828426</v>
      </c>
      <c r="X19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398.55141347594451</v>
      </c>
      <c r="AA195" s="7">
        <f>MATCH(MIN(Table4810[[#This Row],[Cluster 1 Dist]:[Cluster 3 Dist]]),Table4810[[#This Row],[Cluster 1 Dist]:[Cluster 3 Dist]],0)</f>
        <v>1</v>
      </c>
      <c r="AB195">
        <f t="shared" si="12"/>
        <v>184</v>
      </c>
      <c r="AC19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243.44122413377423</v>
      </c>
      <c r="AD19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1479.4541133293642</v>
      </c>
      <c r="AE19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471.02555683608472</v>
      </c>
    </row>
    <row r="196" spans="2:31" x14ac:dyDescent="0.3">
      <c r="B196">
        <f t="shared" si="9"/>
        <v>194</v>
      </c>
      <c r="C196">
        <v>507</v>
      </c>
      <c r="D196">
        <v>197</v>
      </c>
      <c r="E196">
        <v>203</v>
      </c>
      <c r="F196">
        <v>4050</v>
      </c>
      <c r="G196">
        <v>1</v>
      </c>
      <c r="K196" s="7">
        <f>MATCH(MIN(Table4[[#This Row],[Cluster 1 Dist]:[Cluster 3 Dist]]),Table4[[#This Row],[Cluster 1 Dist]:[Cluster 3 Dist]],0)</f>
        <v>1</v>
      </c>
      <c r="L196">
        <f t="shared" si="10"/>
        <v>185</v>
      </c>
      <c r="M19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162.64378254332379</v>
      </c>
      <c r="N19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732.02937099545397</v>
      </c>
      <c r="O19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192.96113598338914</v>
      </c>
      <c r="T196" s="7">
        <f>MATCH(MIN(Table48[[#This Row],[Cluster 1 Dist]:[Cluster 3 Dist]]),Table48[[#This Row],[Cluster 1 Dist]:[Cluster 3 Dist]],0)</f>
        <v>3</v>
      </c>
      <c r="U196">
        <f t="shared" si="11"/>
        <v>185</v>
      </c>
      <c r="V19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360.46565129948021</v>
      </c>
      <c r="W19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1093.779925639875</v>
      </c>
      <c r="X19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229.53922922912756</v>
      </c>
      <c r="AA196" s="7">
        <f>MATCH(MIN(Table4810[[#This Row],[Cluster 1 Dist]:[Cluster 3 Dist]]),Table4810[[#This Row],[Cluster 1 Dist]:[Cluster 3 Dist]],0)</f>
        <v>3</v>
      </c>
      <c r="AB196">
        <f t="shared" si="12"/>
        <v>185</v>
      </c>
      <c r="AC19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384.9367243868316</v>
      </c>
      <c r="AD19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1302.5676726912604</v>
      </c>
      <c r="AE19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296.79638515379992</v>
      </c>
    </row>
    <row r="197" spans="2:31" x14ac:dyDescent="0.3">
      <c r="B197">
        <f t="shared" si="9"/>
        <v>195</v>
      </c>
      <c r="C197">
        <v>425</v>
      </c>
      <c r="D197">
        <v>173</v>
      </c>
      <c r="E197">
        <v>187</v>
      </c>
      <c r="F197">
        <v>3350</v>
      </c>
      <c r="G197">
        <v>0</v>
      </c>
      <c r="K197" s="7">
        <f>MATCH(MIN(Table4[[#This Row],[Cluster 1 Dist]:[Cluster 3 Dist]]),Table4[[#This Row],[Cluster 1 Dist]:[Cluster 3 Dist]],0)</f>
        <v>2</v>
      </c>
      <c r="L197">
        <f t="shared" si="10"/>
        <v>186</v>
      </c>
      <c r="M19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905.94094730285815</v>
      </c>
      <c r="N19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110.62097450302994</v>
      </c>
      <c r="O19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666.14262737044533</v>
      </c>
      <c r="T197" s="7">
        <f>MATCH(MIN(Table48[[#This Row],[Cluster 1 Dist]:[Cluster 3 Dist]]),Table48[[#This Row],[Cluster 1 Dist]:[Cluster 3 Dist]],0)</f>
        <v>2</v>
      </c>
      <c r="U197">
        <f t="shared" si="11"/>
        <v>186</v>
      </c>
      <c r="V19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1117.39958349782</v>
      </c>
      <c r="W19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333.0451623852486</v>
      </c>
      <c r="X19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604.95180496179273</v>
      </c>
      <c r="AA197" s="7">
        <f>MATCH(MIN(Table4810[[#This Row],[Cluster 1 Dist]:[Cluster 3 Dist]]),Table4810[[#This Row],[Cluster 1 Dist]:[Cluster 3 Dist]],0)</f>
        <v>3</v>
      </c>
      <c r="AB197">
        <f t="shared" si="12"/>
        <v>186</v>
      </c>
      <c r="AC19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1141.6067430138573</v>
      </c>
      <c r="AD19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533.52376744947094</v>
      </c>
      <c r="AE19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526.49829643136059</v>
      </c>
    </row>
    <row r="198" spans="2:31" x14ac:dyDescent="0.3">
      <c r="B198">
        <f t="shared" si="9"/>
        <v>196</v>
      </c>
      <c r="C198">
        <v>522</v>
      </c>
      <c r="D198">
        <v>188</v>
      </c>
      <c r="E198">
        <v>197</v>
      </c>
      <c r="F198">
        <v>3450</v>
      </c>
      <c r="G198">
        <v>1</v>
      </c>
      <c r="K198" s="7">
        <f>MATCH(MIN(Table4[[#This Row],[Cluster 1 Dist]:[Cluster 3 Dist]]),Table4[[#This Row],[Cluster 1 Dist]:[Cluster 3 Dist]],0)</f>
        <v>1</v>
      </c>
      <c r="L198">
        <f t="shared" si="10"/>
        <v>187</v>
      </c>
      <c r="M19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177.83138080777533</v>
      </c>
      <c r="N19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1004.3873754682503</v>
      </c>
      <c r="O19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423.43948800271335</v>
      </c>
      <c r="T198" s="7">
        <f>MATCH(MIN(Table48[[#This Row],[Cluster 1 Dist]:[Cluster 3 Dist]]),Table48[[#This Row],[Cluster 1 Dist]:[Cluster 3 Dist]],0)</f>
        <v>1</v>
      </c>
      <c r="U198">
        <f t="shared" si="11"/>
        <v>187</v>
      </c>
      <c r="V19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140.35791517622746</v>
      </c>
      <c r="W19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1367.0321908723602</v>
      </c>
      <c r="X19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477.68151438345745</v>
      </c>
      <c r="AA198" s="7">
        <f>MATCH(MIN(Table4810[[#This Row],[Cluster 1 Dist]:[Cluster 3 Dist]]),Table4810[[#This Row],[Cluster 1 Dist]:[Cluster 3 Dist]],0)</f>
        <v>1</v>
      </c>
      <c r="AB198">
        <f t="shared" si="12"/>
        <v>187</v>
      </c>
      <c r="AC19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157.75854982387827</v>
      </c>
      <c r="AD19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1576.4793033830545</v>
      </c>
      <c r="AE19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554.71534437762023</v>
      </c>
    </row>
    <row r="199" spans="2:31" x14ac:dyDescent="0.3">
      <c r="B199">
        <f t="shared" ref="B199:B262" si="13">1+B198</f>
        <v>197</v>
      </c>
      <c r="C199">
        <v>452</v>
      </c>
      <c r="D199">
        <v>166</v>
      </c>
      <c r="E199">
        <v>191</v>
      </c>
      <c r="F199">
        <v>3250</v>
      </c>
      <c r="G199">
        <v>0</v>
      </c>
      <c r="K199" s="7">
        <f>MATCH(MIN(Table4[[#This Row],[Cluster 1 Dist]:[Cluster 3 Dist]]),Table4[[#This Row],[Cluster 1 Dist]:[Cluster 3 Dist]],0)</f>
        <v>2</v>
      </c>
      <c r="L199">
        <f t="shared" si="10"/>
        <v>188</v>
      </c>
      <c r="M19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831.19793070002288</v>
      </c>
      <c r="N19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378.1666299397661</v>
      </c>
      <c r="O19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590.83077103346602</v>
      </c>
      <c r="T199" s="7">
        <f>MATCH(MIN(Table48[[#This Row],[Cluster 1 Dist]:[Cluster 3 Dist]]),Table48[[#This Row],[Cluster 1 Dist]:[Cluster 3 Dist]],0)</f>
        <v>3</v>
      </c>
      <c r="U199">
        <f t="shared" si="11"/>
        <v>188</v>
      </c>
      <c r="V19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1014.5875715344698</v>
      </c>
      <c r="W19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583.26058659177795</v>
      </c>
      <c r="X19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547.89941781390542</v>
      </c>
      <c r="AA199" s="7">
        <f>MATCH(MIN(Table4810[[#This Row],[Cluster 1 Dist]:[Cluster 3 Dist]]),Table4810[[#This Row],[Cluster 1 Dist]:[Cluster 3 Dist]],0)</f>
        <v>3</v>
      </c>
      <c r="AB199">
        <f t="shared" si="12"/>
        <v>188</v>
      </c>
      <c r="AC19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1034.6137796714345</v>
      </c>
      <c r="AD19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768.85057922407987</v>
      </c>
      <c r="AE19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488.01257687967819</v>
      </c>
    </row>
    <row r="200" spans="2:31" x14ac:dyDescent="0.3">
      <c r="B200">
        <f t="shared" si="13"/>
        <v>198</v>
      </c>
      <c r="C200">
        <v>493</v>
      </c>
      <c r="D200">
        <v>199</v>
      </c>
      <c r="E200">
        <v>203</v>
      </c>
      <c r="F200">
        <v>4050</v>
      </c>
      <c r="G200">
        <v>1</v>
      </c>
      <c r="K200" s="7">
        <f>MATCH(MIN(Table4[[#This Row],[Cluster 1 Dist]:[Cluster 3 Dist]]),Table4[[#This Row],[Cluster 1 Dist]:[Cluster 3 Dist]],0)</f>
        <v>1</v>
      </c>
      <c r="L200">
        <f t="shared" si="10"/>
        <v>189</v>
      </c>
      <c r="M20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319.21466131742761</v>
      </c>
      <c r="N20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1154.7917561188251</v>
      </c>
      <c r="O20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570.68117193403179</v>
      </c>
      <c r="T200" s="7">
        <f>MATCH(MIN(Table48[[#This Row],[Cluster 1 Dist]:[Cluster 3 Dist]]),Table48[[#This Row],[Cluster 1 Dist]:[Cluster 3 Dist]],0)</f>
        <v>1</v>
      </c>
      <c r="U200">
        <f t="shared" si="11"/>
        <v>189</v>
      </c>
      <c r="V20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169.22974912520769</v>
      </c>
      <c r="W20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1517.8351966365162</v>
      </c>
      <c r="X20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626.75825873933161</v>
      </c>
      <c r="AA200" s="7">
        <f>MATCH(MIN(Table4810[[#This Row],[Cluster 1 Dist]:[Cluster 3 Dist]]),Table4810[[#This Row],[Cluster 1 Dist]:[Cluster 3 Dist]],0)</f>
        <v>1</v>
      </c>
      <c r="AB200">
        <f t="shared" si="12"/>
        <v>189</v>
      </c>
      <c r="AC20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164.23551236195519</v>
      </c>
      <c r="AD20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1727.204394793037</v>
      </c>
      <c r="AE20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704.52437786230462</v>
      </c>
    </row>
    <row r="201" spans="2:31" x14ac:dyDescent="0.3">
      <c r="B201">
        <f t="shared" si="13"/>
        <v>199</v>
      </c>
      <c r="C201">
        <v>502</v>
      </c>
      <c r="D201">
        <v>188</v>
      </c>
      <c r="E201">
        <v>202</v>
      </c>
      <c r="F201">
        <v>3800</v>
      </c>
      <c r="G201">
        <v>1</v>
      </c>
      <c r="K201" s="7">
        <f>MATCH(MIN(Table4[[#This Row],[Cluster 1 Dist]:[Cluster 3 Dist]]),Table4[[#This Row],[Cluster 1 Dist]:[Cluster 3 Dist]],0)</f>
        <v>1</v>
      </c>
      <c r="L201">
        <f t="shared" si="10"/>
        <v>190</v>
      </c>
      <c r="M20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156.47363995254921</v>
      </c>
      <c r="N20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730.96101127214718</v>
      </c>
      <c r="O20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185.469674070992</v>
      </c>
      <c r="T201" s="7">
        <f>MATCH(MIN(Table48[[#This Row],[Cluster 1 Dist]:[Cluster 3 Dist]]),Table48[[#This Row],[Cluster 1 Dist]:[Cluster 3 Dist]],0)</f>
        <v>3</v>
      </c>
      <c r="U201">
        <f t="shared" si="11"/>
        <v>190</v>
      </c>
      <c r="V20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356.22632249381223</v>
      </c>
      <c r="W20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1092.5693674831239</v>
      </c>
      <c r="X20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223.03491215685551</v>
      </c>
      <c r="AA201" s="7">
        <f>MATCH(MIN(Table4810[[#This Row],[Cluster 1 Dist]:[Cluster 3 Dist]]),Table4810[[#This Row],[Cluster 1 Dist]:[Cluster 3 Dist]],0)</f>
        <v>3</v>
      </c>
      <c r="AB201">
        <f t="shared" si="12"/>
        <v>190</v>
      </c>
      <c r="AC20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380.76076484130181</v>
      </c>
      <c r="AD20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1301.6515145106994</v>
      </c>
      <c r="AE20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291.8483770603217</v>
      </c>
    </row>
    <row r="202" spans="2:31" x14ac:dyDescent="0.3">
      <c r="B202">
        <f t="shared" si="13"/>
        <v>200</v>
      </c>
      <c r="C202">
        <v>456</v>
      </c>
      <c r="D202">
        <v>194</v>
      </c>
      <c r="E202">
        <v>194</v>
      </c>
      <c r="F202">
        <v>3525</v>
      </c>
      <c r="G202">
        <v>0</v>
      </c>
      <c r="K202" s="7">
        <f>MATCH(MIN(Table4[[#This Row],[Cluster 1 Dist]:[Cluster 3 Dist]]),Table4[[#This Row],[Cluster 1 Dist]:[Cluster 3 Dist]],0)</f>
        <v>1</v>
      </c>
      <c r="L202">
        <f t="shared" si="10"/>
        <v>191</v>
      </c>
      <c r="M20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238.72787855631776</v>
      </c>
      <c r="N20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1078.181339107666</v>
      </c>
      <c r="O20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490.50178389074182</v>
      </c>
      <c r="T202" s="7">
        <f>MATCH(MIN(Table48[[#This Row],[Cluster 1 Dist]:[Cluster 3 Dist]]),Table48[[#This Row],[Cluster 1 Dist]:[Cluster 3 Dist]],0)</f>
        <v>1</v>
      </c>
      <c r="U202">
        <f t="shared" si="11"/>
        <v>191</v>
      </c>
      <c r="V20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106.91000137041026</v>
      </c>
      <c r="W20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1440.2394915636437</v>
      </c>
      <c r="X20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545.94149402473431</v>
      </c>
      <c r="AA202" s="7">
        <f>MATCH(MIN(Table4810[[#This Row],[Cluster 1 Dist]:[Cluster 3 Dist]]),Table4810[[#This Row],[Cluster 1 Dist]:[Cluster 3 Dist]],0)</f>
        <v>1</v>
      </c>
      <c r="AB202">
        <f t="shared" si="12"/>
        <v>191</v>
      </c>
      <c r="AC20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113.1443827455915</v>
      </c>
      <c r="AD20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1650.0980691555085</v>
      </c>
      <c r="AE20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624.19685459635389</v>
      </c>
    </row>
    <row r="203" spans="2:31" x14ac:dyDescent="0.3">
      <c r="B203">
        <f t="shared" si="13"/>
        <v>201</v>
      </c>
      <c r="C203">
        <v>519</v>
      </c>
      <c r="D203">
        <v>195</v>
      </c>
      <c r="E203">
        <v>206</v>
      </c>
      <c r="F203">
        <v>3950</v>
      </c>
      <c r="G203">
        <v>1</v>
      </c>
      <c r="K203" s="7">
        <f>MATCH(MIN(Table4[[#This Row],[Cluster 1 Dist]:[Cluster 3 Dist]]),Table4[[#This Row],[Cluster 1 Dist]:[Cluster 3 Dist]],0)</f>
        <v>3</v>
      </c>
      <c r="L203">
        <f t="shared" si="10"/>
        <v>192</v>
      </c>
      <c r="M20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447.07605616941731</v>
      </c>
      <c r="N20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499.60084067183072</v>
      </c>
      <c r="O20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276.40188132500111</v>
      </c>
      <c r="T203" s="7">
        <f>MATCH(MIN(Table48[[#This Row],[Cluster 1 Dist]:[Cluster 3 Dist]]),Table48[[#This Row],[Cluster 1 Dist]:[Cluster 3 Dist]],0)</f>
        <v>3</v>
      </c>
      <c r="U203">
        <f t="shared" si="11"/>
        <v>192</v>
      </c>
      <c r="V20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638.82114512884448</v>
      </c>
      <c r="W20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830.7028581894117</v>
      </c>
      <c r="X20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222.4609128703334</v>
      </c>
      <c r="AA203" s="7">
        <f>MATCH(MIN(Table4810[[#This Row],[Cluster 1 Dist]:[Cluster 3 Dist]]),Table4810[[#This Row],[Cluster 1 Dist]:[Cluster 3 Dist]],0)</f>
        <v>3</v>
      </c>
      <c r="AB203">
        <f t="shared" si="12"/>
        <v>192</v>
      </c>
      <c r="AC20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662.7851963979524</v>
      </c>
      <c r="AD20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1035.6522897324166</v>
      </c>
      <c r="AE20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200.13538025756216</v>
      </c>
    </row>
    <row r="204" spans="2:31" x14ac:dyDescent="0.3">
      <c r="B204">
        <f t="shared" si="13"/>
        <v>202</v>
      </c>
      <c r="C204">
        <v>468</v>
      </c>
      <c r="D204">
        <v>165</v>
      </c>
      <c r="E204">
        <v>189</v>
      </c>
      <c r="F204">
        <v>3650</v>
      </c>
      <c r="G204">
        <v>0</v>
      </c>
      <c r="K204" s="7">
        <f>MATCH(MIN(Table4[[#This Row],[Cluster 1 Dist]:[Cluster 3 Dist]]),Table4[[#This Row],[Cluster 1 Dist]:[Cluster 3 Dist]],0)</f>
        <v>1</v>
      </c>
      <c r="L204">
        <f t="shared" si="10"/>
        <v>193</v>
      </c>
      <c r="M20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73.287106642300998</v>
      </c>
      <c r="N20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802.11283495528232</v>
      </c>
      <c r="O20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222.10357943986403</v>
      </c>
      <c r="T204" s="7">
        <f>MATCH(MIN(Table48[[#This Row],[Cluster 1 Dist]:[Cluster 3 Dist]]),Table48[[#This Row],[Cluster 1 Dist]:[Cluster 3 Dist]],0)</f>
        <v>1</v>
      </c>
      <c r="U204">
        <f t="shared" si="11"/>
        <v>193</v>
      </c>
      <c r="V20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272.11337303954849</v>
      </c>
      <c r="W20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1164.596769119536</v>
      </c>
      <c r="X20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273.2877615486006</v>
      </c>
      <c r="AA204" s="7">
        <f>MATCH(MIN(Table4810[[#This Row],[Cluster 1 Dist]:[Cluster 3 Dist]]),Table4810[[#This Row],[Cluster 1 Dist]:[Cluster 3 Dist]],0)</f>
        <v>1</v>
      </c>
      <c r="AB204">
        <f t="shared" si="12"/>
        <v>193</v>
      </c>
      <c r="AC20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296.65966307320423</v>
      </c>
      <c r="AD20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1374.6813506820149</v>
      </c>
      <c r="AE20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349.84075146160416</v>
      </c>
    </row>
    <row r="205" spans="2:31" x14ac:dyDescent="0.3">
      <c r="B205">
        <f t="shared" si="13"/>
        <v>203</v>
      </c>
      <c r="C205">
        <v>457</v>
      </c>
      <c r="D205">
        <v>17</v>
      </c>
      <c r="E205">
        <v>195</v>
      </c>
      <c r="F205">
        <v>3650</v>
      </c>
      <c r="G205">
        <v>0</v>
      </c>
      <c r="K205" s="7">
        <f>MATCH(MIN(Table4[[#This Row],[Cluster 1 Dist]:[Cluster 3 Dist]]),Table4[[#This Row],[Cluster 1 Dist]:[Cluster 3 Dist]],0)</f>
        <v>3</v>
      </c>
      <c r="L205">
        <f t="shared" si="10"/>
        <v>194</v>
      </c>
      <c r="M20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510.6094397873976</v>
      </c>
      <c r="N20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362.76162972398282</v>
      </c>
      <c r="O20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288.8061633691359</v>
      </c>
      <c r="T205" s="7">
        <f>MATCH(MIN(Table48[[#This Row],[Cluster 1 Dist]:[Cluster 3 Dist]]),Table48[[#This Row],[Cluster 1 Dist]:[Cluster 3 Dist]],0)</f>
        <v>3</v>
      </c>
      <c r="U205">
        <f t="shared" si="11"/>
        <v>194</v>
      </c>
      <c r="V20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722.5012955908071</v>
      </c>
      <c r="W20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722.52752250850335</v>
      </c>
      <c r="X20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233.66098894574188</v>
      </c>
      <c r="AA205" s="7">
        <f>MATCH(MIN(Table4810[[#This Row],[Cluster 1 Dist]:[Cluster 3 Dist]]),Table4810[[#This Row],[Cluster 1 Dist]:[Cluster 3 Dist]],0)</f>
        <v>3</v>
      </c>
      <c r="AB205">
        <f t="shared" si="12"/>
        <v>194</v>
      </c>
      <c r="AC20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746.90643092978678</v>
      </c>
      <c r="AD20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929.80343011448133</v>
      </c>
      <c r="AE20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173.1497808872862</v>
      </c>
    </row>
    <row r="206" spans="2:31" x14ac:dyDescent="0.3">
      <c r="B206">
        <f t="shared" si="13"/>
        <v>204</v>
      </c>
      <c r="C206">
        <v>558</v>
      </c>
      <c r="D206">
        <v>198</v>
      </c>
      <c r="E206">
        <v>207</v>
      </c>
      <c r="F206">
        <v>4000</v>
      </c>
      <c r="G206">
        <v>1</v>
      </c>
      <c r="K206" s="7">
        <f>MATCH(MIN(Table4[[#This Row],[Cluster 1 Dist]:[Cluster 3 Dist]]),Table4[[#This Row],[Cluster 1 Dist]:[Cluster 3 Dist]],0)</f>
        <v>1</v>
      </c>
      <c r="L206">
        <f t="shared" si="10"/>
        <v>195</v>
      </c>
      <c r="M20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201.36285655502607</v>
      </c>
      <c r="N20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1050.7868480334155</v>
      </c>
      <c r="O20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454.79445906914918</v>
      </c>
      <c r="T206" s="7">
        <f>MATCH(MIN(Table48[[#This Row],[Cluster 1 Dist]:[Cluster 3 Dist]]),Table48[[#This Row],[Cluster 1 Dist]:[Cluster 3 Dist]],0)</f>
        <v>1</v>
      </c>
      <c r="U206">
        <f t="shared" si="11"/>
        <v>195</v>
      </c>
      <c r="V20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53.353319258031178</v>
      </c>
      <c r="W20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1413.43606711863</v>
      </c>
      <c r="X20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512.96875486659769</v>
      </c>
      <c r="AA206" s="7">
        <f>MATCH(MIN(Table4810[[#This Row],[Cluster 1 Dist]:[Cluster 3 Dist]]),Table4810[[#This Row],[Cluster 1 Dist]:[Cluster 3 Dist]],0)</f>
        <v>1</v>
      </c>
      <c r="AB206">
        <f t="shared" si="12"/>
        <v>195</v>
      </c>
      <c r="AC20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67.71390614941177</v>
      </c>
      <c r="AD20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1624.0799610925928</v>
      </c>
      <c r="AE20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592.53934484787055</v>
      </c>
    </row>
    <row r="207" spans="2:31" x14ac:dyDescent="0.3">
      <c r="B207">
        <f t="shared" si="13"/>
        <v>205</v>
      </c>
      <c r="C207">
        <v>435</v>
      </c>
      <c r="D207">
        <v>181</v>
      </c>
      <c r="E207">
        <v>202</v>
      </c>
      <c r="F207">
        <v>3400</v>
      </c>
      <c r="G207">
        <v>0</v>
      </c>
      <c r="K207" s="7">
        <f>MATCH(MIN(Table4[[#This Row],[Cluster 1 Dist]:[Cluster 3 Dist]]),Table4[[#This Row],[Cluster 1 Dist]:[Cluster 3 Dist]],0)</f>
        <v>1</v>
      </c>
      <c r="L207">
        <f t="shared" si="10"/>
        <v>196</v>
      </c>
      <c r="M20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153.80507143784303</v>
      </c>
      <c r="N20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956.511369509009</v>
      </c>
      <c r="O20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384.55038681556414</v>
      </c>
      <c r="T207" s="7">
        <f>MATCH(MIN(Table48[[#This Row],[Cluster 1 Dist]:[Cluster 3 Dist]]),Table48[[#This Row],[Cluster 1 Dist]:[Cluster 3 Dist]],0)</f>
        <v>1</v>
      </c>
      <c r="U207">
        <f t="shared" si="11"/>
        <v>196</v>
      </c>
      <c r="V20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185.47237238541385</v>
      </c>
      <c r="W20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1319.1486832442536</v>
      </c>
      <c r="X20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436.69554681980071</v>
      </c>
      <c r="AA207" s="7">
        <f>MATCH(MIN(Table4810[[#This Row],[Cluster 1 Dist]:[Cluster 3 Dist]]),Table4810[[#This Row],[Cluster 1 Dist]:[Cluster 3 Dist]],0)</f>
        <v>1</v>
      </c>
      <c r="AB207">
        <f t="shared" si="12"/>
        <v>196</v>
      </c>
      <c r="AC20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205.54476725735668</v>
      </c>
      <c r="AD20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1528.0781131939946</v>
      </c>
      <c r="AE20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511.97515653303861</v>
      </c>
    </row>
    <row r="208" spans="2:31" x14ac:dyDescent="0.3">
      <c r="B208">
        <f t="shared" si="13"/>
        <v>206</v>
      </c>
      <c r="C208">
        <v>496</v>
      </c>
      <c r="D208">
        <v>182</v>
      </c>
      <c r="E208">
        <v>193</v>
      </c>
      <c r="F208">
        <v>3775</v>
      </c>
      <c r="G208">
        <v>1</v>
      </c>
      <c r="K208" s="7">
        <f>MATCH(MIN(Table4[[#This Row],[Cluster 1 Dist]:[Cluster 3 Dist]]),Table4[[#This Row],[Cluster 1 Dist]:[Cluster 3 Dist]],0)</f>
        <v>1</v>
      </c>
      <c r="L208">
        <f t="shared" ref="L208:L271" si="14">1+L207</f>
        <v>197</v>
      </c>
      <c r="M20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304.27126055544585</v>
      </c>
      <c r="N20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1151.548088444421</v>
      </c>
      <c r="O20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557.91038706946472</v>
      </c>
      <c r="T208" s="7">
        <f>MATCH(MIN(Table48[[#This Row],[Cluster 1 Dist]:[Cluster 3 Dist]]),Table48[[#This Row],[Cluster 1 Dist]:[Cluster 3 Dist]],0)</f>
        <v>1</v>
      </c>
      <c r="U208">
        <f t="shared" ref="U208:U271" si="15">1+U207</f>
        <v>197</v>
      </c>
      <c r="V20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118.98964775058801</v>
      </c>
      <c r="W20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1513.9324019955377</v>
      </c>
      <c r="X20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615.30798377557142</v>
      </c>
      <c r="AA208" s="7">
        <f>MATCH(MIN(Table4810[[#This Row],[Cluster 1 Dist]:[Cluster 3 Dist]]),Table4810[[#This Row],[Cluster 1 Dist]:[Cluster 3 Dist]],0)</f>
        <v>1</v>
      </c>
      <c r="AB208">
        <f t="shared" ref="AB208:AB271" si="16">1+AB207</f>
        <v>197</v>
      </c>
      <c r="AC20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107.61828295016494</v>
      </c>
      <c r="AD20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1724.2589099423753</v>
      </c>
      <c r="AE20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694.54507135615358</v>
      </c>
    </row>
    <row r="209" spans="2:31" x14ac:dyDescent="0.3">
      <c r="B209">
        <f t="shared" si="13"/>
        <v>207</v>
      </c>
      <c r="C209">
        <v>508</v>
      </c>
      <c r="D209">
        <v>19</v>
      </c>
      <c r="E209">
        <v>210</v>
      </c>
      <c r="F209">
        <v>4100</v>
      </c>
      <c r="G209">
        <v>1</v>
      </c>
      <c r="K209" s="7">
        <f>MATCH(MIN(Table4[[#This Row],[Cluster 1 Dist]:[Cluster 3 Dist]]),Table4[[#This Row],[Cluster 1 Dist]:[Cluster 3 Dist]],0)</f>
        <v>3</v>
      </c>
      <c r="L209">
        <f t="shared" si="14"/>
        <v>198</v>
      </c>
      <c r="M20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508.07282942507368</v>
      </c>
      <c r="N20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359.31601689877397</v>
      </c>
      <c r="O20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282.10813529566991</v>
      </c>
      <c r="T209" s="7">
        <f>MATCH(MIN(Table48[[#This Row],[Cluster 1 Dist]:[Cluster 3 Dist]]),Table48[[#This Row],[Cluster 1 Dist]:[Cluster 3 Dist]],0)</f>
        <v>3</v>
      </c>
      <c r="U209">
        <f t="shared" si="15"/>
        <v>198</v>
      </c>
      <c r="V20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720.22572283094996</v>
      </c>
      <c r="W20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720.73680739556448</v>
      </c>
      <c r="X20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226.27183534277489</v>
      </c>
      <c r="AA209" s="7">
        <f>MATCH(MIN(Table4810[[#This Row],[Cluster 1 Dist]:[Cluster 3 Dist]]),Table4810[[#This Row],[Cluster 1 Dist]:[Cluster 3 Dist]],0)</f>
        <v>3</v>
      </c>
      <c r="AB209">
        <f t="shared" si="16"/>
        <v>198</v>
      </c>
      <c r="AC20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744.57072490822475</v>
      </c>
      <c r="AD20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928.65261477402191</v>
      </c>
      <c r="AE20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163.31870377353476</v>
      </c>
    </row>
    <row r="210" spans="2:31" x14ac:dyDescent="0.3">
      <c r="B210">
        <f t="shared" si="13"/>
        <v>208</v>
      </c>
      <c r="C210">
        <v>502</v>
      </c>
      <c r="D210">
        <v>187</v>
      </c>
      <c r="E210">
        <v>198</v>
      </c>
      <c r="F210">
        <v>3775</v>
      </c>
      <c r="G210">
        <v>0</v>
      </c>
      <c r="K210" s="7">
        <f>MATCH(MIN(Table4[[#This Row],[Cluster 1 Dist]:[Cluster 3 Dist]]),Table4[[#This Row],[Cluster 1 Dist]:[Cluster 3 Dist]],0)</f>
        <v>3</v>
      </c>
      <c r="L210">
        <f t="shared" si="14"/>
        <v>199</v>
      </c>
      <c r="M21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268.47904946196456</v>
      </c>
      <c r="N21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607.04118476426288</v>
      </c>
      <c r="O21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139.6925194847598</v>
      </c>
      <c r="T210" s="7">
        <f>MATCH(MIN(Table48[[#This Row],[Cluster 1 Dist]:[Cluster 3 Dist]]),Table48[[#This Row],[Cluster 1 Dist]:[Cluster 3 Dist]],0)</f>
        <v>3</v>
      </c>
      <c r="U210">
        <f t="shared" si="15"/>
        <v>199</v>
      </c>
      <c r="V21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477.43628366377607</v>
      </c>
      <c r="W21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969.08563160142614</v>
      </c>
      <c r="X21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143.1567593762237</v>
      </c>
      <c r="AA210" s="7">
        <f>MATCH(MIN(Table4810[[#This Row],[Cluster 1 Dist]:[Cluster 3 Dist]]),Table4810[[#This Row],[Cluster 1 Dist]:[Cluster 3 Dist]],0)</f>
        <v>3</v>
      </c>
      <c r="AB210">
        <f t="shared" si="16"/>
        <v>199</v>
      </c>
      <c r="AC21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501.96793076928134</v>
      </c>
      <c r="AD21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1177.7319366235536</v>
      </c>
      <c r="AE21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189.54692584556901</v>
      </c>
    </row>
    <row r="211" spans="2:31" x14ac:dyDescent="0.3">
      <c r="B211">
        <f t="shared" si="13"/>
        <v>209</v>
      </c>
      <c r="C211">
        <v>461</v>
      </c>
      <c r="D211">
        <v>132</v>
      </c>
      <c r="E211">
        <v>211</v>
      </c>
      <c r="F211">
        <v>4500</v>
      </c>
      <c r="G211">
        <v>0</v>
      </c>
      <c r="K211" s="7">
        <f>MATCH(MIN(Table4[[#This Row],[Cluster 1 Dist]:[Cluster 3 Dist]]),Table4[[#This Row],[Cluster 1 Dist]:[Cluster 3 Dist]],0)</f>
        <v>1</v>
      </c>
      <c r="L211">
        <f t="shared" si="14"/>
        <v>200</v>
      </c>
      <c r="M21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57.54128952326321</v>
      </c>
      <c r="N21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876.22200383236213</v>
      </c>
      <c r="O21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290.33084576048753</v>
      </c>
      <c r="T211" s="7">
        <f>MATCH(MIN(Table48[[#This Row],[Cluster 1 Dist]:[Cluster 3 Dist]]),Table48[[#This Row],[Cluster 1 Dist]:[Cluster 3 Dist]],0)</f>
        <v>1</v>
      </c>
      <c r="U211">
        <f t="shared" si="15"/>
        <v>200</v>
      </c>
      <c r="V21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204.7695203730994</v>
      </c>
      <c r="W21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1240.0557680648835</v>
      </c>
      <c r="X21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346.26451579386395</v>
      </c>
      <c r="AA211" s="7">
        <f>MATCH(MIN(Table4810[[#This Row],[Cluster 1 Dist]:[Cluster 3 Dist]]),Table4810[[#This Row],[Cluster 1 Dist]:[Cluster 3 Dist]],0)</f>
        <v>1</v>
      </c>
      <c r="AB211">
        <f t="shared" si="16"/>
        <v>200</v>
      </c>
      <c r="AC21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228.81884623072287</v>
      </c>
      <c r="AD21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1450.1962812906029</v>
      </c>
      <c r="AE21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423.93092311566051</v>
      </c>
    </row>
    <row r="212" spans="2:31" x14ac:dyDescent="0.3">
      <c r="B212">
        <f t="shared" si="13"/>
        <v>210</v>
      </c>
      <c r="C212">
        <v>50</v>
      </c>
      <c r="D212">
        <v>163</v>
      </c>
      <c r="E212">
        <v>230</v>
      </c>
      <c r="F212">
        <v>5700</v>
      </c>
      <c r="G212">
        <v>1</v>
      </c>
      <c r="K212" s="7">
        <f>MATCH(MIN(Table4[[#This Row],[Cluster 1 Dist]:[Cluster 3 Dist]]),Table4[[#This Row],[Cluster 1 Dist]:[Cluster 3 Dist]],0)</f>
        <v>3</v>
      </c>
      <c r="L212">
        <f t="shared" si="14"/>
        <v>201</v>
      </c>
      <c r="M21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416.38804017406648</v>
      </c>
      <c r="N21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462.72345953063586</v>
      </c>
      <c r="O21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217.00691233230336</v>
      </c>
      <c r="T212" s="7">
        <f>MATCH(MIN(Table48[[#This Row],[Cluster 1 Dist]:[Cluster 3 Dist]]),Table48[[#This Row],[Cluster 1 Dist]:[Cluster 3 Dist]],0)</f>
        <v>3</v>
      </c>
      <c r="U212">
        <f t="shared" si="15"/>
        <v>201</v>
      </c>
      <c r="V21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627.21062055296477</v>
      </c>
      <c r="W21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822.8758138022356</v>
      </c>
      <c r="X21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173.0505311362281</v>
      </c>
      <c r="AA212" s="7">
        <f>MATCH(MIN(Table4810[[#This Row],[Cluster 1 Dist]:[Cluster 3 Dist]]),Table4810[[#This Row],[Cluster 1 Dist]:[Cluster 3 Dist]],0)</f>
        <v>3</v>
      </c>
      <c r="AB212">
        <f t="shared" si="16"/>
        <v>201</v>
      </c>
      <c r="AC21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651.70877334889735</v>
      </c>
      <c r="AD21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1030.2273958431729</v>
      </c>
      <c r="AE21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145.82833662965621</v>
      </c>
    </row>
    <row r="213" spans="2:31" x14ac:dyDescent="0.3">
      <c r="B213">
        <f t="shared" si="13"/>
        <v>211</v>
      </c>
      <c r="C213">
        <v>487</v>
      </c>
      <c r="D213">
        <v>141</v>
      </c>
      <c r="E213">
        <v>210</v>
      </c>
      <c r="F213">
        <v>4450</v>
      </c>
      <c r="G213">
        <v>0</v>
      </c>
      <c r="K213" s="7">
        <f>MATCH(MIN(Table4[[#This Row],[Cluster 1 Dist]:[Cluster 3 Dist]]),Table4[[#This Row],[Cluster 1 Dist]:[Cluster 3 Dist]],0)</f>
        <v>1</v>
      </c>
      <c r="L213">
        <f t="shared" si="14"/>
        <v>202</v>
      </c>
      <c r="M21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119.67455869983394</v>
      </c>
      <c r="N21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753.4440921528286</v>
      </c>
      <c r="O21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185.54514275507188</v>
      </c>
      <c r="T213" s="7">
        <f>MATCH(MIN(Table48[[#This Row],[Cluster 1 Dist]:[Cluster 3 Dist]]),Table48[[#This Row],[Cluster 1 Dist]:[Cluster 3 Dist]],0)</f>
        <v>3</v>
      </c>
      <c r="U213">
        <f t="shared" si="15"/>
        <v>202</v>
      </c>
      <c r="V21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322.61181744731152</v>
      </c>
      <c r="W21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1115.1785724739548</v>
      </c>
      <c r="X21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230.39915807314975</v>
      </c>
      <c r="AA213" s="7">
        <f>MATCH(MIN(Table4810[[#This Row],[Cluster 1 Dist]:[Cluster 3 Dist]]),Table4810[[#This Row],[Cluster 1 Dist]:[Cluster 3 Dist]],0)</f>
        <v>3</v>
      </c>
      <c r="AB213">
        <f t="shared" si="16"/>
        <v>202</v>
      </c>
      <c r="AC21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347.19496972026377</v>
      </c>
      <c r="AD21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1324.992667654273</v>
      </c>
      <c r="AE21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304.44298700347957</v>
      </c>
    </row>
    <row r="214" spans="2:31" x14ac:dyDescent="0.3">
      <c r="B214">
        <f t="shared" si="13"/>
        <v>212</v>
      </c>
      <c r="C214">
        <v>50</v>
      </c>
      <c r="D214">
        <v>152</v>
      </c>
      <c r="E214">
        <v>218</v>
      </c>
      <c r="F214">
        <v>5700</v>
      </c>
      <c r="G214">
        <v>1</v>
      </c>
      <c r="K214" s="7">
        <f>MATCH(MIN(Table4[[#This Row],[Cluster 1 Dist]:[Cluster 3 Dist]]),Table4[[#This Row],[Cluster 1 Dist]:[Cluster 3 Dist]],0)</f>
        <v>1</v>
      </c>
      <c r="L214">
        <f t="shared" si="14"/>
        <v>203</v>
      </c>
      <c r="M21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203.24123597341165</v>
      </c>
      <c r="N21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775.93363118246134</v>
      </c>
      <c r="O21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251.08962543283226</v>
      </c>
      <c r="T214" s="7">
        <f>MATCH(MIN(Table48[[#This Row],[Cluster 1 Dist]:[Cluster 3 Dist]]),Table48[[#This Row],[Cluster 1 Dist]:[Cluster 3 Dist]],0)</f>
        <v>3</v>
      </c>
      <c r="U214">
        <f t="shared" si="15"/>
        <v>203</v>
      </c>
      <c r="V21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347.30737835480511</v>
      </c>
      <c r="W21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1121.9129045236671</v>
      </c>
      <c r="X21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271.22057556948886</v>
      </c>
      <c r="AA214" s="7">
        <f>MATCH(MIN(Table4810[[#This Row],[Cluster 1 Dist]:[Cluster 3 Dist]]),Table4810[[#This Row],[Cluster 1 Dist]:[Cluster 3 Dist]],0)</f>
        <v>3</v>
      </c>
      <c r="AB214">
        <f t="shared" si="16"/>
        <v>203</v>
      </c>
      <c r="AC21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369.97220700422429</v>
      </c>
      <c r="AD21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1330.1802512608717</v>
      </c>
      <c r="AE21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335.46683741059638</v>
      </c>
    </row>
    <row r="215" spans="2:31" x14ac:dyDescent="0.3">
      <c r="B215">
        <f t="shared" si="13"/>
        <v>213</v>
      </c>
      <c r="C215">
        <v>476</v>
      </c>
      <c r="D215">
        <v>145</v>
      </c>
      <c r="E215">
        <v>215</v>
      </c>
      <c r="F215">
        <v>5400</v>
      </c>
      <c r="G215">
        <v>1</v>
      </c>
      <c r="K215" s="7">
        <f>MATCH(MIN(Table4[[#This Row],[Cluster 1 Dist]:[Cluster 3 Dist]]),Table4[[#This Row],[Cluster 1 Dist]:[Cluster 3 Dist]],0)</f>
        <v>3</v>
      </c>
      <c r="L215">
        <f t="shared" si="14"/>
        <v>204</v>
      </c>
      <c r="M21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475.73522047458289</v>
      </c>
      <c r="N21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425.83799736519518</v>
      </c>
      <c r="O21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279.86246622224996</v>
      </c>
      <c r="T215" s="7">
        <f>MATCH(MIN(Table48[[#This Row],[Cluster 1 Dist]:[Cluster 3 Dist]]),Table48[[#This Row],[Cluster 1 Dist]:[Cluster 3 Dist]],0)</f>
        <v>3</v>
      </c>
      <c r="U215">
        <f t="shared" si="15"/>
        <v>204</v>
      </c>
      <c r="V21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685.38026082487568</v>
      </c>
      <c r="W21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780.64605193777675</v>
      </c>
      <c r="X21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233.30501319875989</v>
      </c>
      <c r="AA215" s="7">
        <f>MATCH(MIN(Table4810[[#This Row],[Cluster 1 Dist]:[Cluster 3 Dist]]),Table4810[[#This Row],[Cluster 1 Dist]:[Cluster 3 Dist]],0)</f>
        <v>3</v>
      </c>
      <c r="AB215">
        <f t="shared" si="16"/>
        <v>204</v>
      </c>
      <c r="AC21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709.92369403118323</v>
      </c>
      <c r="AD21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985.60826474282749</v>
      </c>
      <c r="AE21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193.70623057654169</v>
      </c>
    </row>
    <row r="216" spans="2:31" x14ac:dyDescent="0.3">
      <c r="B216">
        <f t="shared" si="13"/>
        <v>214</v>
      </c>
      <c r="C216">
        <v>465</v>
      </c>
      <c r="D216">
        <v>135</v>
      </c>
      <c r="E216">
        <v>210</v>
      </c>
      <c r="F216">
        <v>4550</v>
      </c>
      <c r="G216">
        <v>0</v>
      </c>
      <c r="K216" s="7">
        <f>MATCH(MIN(Table4[[#This Row],[Cluster 1 Dist]:[Cluster 3 Dist]]),Table4[[#This Row],[Cluster 1 Dist]:[Cluster 3 Dist]],0)</f>
        <v>1</v>
      </c>
      <c r="L216">
        <f t="shared" si="14"/>
        <v>205</v>
      </c>
      <c r="M21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154.03895611175764</v>
      </c>
      <c r="N21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1000.7167431396359</v>
      </c>
      <c r="O21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406.84763732876712</v>
      </c>
      <c r="T216" s="7">
        <f>MATCH(MIN(Table48[[#This Row],[Cluster 1 Dist]:[Cluster 3 Dist]]),Table48[[#This Row],[Cluster 1 Dist]:[Cluster 3 Dist]],0)</f>
        <v>1</v>
      </c>
      <c r="U216">
        <f t="shared" si="15"/>
        <v>205</v>
      </c>
      <c r="V21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88.793603083649359</v>
      </c>
      <c r="W21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1363.7362412261987</v>
      </c>
      <c r="X21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464.64238234300967</v>
      </c>
      <c r="AA216" s="7">
        <f>MATCH(MIN(Table4810[[#This Row],[Cluster 1 Dist]:[Cluster 3 Dist]]),Table4810[[#This Row],[Cluster 1 Dist]:[Cluster 3 Dist]],0)</f>
        <v>1</v>
      </c>
      <c r="AB216">
        <f t="shared" si="16"/>
        <v>205</v>
      </c>
      <c r="AC21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110.137558451527</v>
      </c>
      <c r="AD21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1574.2499434353108</v>
      </c>
      <c r="AE21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543.8572370028395</v>
      </c>
    </row>
    <row r="217" spans="2:31" x14ac:dyDescent="0.3">
      <c r="B217">
        <f t="shared" si="13"/>
        <v>215</v>
      </c>
      <c r="C217">
        <v>454</v>
      </c>
      <c r="D217">
        <v>146</v>
      </c>
      <c r="E217">
        <v>211</v>
      </c>
      <c r="F217">
        <v>4800</v>
      </c>
      <c r="G217">
        <v>0</v>
      </c>
      <c r="K217" s="7">
        <f>MATCH(MIN(Table4[[#This Row],[Cluster 1 Dist]:[Cluster 3 Dist]]),Table4[[#This Row],[Cluster 1 Dist]:[Cluster 3 Dist]],0)</f>
        <v>3</v>
      </c>
      <c r="L217">
        <f t="shared" si="14"/>
        <v>206</v>
      </c>
      <c r="M21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242.57163890281981</v>
      </c>
      <c r="N21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631.15687431889705</v>
      </c>
      <c r="O21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135.98529332247659</v>
      </c>
      <c r="T217" s="7">
        <f>MATCH(MIN(Table48[[#This Row],[Cluster 1 Dist]:[Cluster 3 Dist]]),Table48[[#This Row],[Cluster 1 Dist]:[Cluster 3 Dist]],0)</f>
        <v>3</v>
      </c>
      <c r="U217">
        <f t="shared" si="15"/>
        <v>206</v>
      </c>
      <c r="V21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451.22440710220701</v>
      </c>
      <c r="W21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993.17083520962717</v>
      </c>
      <c r="X21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149.53098307026258</v>
      </c>
      <c r="AA217" s="7">
        <f>MATCH(MIN(Table4810[[#This Row],[Cluster 1 Dist]:[Cluster 3 Dist]]),Table4810[[#This Row],[Cluster 1 Dist]:[Cluster 3 Dist]],0)</f>
        <v>3</v>
      </c>
      <c r="AB217">
        <f t="shared" si="16"/>
        <v>206</v>
      </c>
      <c r="AC21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475.77323704261829</v>
      </c>
      <c r="AD21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1202.082357409475</v>
      </c>
      <c r="AE21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204.53296148934251</v>
      </c>
    </row>
    <row r="218" spans="2:31" x14ac:dyDescent="0.3">
      <c r="B218">
        <f t="shared" si="13"/>
        <v>216</v>
      </c>
      <c r="C218">
        <v>467</v>
      </c>
      <c r="D218">
        <v>153</v>
      </c>
      <c r="E218">
        <v>219</v>
      </c>
      <c r="F218">
        <v>5200</v>
      </c>
      <c r="G218">
        <v>1</v>
      </c>
      <c r="K218" s="7">
        <f>MATCH(MIN(Table4[[#This Row],[Cluster 1 Dist]:[Cluster 3 Dist]]),Table4[[#This Row],[Cluster 1 Dist]:[Cluster 3 Dist]],0)</f>
        <v>2</v>
      </c>
      <c r="L218">
        <f t="shared" si="14"/>
        <v>207</v>
      </c>
      <c r="M21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584.39883641225708</v>
      </c>
      <c r="N21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368.93630886644922</v>
      </c>
      <c r="O21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377.36057027728799</v>
      </c>
      <c r="T218" s="7">
        <f>MATCH(MIN(Table48[[#This Row],[Cluster 1 Dist]:[Cluster 3 Dist]]),Table48[[#This Row],[Cluster 1 Dist]:[Cluster 3 Dist]],0)</f>
        <v>3</v>
      </c>
      <c r="U218">
        <f t="shared" si="15"/>
        <v>207</v>
      </c>
      <c r="V21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782.30831770381724</v>
      </c>
      <c r="W21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683.66030082263057</v>
      </c>
      <c r="X21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312.16177222846557</v>
      </c>
      <c r="AA218" s="7">
        <f>MATCH(MIN(Table4810[[#This Row],[Cluster 1 Dist]:[Cluster 3 Dist]]),Table4810[[#This Row],[Cluster 1 Dist]:[Cluster 3 Dist]],0)</f>
        <v>3</v>
      </c>
      <c r="AB218">
        <f t="shared" si="16"/>
        <v>207</v>
      </c>
      <c r="AC21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806.33269325784272</v>
      </c>
      <c r="AD21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887.02904588389686</v>
      </c>
      <c r="AE21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252.94906122319605</v>
      </c>
    </row>
    <row r="219" spans="2:31" x14ac:dyDescent="0.3">
      <c r="B219">
        <f t="shared" si="13"/>
        <v>217</v>
      </c>
      <c r="C219">
        <v>433</v>
      </c>
      <c r="D219">
        <v>134</v>
      </c>
      <c r="E219">
        <v>209</v>
      </c>
      <c r="F219">
        <v>4400</v>
      </c>
      <c r="G219">
        <v>0</v>
      </c>
      <c r="K219" s="7">
        <f>MATCH(MIN(Table4[[#This Row],[Cluster 1 Dist]:[Cluster 3 Dist]]),Table4[[#This Row],[Cluster 1 Dist]:[Cluster 3 Dist]],0)</f>
        <v>3</v>
      </c>
      <c r="L219">
        <f t="shared" si="14"/>
        <v>208</v>
      </c>
      <c r="M21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245.08773939142694</v>
      </c>
      <c r="N21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631.76894510572458</v>
      </c>
      <c r="O21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141.68627315304755</v>
      </c>
      <c r="T219" s="7">
        <f>MATCH(MIN(Table48[[#This Row],[Cluster 1 Dist]:[Cluster 3 Dist]]),Table48[[#This Row],[Cluster 1 Dist]:[Cluster 3 Dist]],0)</f>
        <v>3</v>
      </c>
      <c r="U219">
        <f t="shared" si="15"/>
        <v>208</v>
      </c>
      <c r="V21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453.27265738005264</v>
      </c>
      <c r="W21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993.90814813084683</v>
      </c>
      <c r="X21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155.0760201991794</v>
      </c>
      <c r="AA219" s="7">
        <f>MATCH(MIN(Table4810[[#This Row],[Cluster 1 Dist]:[Cluster 3 Dist]]),Table4810[[#This Row],[Cluster 1 Dist]:[Cluster 3 Dist]],0)</f>
        <v>3</v>
      </c>
      <c r="AB219">
        <f t="shared" si="16"/>
        <v>208</v>
      </c>
      <c r="AC21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477.81156377521438</v>
      </c>
      <c r="AD21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1202.6308180011354</v>
      </c>
      <c r="AE21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208.55651044713656</v>
      </c>
    </row>
    <row r="220" spans="2:31" x14ac:dyDescent="0.3">
      <c r="B220">
        <f t="shared" si="13"/>
        <v>218</v>
      </c>
      <c r="C220">
        <v>468</v>
      </c>
      <c r="D220">
        <v>154</v>
      </c>
      <c r="E220">
        <v>215</v>
      </c>
      <c r="F220">
        <v>5150</v>
      </c>
      <c r="G220">
        <v>1</v>
      </c>
      <c r="K220" s="7">
        <f>MATCH(MIN(Table4[[#This Row],[Cluster 1 Dist]:[Cluster 3 Dist]]),Table4[[#This Row],[Cluster 1 Dist]:[Cluster 3 Dist]],0)</f>
        <v>2</v>
      </c>
      <c r="L220">
        <f t="shared" si="14"/>
        <v>209</v>
      </c>
      <c r="M22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953.5334288843784</v>
      </c>
      <c r="N22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137.12038506363669</v>
      </c>
      <c r="O22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709.94013832153485</v>
      </c>
      <c r="T220" s="7">
        <f>MATCH(MIN(Table48[[#This Row],[Cluster 1 Dist]:[Cluster 3 Dist]]),Table48[[#This Row],[Cluster 1 Dist]:[Cluster 3 Dist]],0)</f>
        <v>2</v>
      </c>
      <c r="U220">
        <f t="shared" si="15"/>
        <v>209</v>
      </c>
      <c r="V22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1162.5849380978625</v>
      </c>
      <c r="W22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270.25276212416668</v>
      </c>
      <c r="X22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646.66940154762187</v>
      </c>
      <c r="AA220" s="7">
        <f>MATCH(MIN(Table4810[[#This Row],[Cluster 1 Dist]:[Cluster 3 Dist]]),Table4810[[#This Row],[Cluster 1 Dist]:[Cluster 3 Dist]],0)</f>
        <v>2</v>
      </c>
      <c r="AB220">
        <f t="shared" si="16"/>
        <v>209</v>
      </c>
      <c r="AC22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1186.5707436169789</v>
      </c>
      <c r="AD22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475.92221307607673</v>
      </c>
      <c r="AE22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566.92818807220999</v>
      </c>
    </row>
    <row r="221" spans="2:31" x14ac:dyDescent="0.3">
      <c r="B221">
        <f t="shared" si="13"/>
        <v>219</v>
      </c>
      <c r="C221">
        <v>409</v>
      </c>
      <c r="D221">
        <v>137</v>
      </c>
      <c r="E221">
        <v>214</v>
      </c>
      <c r="F221">
        <v>4650</v>
      </c>
      <c r="G221">
        <v>0</v>
      </c>
      <c r="K221" s="7">
        <f>MATCH(MIN(Table4[[#This Row],[Cluster 1 Dist]:[Cluster 3 Dist]]),Table4[[#This Row],[Cluster 1 Dist]:[Cluster 3 Dist]],0)</f>
        <v>2</v>
      </c>
      <c r="L221">
        <f t="shared" si="14"/>
        <v>210</v>
      </c>
      <c r="M22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2179.9022913883091</v>
      </c>
      <c r="N22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1351.0358988568735</v>
      </c>
      <c r="O22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1926.2899574051669</v>
      </c>
      <c r="T221" s="7">
        <f>MATCH(MIN(Table48[[#This Row],[Cluster 1 Dist]:[Cluster 3 Dist]]),Table48[[#This Row],[Cluster 1 Dist]:[Cluster 3 Dist]],0)</f>
        <v>2</v>
      </c>
      <c r="U221">
        <f t="shared" si="15"/>
        <v>210</v>
      </c>
      <c r="V22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2381.934796474422</v>
      </c>
      <c r="W22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1000.9453358384425</v>
      </c>
      <c r="X22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1868.3352255144043</v>
      </c>
      <c r="AA221" s="7">
        <f>MATCH(MIN(Table4810[[#This Row],[Cluster 1 Dist]:[Cluster 3 Dist]]),Table4810[[#This Row],[Cluster 1 Dist]:[Cluster 3 Dist]],0)</f>
        <v>2</v>
      </c>
      <c r="AB221">
        <f t="shared" si="16"/>
        <v>210</v>
      </c>
      <c r="AC22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2404.2699107048679</v>
      </c>
      <c r="AD22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813.78788392462468</v>
      </c>
      <c r="AE22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1789.9993373109658</v>
      </c>
    </row>
    <row r="222" spans="2:31" x14ac:dyDescent="0.3">
      <c r="B222">
        <f t="shared" si="13"/>
        <v>220</v>
      </c>
      <c r="C222">
        <v>49</v>
      </c>
      <c r="D222">
        <v>161</v>
      </c>
      <c r="E222">
        <v>216</v>
      </c>
      <c r="F222">
        <v>5550</v>
      </c>
      <c r="G222">
        <v>1</v>
      </c>
      <c r="K222" s="7">
        <f>MATCH(MIN(Table4[[#This Row],[Cluster 1 Dist]:[Cluster 3 Dist]]),Table4[[#This Row],[Cluster 1 Dist]:[Cluster 3 Dist]],0)</f>
        <v>2</v>
      </c>
      <c r="L222">
        <f t="shared" si="14"/>
        <v>211</v>
      </c>
      <c r="M22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905.16075920247454</v>
      </c>
      <c r="N22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114.46396812971321</v>
      </c>
      <c r="O22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664.22360692766711</v>
      </c>
      <c r="T222" s="7">
        <f>MATCH(MIN(Table48[[#This Row],[Cluster 1 Dist]:[Cluster 3 Dist]]),Table48[[#This Row],[Cluster 1 Dist]:[Cluster 3 Dist]],0)</f>
        <v>2</v>
      </c>
      <c r="U222">
        <f t="shared" si="15"/>
        <v>211</v>
      </c>
      <c r="V22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1114.8673793979021</v>
      </c>
      <c r="W22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324.7293175756804</v>
      </c>
      <c r="X22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601.1068129810584</v>
      </c>
      <c r="AA222" s="7">
        <f>MATCH(MIN(Table4810[[#This Row],[Cluster 1 Dist]:[Cluster 3 Dist]]),Table4810[[#This Row],[Cluster 1 Dist]:[Cluster 3 Dist]],0)</f>
        <v>3</v>
      </c>
      <c r="AB222">
        <f t="shared" si="16"/>
        <v>211</v>
      </c>
      <c r="AC22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1138.9910195656632</v>
      </c>
      <c r="AD22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528.49217619231683</v>
      </c>
      <c r="AE22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521.97676371598243</v>
      </c>
    </row>
    <row r="223" spans="2:31" x14ac:dyDescent="0.3">
      <c r="B223">
        <f t="shared" si="13"/>
        <v>221</v>
      </c>
      <c r="C223">
        <v>455</v>
      </c>
      <c r="D223">
        <v>137</v>
      </c>
      <c r="E223">
        <v>214</v>
      </c>
      <c r="F223">
        <v>4650</v>
      </c>
      <c r="G223">
        <v>0</v>
      </c>
      <c r="K223" s="7">
        <f>MATCH(MIN(Table4[[#This Row],[Cluster 1 Dist]:[Cluster 3 Dist]]),Table4[[#This Row],[Cluster 1 Dist]:[Cluster 3 Dist]],0)</f>
        <v>2</v>
      </c>
      <c r="L223">
        <f t="shared" si="14"/>
        <v>212</v>
      </c>
      <c r="M22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2179.8204054462835</v>
      </c>
      <c r="N22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1351.2138986851785</v>
      </c>
      <c r="O22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1926.2922935006516</v>
      </c>
      <c r="T223" s="7">
        <f>MATCH(MIN(Table48[[#This Row],[Cluster 1 Dist]:[Cluster 3 Dist]]),Table48[[#This Row],[Cluster 1 Dist]:[Cluster 3 Dist]],0)</f>
        <v>2</v>
      </c>
      <c r="U223">
        <f t="shared" si="15"/>
        <v>212</v>
      </c>
      <c r="V22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2381.7368992993179</v>
      </c>
      <c r="W22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1000.6000531315353</v>
      </c>
      <c r="X22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1868.1981007027571</v>
      </c>
      <c r="AA223" s="7">
        <f>MATCH(MIN(Table4810[[#This Row],[Cluster 1 Dist]:[Cluster 3 Dist]]),Table4810[[#This Row],[Cluster 1 Dist]:[Cluster 3 Dist]],0)</f>
        <v>2</v>
      </c>
      <c r="AB223">
        <f t="shared" si="16"/>
        <v>212</v>
      </c>
      <c r="AC22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2404.0715416629841</v>
      </c>
      <c r="AD22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813.31731967804046</v>
      </c>
      <c r="AE22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1789.8520819310027</v>
      </c>
    </row>
    <row r="224" spans="2:31" x14ac:dyDescent="0.3">
      <c r="B224">
        <f t="shared" si="13"/>
        <v>222</v>
      </c>
      <c r="C224">
        <v>484</v>
      </c>
      <c r="D224">
        <v>146</v>
      </c>
      <c r="E224">
        <v>213</v>
      </c>
      <c r="F224">
        <v>5850</v>
      </c>
      <c r="G224">
        <v>1</v>
      </c>
      <c r="K224" s="7">
        <f>MATCH(MIN(Table4[[#This Row],[Cluster 1 Dist]:[Cluster 3 Dist]]),Table4[[#This Row],[Cluster 1 Dist]:[Cluster 3 Dist]],0)</f>
        <v>2</v>
      </c>
      <c r="L224">
        <f t="shared" si="14"/>
        <v>213</v>
      </c>
      <c r="M22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1852.0542648637486</v>
      </c>
      <c r="N22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1004.353025584132</v>
      </c>
      <c r="O22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1604.9591895123065</v>
      </c>
      <c r="T224" s="7">
        <f>MATCH(MIN(Table48[[#This Row],[Cluster 1 Dist]:[Cluster 3 Dist]]),Table48[[#This Row],[Cluster 1 Dist]:[Cluster 3 Dist]],0)</f>
        <v>2</v>
      </c>
      <c r="U224">
        <f t="shared" si="15"/>
        <v>213</v>
      </c>
      <c r="V22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2061.6852209814238</v>
      </c>
      <c r="W22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641.68073782616239</v>
      </c>
      <c r="X22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1543.3024888338698</v>
      </c>
      <c r="AA224" s="7">
        <f>MATCH(MIN(Table4810[[#This Row],[Cluster 1 Dist]:[Cluster 3 Dist]]),Table4810[[#This Row],[Cluster 1 Dist]:[Cluster 3 Dist]],0)</f>
        <v>2</v>
      </c>
      <c r="AB224">
        <f t="shared" si="16"/>
        <v>213</v>
      </c>
      <c r="AC22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2085.532837565564</v>
      </c>
      <c r="AD22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430.72636264172775</v>
      </c>
      <c r="AE22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1463.1317093830849</v>
      </c>
    </row>
    <row r="225" spans="2:31" x14ac:dyDescent="0.3">
      <c r="B225">
        <f t="shared" si="13"/>
        <v>223</v>
      </c>
      <c r="C225">
        <v>458</v>
      </c>
      <c r="D225">
        <v>146</v>
      </c>
      <c r="E225">
        <v>210</v>
      </c>
      <c r="F225">
        <v>4200</v>
      </c>
      <c r="G225">
        <v>0</v>
      </c>
      <c r="K225" s="7">
        <f>MATCH(MIN(Table4[[#This Row],[Cluster 1 Dist]:[Cluster 3 Dist]]),Table4[[#This Row],[Cluster 1 Dist]:[Cluster 3 Dist]],0)</f>
        <v>2</v>
      </c>
      <c r="L225">
        <f t="shared" si="14"/>
        <v>214</v>
      </c>
      <c r="M22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1003.4002192545106</v>
      </c>
      <c r="N22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176.65220066560167</v>
      </c>
      <c r="O22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759.542625531971</v>
      </c>
      <c r="T225" s="7">
        <f>MATCH(MIN(Table48[[#This Row],[Cluster 1 Dist]:[Cluster 3 Dist]]),Table48[[#This Row],[Cluster 1 Dist]:[Cluster 3 Dist]],0)</f>
        <v>2</v>
      </c>
      <c r="U225">
        <f t="shared" si="15"/>
        <v>214</v>
      </c>
      <c r="V22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1212.6600949848967</v>
      </c>
      <c r="W22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222.83968617095823</v>
      </c>
      <c r="X22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696.5080457217291</v>
      </c>
      <c r="AA225" s="7">
        <f>MATCH(MIN(Table4810[[#This Row],[Cluster 1 Dist]:[Cluster 3 Dist]]),Table4810[[#This Row],[Cluster 1 Dist]:[Cluster 3 Dist]],0)</f>
        <v>2</v>
      </c>
      <c r="AB225">
        <f t="shared" si="16"/>
        <v>214</v>
      </c>
      <c r="AC22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1236.6489868043691</v>
      </c>
      <c r="AD22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426.57011438715637</v>
      </c>
      <c r="AE22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616.7098329440571</v>
      </c>
    </row>
    <row r="226" spans="2:31" x14ac:dyDescent="0.3">
      <c r="B226">
        <f t="shared" si="13"/>
        <v>224</v>
      </c>
      <c r="C226">
        <v>493</v>
      </c>
      <c r="D226">
        <v>157</v>
      </c>
      <c r="E226">
        <v>217</v>
      </c>
      <c r="F226">
        <v>5850</v>
      </c>
      <c r="G226">
        <v>1</v>
      </c>
      <c r="K226" s="7">
        <f>MATCH(MIN(Table4[[#This Row],[Cluster 1 Dist]:[Cluster 3 Dist]]),Table4[[#This Row],[Cluster 1 Dist]:[Cluster 3 Dist]],0)</f>
        <v>2</v>
      </c>
      <c r="L226">
        <f t="shared" si="14"/>
        <v>215</v>
      </c>
      <c r="M22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1251.8741949573048</v>
      </c>
      <c r="N22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407.63096055133008</v>
      </c>
      <c r="O22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1005.5466175170598</v>
      </c>
      <c r="T226" s="7">
        <f>MATCH(MIN(Table48[[#This Row],[Cluster 1 Dist]:[Cluster 3 Dist]]),Table48[[#This Row],[Cluster 1 Dist]:[Cluster 3 Dist]],0)</f>
        <v>2</v>
      </c>
      <c r="U226">
        <f t="shared" si="15"/>
        <v>215</v>
      </c>
      <c r="V22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1461.3437537331313</v>
      </c>
      <c r="W22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65.496360643350201</v>
      </c>
      <c r="X22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943.40936458341025</v>
      </c>
      <c r="AA226" s="7">
        <f>MATCH(MIN(Table4810[[#This Row],[Cluster 1 Dist]:[Cluster 3 Dist]]),Table4810[[#This Row],[Cluster 1 Dist]:[Cluster 3 Dist]],0)</f>
        <v>2</v>
      </c>
      <c r="AB226">
        <f t="shared" si="16"/>
        <v>215</v>
      </c>
      <c r="AC22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1485.2229078927814</v>
      </c>
      <c r="AD22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177.94233180212009</v>
      </c>
      <c r="AE22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863.29619645391199</v>
      </c>
    </row>
    <row r="227" spans="2:31" x14ac:dyDescent="0.3">
      <c r="B227">
        <f t="shared" si="13"/>
        <v>225</v>
      </c>
      <c r="C227">
        <v>42</v>
      </c>
      <c r="D227">
        <v>135</v>
      </c>
      <c r="E227">
        <v>210</v>
      </c>
      <c r="F227">
        <v>4150</v>
      </c>
      <c r="G227">
        <v>0</v>
      </c>
      <c r="K227" s="7">
        <f>MATCH(MIN(Table4[[#This Row],[Cluster 1 Dist]:[Cluster 3 Dist]]),Table4[[#This Row],[Cluster 1 Dist]:[Cluster 3 Dist]],0)</f>
        <v>2</v>
      </c>
      <c r="L227">
        <f t="shared" si="14"/>
        <v>216</v>
      </c>
      <c r="M22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1651.8492667310779</v>
      </c>
      <c r="N22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804.27358529296487</v>
      </c>
      <c r="O22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1404.7850369362566</v>
      </c>
      <c r="T227" s="7">
        <f>MATCH(MIN(Table48[[#This Row],[Cluster 1 Dist]:[Cluster 3 Dist]]),Table48[[#This Row],[Cluster 1 Dist]:[Cluster 3 Dist]],0)</f>
        <v>2</v>
      </c>
      <c r="U227">
        <f t="shared" si="15"/>
        <v>216</v>
      </c>
      <c r="V22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1861.5468317984587</v>
      </c>
      <c r="W22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442.43901072127341</v>
      </c>
      <c r="X22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1343.1572721595571</v>
      </c>
      <c r="AA227" s="7">
        <f>MATCH(MIN(Table4810[[#This Row],[Cluster 1 Dist]:[Cluster 3 Dist]]),Table4810[[#This Row],[Cluster 1 Dist]:[Cluster 3 Dist]],0)</f>
        <v>2</v>
      </c>
      <c r="AB227">
        <f t="shared" si="16"/>
        <v>216</v>
      </c>
      <c r="AC22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1885.3982624020371</v>
      </c>
      <c r="AD22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232.74716017701169</v>
      </c>
      <c r="AE22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1262.9995773299377</v>
      </c>
    </row>
    <row r="228" spans="2:31" x14ac:dyDescent="0.3">
      <c r="B228">
        <f t="shared" si="13"/>
        <v>226</v>
      </c>
      <c r="C228">
        <v>492</v>
      </c>
      <c r="D228">
        <v>152</v>
      </c>
      <c r="E228">
        <v>221</v>
      </c>
      <c r="F228">
        <v>6300</v>
      </c>
      <c r="G228">
        <v>1</v>
      </c>
      <c r="K228" s="7">
        <f>MATCH(MIN(Table4[[#This Row],[Cluster 1 Dist]:[Cluster 3 Dist]]),Table4[[#This Row],[Cluster 1 Dist]:[Cluster 3 Dist]],0)</f>
        <v>2</v>
      </c>
      <c r="L228">
        <f t="shared" si="14"/>
        <v>217</v>
      </c>
      <c r="M22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852.41421855809051</v>
      </c>
      <c r="N22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80.783661714482832</v>
      </c>
      <c r="O22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607.43970894237725</v>
      </c>
      <c r="T228" s="7">
        <f>MATCH(MIN(Table48[[#This Row],[Cluster 1 Dist]:[Cluster 3 Dist]]),Table48[[#This Row],[Cluster 1 Dist]:[Cluster 3 Dist]],0)</f>
        <v>2</v>
      </c>
      <c r="U228">
        <f t="shared" si="15"/>
        <v>217</v>
      </c>
      <c r="V22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1060.972634053868</v>
      </c>
      <c r="W22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364.58906881461451</v>
      </c>
      <c r="X22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544.03623885148829</v>
      </c>
      <c r="AA228" s="7">
        <f>MATCH(MIN(Table4810[[#This Row],[Cluster 1 Dist]:[Cluster 3 Dist]]),Table4810[[#This Row],[Cluster 1 Dist]:[Cluster 3 Dist]],0)</f>
        <v>3</v>
      </c>
      <c r="AB228">
        <f t="shared" si="16"/>
        <v>217</v>
      </c>
      <c r="AC22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1084.8514220245186</v>
      </c>
      <c r="AD22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573.95086613302271</v>
      </c>
      <c r="AE22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464.11594297769733</v>
      </c>
    </row>
    <row r="229" spans="2:31" x14ac:dyDescent="0.3">
      <c r="B229">
        <f t="shared" si="13"/>
        <v>227</v>
      </c>
      <c r="C229">
        <v>462</v>
      </c>
      <c r="D229">
        <v>145</v>
      </c>
      <c r="E229">
        <v>209</v>
      </c>
      <c r="F229">
        <v>4800</v>
      </c>
      <c r="G229">
        <v>0</v>
      </c>
      <c r="K229" s="7">
        <f>MATCH(MIN(Table4[[#This Row],[Cluster 1 Dist]:[Cluster 3 Dist]]),Table4[[#This Row],[Cluster 1 Dist]:[Cluster 3 Dist]],0)</f>
        <v>2</v>
      </c>
      <c r="L229">
        <f t="shared" si="14"/>
        <v>218</v>
      </c>
      <c r="M22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1601.8401917794422</v>
      </c>
      <c r="N22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754.4362133407966</v>
      </c>
      <c r="O22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1354.9284113930153</v>
      </c>
      <c r="T229" s="7">
        <f>MATCH(MIN(Table48[[#This Row],[Cluster 1 Dist]:[Cluster 3 Dist]]),Table48[[#This Row],[Cluster 1 Dist]:[Cluster 3 Dist]],0)</f>
        <v>2</v>
      </c>
      <c r="U229">
        <f t="shared" si="15"/>
        <v>218</v>
      </c>
      <c r="V22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1811.602627986158</v>
      </c>
      <c r="W22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393.17798981296704</v>
      </c>
      <c r="X22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1293.2841806968866</v>
      </c>
      <c r="AA229" s="7">
        <f>MATCH(MIN(Table4810[[#This Row],[Cluster 1 Dist]:[Cluster 3 Dist]]),Table4810[[#This Row],[Cluster 1 Dist]:[Cluster 3 Dist]],0)</f>
        <v>2</v>
      </c>
      <c r="AB229">
        <f t="shared" si="16"/>
        <v>218</v>
      </c>
      <c r="AC22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1835.4657977813538</v>
      </c>
      <c r="AD22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184.60541264730756</v>
      </c>
      <c r="AE22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1213.1375649048298</v>
      </c>
    </row>
    <row r="230" spans="2:31" x14ac:dyDescent="0.3">
      <c r="B230">
        <f t="shared" si="13"/>
        <v>228</v>
      </c>
      <c r="C230">
        <v>487</v>
      </c>
      <c r="D230">
        <v>151</v>
      </c>
      <c r="E230">
        <v>222</v>
      </c>
      <c r="F230">
        <v>5350</v>
      </c>
      <c r="G230">
        <v>1</v>
      </c>
      <c r="K230" s="7">
        <f>MATCH(MIN(Table4[[#This Row],[Cluster 1 Dist]:[Cluster 3 Dist]]),Table4[[#This Row],[Cluster 1 Dist]:[Cluster 3 Dist]],0)</f>
        <v>2</v>
      </c>
      <c r="L230">
        <f t="shared" si="14"/>
        <v>219</v>
      </c>
      <c r="M23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1101.5316609158358</v>
      </c>
      <c r="N23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261.44597912379527</v>
      </c>
      <c r="O23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853.5555049321631</v>
      </c>
      <c r="T230" s="7">
        <f>MATCH(MIN(Table48[[#This Row],[Cluster 1 Dist]:[Cluster 3 Dist]]),Table48[[#This Row],[Cluster 1 Dist]:[Cluster 3 Dist]],0)</f>
        <v>2</v>
      </c>
      <c r="U230">
        <f t="shared" si="15"/>
        <v>219</v>
      </c>
      <c r="V23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1309.8423302868184</v>
      </c>
      <c r="W23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114.01450745843286</v>
      </c>
      <c r="X23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791.223808348788</v>
      </c>
      <c r="AA230" s="7">
        <f>MATCH(MIN(Table4810[[#This Row],[Cluster 1 Dist]:[Cluster 3 Dist]]),Table4810[[#This Row],[Cluster 1 Dist]:[Cluster 3 Dist]],0)</f>
        <v>2</v>
      </c>
      <c r="AB230">
        <f t="shared" si="16"/>
        <v>219</v>
      </c>
      <c r="AC23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1333.5457880171141</v>
      </c>
      <c r="AD23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323.81354692662751</v>
      </c>
      <c r="AE23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711.01521579886446</v>
      </c>
    </row>
    <row r="231" spans="2:31" x14ac:dyDescent="0.3">
      <c r="B231">
        <f t="shared" si="13"/>
        <v>229</v>
      </c>
      <c r="C231">
        <v>502</v>
      </c>
      <c r="D231">
        <v>143</v>
      </c>
      <c r="E231">
        <v>218</v>
      </c>
      <c r="F231">
        <v>5700</v>
      </c>
      <c r="G231">
        <v>1</v>
      </c>
      <c r="K231" s="7">
        <f>MATCH(MIN(Table4[[#This Row],[Cluster 1 Dist]:[Cluster 3 Dist]]),Table4[[#This Row],[Cluster 1 Dist]:[Cluster 3 Dist]],0)</f>
        <v>2</v>
      </c>
      <c r="L231">
        <f t="shared" si="14"/>
        <v>220</v>
      </c>
      <c r="M23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2032.0342024680588</v>
      </c>
      <c r="N23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1207.4506201083339</v>
      </c>
      <c r="O23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1778.4622571198975</v>
      </c>
      <c r="T231" s="7">
        <f>MATCH(MIN(Table48[[#This Row],[Cluster 1 Dist]:[Cluster 3 Dist]]),Table48[[#This Row],[Cluster 1 Dist]:[Cluster 3 Dist]],0)</f>
        <v>2</v>
      </c>
      <c r="U231">
        <f t="shared" si="15"/>
        <v>220</v>
      </c>
      <c r="V23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2233.3929234268708</v>
      </c>
      <c r="W23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862.19798040585795</v>
      </c>
      <c r="X23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1720.7972323600361</v>
      </c>
      <c r="AA231" s="7">
        <f>MATCH(MIN(Table4810[[#This Row],[Cluster 1 Dist]:[Cluster 3 Dist]]),Table4810[[#This Row],[Cluster 1 Dist]:[Cluster 3 Dist]],0)</f>
        <v>2</v>
      </c>
      <c r="AB231">
        <f t="shared" si="16"/>
        <v>220</v>
      </c>
      <c r="AC23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2255.6297730536389</v>
      </c>
      <c r="AD23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683.39795223457384</v>
      </c>
      <c r="AE23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1642.7530663789694</v>
      </c>
    </row>
    <row r="232" spans="2:31" x14ac:dyDescent="0.3">
      <c r="B232">
        <f t="shared" si="13"/>
        <v>230</v>
      </c>
      <c r="C232">
        <v>451</v>
      </c>
      <c r="D232">
        <v>145</v>
      </c>
      <c r="E232">
        <v>215</v>
      </c>
      <c r="F232">
        <v>5000</v>
      </c>
      <c r="G232">
        <v>0</v>
      </c>
      <c r="K232" s="7">
        <f>MATCH(MIN(Table4[[#This Row],[Cluster 1 Dist]:[Cluster 3 Dist]]),Table4[[#This Row],[Cluster 1 Dist]:[Cluster 3 Dist]],0)</f>
        <v>2</v>
      </c>
      <c r="L232">
        <f t="shared" si="14"/>
        <v>221</v>
      </c>
      <c r="M23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1102.6168872278349</v>
      </c>
      <c r="N23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264.76782281840821</v>
      </c>
      <c r="O23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857.26600305856061</v>
      </c>
      <c r="T232" s="7">
        <f>MATCH(MIN(Table48[[#This Row],[Cluster 1 Dist]:[Cluster 3 Dist]]),Table48[[#This Row],[Cluster 1 Dist]:[Cluster 3 Dist]],0)</f>
        <v>2</v>
      </c>
      <c r="U232">
        <f t="shared" si="15"/>
        <v>221</v>
      </c>
      <c r="V23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1311.7954620487169</v>
      </c>
      <c r="W23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126.11522701579879</v>
      </c>
      <c r="X23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794.57872075042894</v>
      </c>
      <c r="AA232" s="7">
        <f>MATCH(MIN(Table4810[[#This Row],[Cluster 1 Dist]:[Cluster 3 Dist]]),Table4810[[#This Row],[Cluster 1 Dist]:[Cluster 3 Dist]],0)</f>
        <v>2</v>
      </c>
      <c r="AB232">
        <f t="shared" si="16"/>
        <v>221</v>
      </c>
      <c r="AC23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1335.7119332918253</v>
      </c>
      <c r="AD23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326.14037152785374</v>
      </c>
      <c r="AE23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714.55913078150513</v>
      </c>
    </row>
    <row r="233" spans="2:31" x14ac:dyDescent="0.3">
      <c r="B233">
        <f t="shared" si="13"/>
        <v>231</v>
      </c>
      <c r="C233">
        <v>465</v>
      </c>
      <c r="D233">
        <v>145</v>
      </c>
      <c r="E233">
        <v>213</v>
      </c>
      <c r="F233">
        <v>4400</v>
      </c>
      <c r="G233">
        <v>0</v>
      </c>
      <c r="K233" s="7">
        <f>MATCH(MIN(Table4[[#This Row],[Cluster 1 Dist]:[Cluster 3 Dist]]),Table4[[#This Row],[Cluster 1 Dist]:[Cluster 3 Dist]],0)</f>
        <v>2</v>
      </c>
      <c r="L233">
        <f t="shared" si="14"/>
        <v>222</v>
      </c>
      <c r="M23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2301.8653305525936</v>
      </c>
      <c r="N23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1453.3031342428185</v>
      </c>
      <c r="O23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2054.2811394743417</v>
      </c>
      <c r="T233" s="7">
        <f>MATCH(MIN(Table48[[#This Row],[Cluster 1 Dist]:[Cluster 3 Dist]]),Table48[[#This Row],[Cluster 1 Dist]:[Cluster 3 Dist]],0)</f>
        <v>2</v>
      </c>
      <c r="U233">
        <f t="shared" si="15"/>
        <v>222</v>
      </c>
      <c r="V23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2511.5273715992048</v>
      </c>
      <c r="W23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1090.3685184059525</v>
      </c>
      <c r="X23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1992.8703278109663</v>
      </c>
      <c r="AA233" s="7">
        <f>MATCH(MIN(Table4810[[#This Row],[Cluster 1 Dist]:[Cluster 3 Dist]]),Table4810[[#This Row],[Cluster 1 Dist]:[Cluster 3 Dist]],0)</f>
        <v>2</v>
      </c>
      <c r="AB233">
        <f t="shared" si="16"/>
        <v>222</v>
      </c>
      <c r="AC23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2535.3404623526467</v>
      </c>
      <c r="AD23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879.07194651280167</v>
      </c>
      <c r="AE23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1912.6841296865118</v>
      </c>
    </row>
    <row r="234" spans="2:31" x14ac:dyDescent="0.3">
      <c r="B234">
        <f t="shared" si="13"/>
        <v>232</v>
      </c>
      <c r="C234">
        <v>463</v>
      </c>
      <c r="D234">
        <v>158</v>
      </c>
      <c r="E234">
        <v>215</v>
      </c>
      <c r="F234">
        <v>5050</v>
      </c>
      <c r="G234">
        <v>1</v>
      </c>
      <c r="K234" s="7">
        <f>MATCH(MIN(Table4[[#This Row],[Cluster 1 Dist]:[Cluster 3 Dist]]),Table4[[#This Row],[Cluster 1 Dist]:[Cluster 3 Dist]],0)</f>
        <v>2</v>
      </c>
      <c r="L234">
        <f t="shared" si="14"/>
        <v>223</v>
      </c>
      <c r="M23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653.8608414639923</v>
      </c>
      <c r="N23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215.58293067866018</v>
      </c>
      <c r="O23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414.52020457391461</v>
      </c>
      <c r="T234" s="7">
        <f>MATCH(MIN(Table48[[#This Row],[Cluster 1 Dist]:[Cluster 3 Dist]]),Table48[[#This Row],[Cluster 1 Dist]:[Cluster 3 Dist]],0)</f>
        <v>3</v>
      </c>
      <c r="U234">
        <f t="shared" si="15"/>
        <v>223</v>
      </c>
      <c r="V23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863.25553698218164</v>
      </c>
      <c r="W23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565.83442369628028</v>
      </c>
      <c r="X23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350.81566268294466</v>
      </c>
      <c r="AA234" s="7">
        <f>MATCH(MIN(Table4810[[#This Row],[Cluster 1 Dist]:[Cluster 3 Dist]]),Table4810[[#This Row],[Cluster 1 Dist]:[Cluster 3 Dist]],0)</f>
        <v>3</v>
      </c>
      <c r="AB234">
        <f t="shared" si="16"/>
        <v>223</v>
      </c>
      <c r="AC23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887.35970063069851</v>
      </c>
      <c r="AD23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774.81317731989145</v>
      </c>
      <c r="AE23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272.86111756433547</v>
      </c>
    </row>
    <row r="235" spans="2:31" x14ac:dyDescent="0.3">
      <c r="B235">
        <f t="shared" si="13"/>
        <v>233</v>
      </c>
      <c r="C235">
        <v>429</v>
      </c>
      <c r="D235">
        <v>131</v>
      </c>
      <c r="E235">
        <v>215</v>
      </c>
      <c r="F235">
        <v>5000</v>
      </c>
      <c r="G235">
        <v>0</v>
      </c>
      <c r="K235" s="7">
        <f>MATCH(MIN(Table4[[#This Row],[Cluster 1 Dist]:[Cluster 3 Dist]]),Table4[[#This Row],[Cluster 1 Dist]:[Cluster 3 Dist]],0)</f>
        <v>2</v>
      </c>
      <c r="L235">
        <f t="shared" si="14"/>
        <v>224</v>
      </c>
      <c r="M23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2302.0786259378719</v>
      </c>
      <c r="N23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1453.3753816547189</v>
      </c>
      <c r="O23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2054.6466849558346</v>
      </c>
      <c r="T235" s="7">
        <f>MATCH(MIN(Table48[[#This Row],[Cluster 1 Dist]:[Cluster 3 Dist]]),Table48[[#This Row],[Cluster 1 Dist]:[Cluster 3 Dist]],0)</f>
        <v>2</v>
      </c>
      <c r="U235">
        <f t="shared" si="15"/>
        <v>224</v>
      </c>
      <c r="V23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2511.963858251288</v>
      </c>
      <c r="W23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1091.1777817914669</v>
      </c>
      <c r="X23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1993.3439314838956</v>
      </c>
      <c r="AA235" s="7">
        <f>MATCH(MIN(Table4810[[#This Row],[Cluster 1 Dist]:[Cluster 3 Dist]]),Table4810[[#This Row],[Cluster 1 Dist]:[Cluster 3 Dist]],0)</f>
        <v>2</v>
      </c>
      <c r="AB235">
        <f t="shared" si="16"/>
        <v>224</v>
      </c>
      <c r="AC23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2535.7996336031092</v>
      </c>
      <c r="AD23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879.97986092805365</v>
      </c>
      <c r="AE23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1913.173849903518</v>
      </c>
    </row>
    <row r="236" spans="2:31" x14ac:dyDescent="0.3">
      <c r="B236">
        <f t="shared" si="13"/>
        <v>234</v>
      </c>
      <c r="C236">
        <v>461</v>
      </c>
      <c r="D236">
        <v>151</v>
      </c>
      <c r="E236">
        <v>215</v>
      </c>
      <c r="F236">
        <v>5100</v>
      </c>
      <c r="G236">
        <v>1</v>
      </c>
      <c r="K236" s="7">
        <f>MATCH(MIN(Table4[[#This Row],[Cluster 1 Dist]:[Cluster 3 Dist]]),Table4[[#This Row],[Cluster 1 Dist]:[Cluster 3 Dist]],0)</f>
        <v>2</v>
      </c>
      <c r="L236">
        <f t="shared" si="14"/>
        <v>225</v>
      </c>
      <c r="M23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704.14984200807714</v>
      </c>
      <c r="N23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454.02973470908267</v>
      </c>
      <c r="O23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479.10541637514388</v>
      </c>
      <c r="T236" s="7">
        <f>MATCH(MIN(Table48[[#This Row],[Cluster 1 Dist]:[Cluster 3 Dist]]),Table48[[#This Row],[Cluster 1 Dist]:[Cluster 3 Dist]],0)</f>
        <v>3</v>
      </c>
      <c r="U236">
        <f t="shared" si="15"/>
        <v>225</v>
      </c>
      <c r="V23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875.89801013051556</v>
      </c>
      <c r="W23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710.10235699928444</v>
      </c>
      <c r="X23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442.15065375078325</v>
      </c>
      <c r="AA236" s="7">
        <f>MATCH(MIN(Table4810[[#This Row],[Cluster 1 Dist]:[Cluster 3 Dist]]),Table4810[[#This Row],[Cluster 1 Dist]:[Cluster 3 Dist]],0)</f>
        <v>3</v>
      </c>
      <c r="AB236">
        <f t="shared" si="16"/>
        <v>225</v>
      </c>
      <c r="AC23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895.01703848193199</v>
      </c>
      <c r="AD23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904.4171176853323</v>
      </c>
      <c r="AE23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396.56712510816294</v>
      </c>
    </row>
    <row r="237" spans="2:31" x14ac:dyDescent="0.3">
      <c r="B237">
        <f t="shared" si="13"/>
        <v>235</v>
      </c>
      <c r="C237">
        <v>445</v>
      </c>
      <c r="D237">
        <v>143</v>
      </c>
      <c r="E237">
        <v>216</v>
      </c>
      <c r="F237">
        <v>4100</v>
      </c>
      <c r="G237">
        <v>1</v>
      </c>
      <c r="K237" s="7">
        <f>MATCH(MIN(Table4[[#This Row],[Cluster 1 Dist]:[Cluster 3 Dist]]),Table4[[#This Row],[Cluster 1 Dist]:[Cluster 3 Dist]],0)</f>
        <v>2</v>
      </c>
      <c r="L237">
        <f t="shared" si="14"/>
        <v>226</v>
      </c>
      <c r="M23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2751.8168543709444</v>
      </c>
      <c r="N23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1902.7343482472797</v>
      </c>
      <c r="O23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2503.8871779694869</v>
      </c>
      <c r="T237" s="7">
        <f>MATCH(MIN(Table48[[#This Row],[Cluster 1 Dist]:[Cluster 3 Dist]]),Table48[[#This Row],[Cluster 1 Dist]:[Cluster 3 Dist]],0)</f>
        <v>2</v>
      </c>
      <c r="U237">
        <f t="shared" si="15"/>
        <v>226</v>
      </c>
      <c r="V23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2961.5267972137685</v>
      </c>
      <c r="W23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1539.9478906543534</v>
      </c>
      <c r="X23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2442.6797639444417</v>
      </c>
      <c r="AA237" s="7">
        <f>MATCH(MIN(Table4810[[#This Row],[Cluster 1 Dist]:[Cluster 3 Dist]]),Table4810[[#This Row],[Cluster 1 Dist]:[Cluster 3 Dist]],0)</f>
        <v>2</v>
      </c>
      <c r="AB237">
        <f t="shared" si="16"/>
        <v>226</v>
      </c>
      <c r="AC23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2985.3158086597537</v>
      </c>
      <c r="AD23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1328.6886240758388</v>
      </c>
      <c r="AE23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2362.4908261756646</v>
      </c>
    </row>
    <row r="238" spans="2:31" x14ac:dyDescent="0.3">
      <c r="B238">
        <f t="shared" si="13"/>
        <v>236</v>
      </c>
      <c r="C238">
        <v>478</v>
      </c>
      <c r="D238">
        <v>15</v>
      </c>
      <c r="E238">
        <v>215</v>
      </c>
      <c r="F238">
        <v>5650</v>
      </c>
      <c r="G238">
        <v>1</v>
      </c>
      <c r="K238" s="7">
        <f>MATCH(MIN(Table4[[#This Row],[Cluster 1 Dist]:[Cluster 3 Dist]]),Table4[[#This Row],[Cluster 1 Dist]:[Cluster 3 Dist]],0)</f>
        <v>2</v>
      </c>
      <c r="L238">
        <f t="shared" si="14"/>
        <v>227</v>
      </c>
      <c r="M23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1252.1956716104717</v>
      </c>
      <c r="N23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408.60004894762312</v>
      </c>
      <c r="O23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1006.3115819665398</v>
      </c>
      <c r="T238" s="7">
        <f>MATCH(MIN(Table48[[#This Row],[Cluster 1 Dist]:[Cluster 3 Dist]]),Table48[[#This Row],[Cluster 1 Dist]:[Cluster 3 Dist]],0)</f>
        <v>2</v>
      </c>
      <c r="U238">
        <f t="shared" si="15"/>
        <v>227</v>
      </c>
      <c r="V23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1461.7668017630087</v>
      </c>
      <c r="W23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72.065158841911483</v>
      </c>
      <c r="X23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944.10886208603506</v>
      </c>
      <c r="AA238" s="7">
        <f>MATCH(MIN(Table4810[[#This Row],[Cluster 1 Dist]:[Cluster 3 Dist]]),Table4810[[#This Row],[Cluster 1 Dist]:[Cluster 3 Dist]],0)</f>
        <v>2</v>
      </c>
      <c r="AB238">
        <f t="shared" si="16"/>
        <v>227</v>
      </c>
      <c r="AC23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1485.6773595112338</v>
      </c>
      <c r="AD23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179.78139547657474</v>
      </c>
      <c r="AE23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864.03432964888111</v>
      </c>
    </row>
    <row r="239" spans="2:31" x14ac:dyDescent="0.3">
      <c r="B239">
        <f t="shared" si="13"/>
        <v>237</v>
      </c>
      <c r="C239">
        <v>482</v>
      </c>
      <c r="D239">
        <v>143</v>
      </c>
      <c r="E239">
        <v>210</v>
      </c>
      <c r="F239">
        <v>4600</v>
      </c>
      <c r="G239">
        <v>0</v>
      </c>
      <c r="K239" s="7">
        <f>MATCH(MIN(Table4[[#This Row],[Cluster 1 Dist]:[Cluster 3 Dist]]),Table4[[#This Row],[Cluster 1 Dist]:[Cluster 3 Dist]],0)</f>
        <v>2</v>
      </c>
      <c r="L239">
        <f t="shared" si="14"/>
        <v>228</v>
      </c>
      <c r="M23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1802.5834238669788</v>
      </c>
      <c r="N23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955.14658560872215</v>
      </c>
      <c r="O23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1555.903595985304</v>
      </c>
      <c r="T239" s="7">
        <f>MATCH(MIN(Table48[[#This Row],[Cluster 1 Dist]:[Cluster 3 Dist]]),Table48[[#This Row],[Cluster 1 Dist]:[Cluster 3 Dist]],0)</f>
        <v>2</v>
      </c>
      <c r="U239">
        <f t="shared" si="15"/>
        <v>228</v>
      </c>
      <c r="V23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2012.4128818358522</v>
      </c>
      <c r="W23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593.74116021776024</v>
      </c>
      <c r="X23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1494.2540520409561</v>
      </c>
      <c r="AA239" s="7">
        <f>MATCH(MIN(Table4810[[#This Row],[Cluster 1 Dist]:[Cluster 3 Dist]]),Table4810[[#This Row],[Cluster 1 Dist]:[Cluster 3 Dist]],0)</f>
        <v>2</v>
      </c>
      <c r="AB239">
        <f t="shared" si="16"/>
        <v>228</v>
      </c>
      <c r="AC23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2036.3004762578018</v>
      </c>
      <c r="AD23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383.51173941496717</v>
      </c>
      <c r="AE23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1414.1151023915245</v>
      </c>
    </row>
    <row r="240" spans="2:31" x14ac:dyDescent="0.3">
      <c r="B240">
        <f t="shared" si="13"/>
        <v>238</v>
      </c>
      <c r="C240">
        <v>50</v>
      </c>
      <c r="D240">
        <v>153</v>
      </c>
      <c r="E240">
        <v>220</v>
      </c>
      <c r="F240">
        <v>5550</v>
      </c>
      <c r="G240">
        <v>1</v>
      </c>
      <c r="K240" s="7">
        <f>MATCH(MIN(Table4[[#This Row],[Cluster 1 Dist]:[Cluster 3 Dist]]),Table4[[#This Row],[Cluster 1 Dist]:[Cluster 3 Dist]],0)</f>
        <v>2</v>
      </c>
      <c r="L240">
        <f t="shared" si="14"/>
        <v>229</v>
      </c>
      <c r="M24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2152.8562422976597</v>
      </c>
      <c r="N24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1305.0187738113195</v>
      </c>
      <c r="O24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1905.9929170907221</v>
      </c>
      <c r="T240" s="7">
        <f>MATCH(MIN(Table48[[#This Row],[Cluster 1 Dist]:[Cluster 3 Dist]]),Table48[[#This Row],[Cluster 1 Dist]:[Cluster 3 Dist]],0)</f>
        <v>2</v>
      </c>
      <c r="U240">
        <f t="shared" si="15"/>
        <v>229</v>
      </c>
      <c r="V24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2362.6388005635508</v>
      </c>
      <c r="W24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942.71951299854686</v>
      </c>
      <c r="X24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1844.3874555869577</v>
      </c>
      <c r="AA240" s="7">
        <f>MATCH(MIN(Table4810[[#This Row],[Cluster 1 Dist]:[Cluster 3 Dist]]),Table4810[[#This Row],[Cluster 1 Dist]:[Cluster 3 Dist]],0)</f>
        <v>2</v>
      </c>
      <c r="AB240">
        <f t="shared" si="16"/>
        <v>229</v>
      </c>
      <c r="AC24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2386.5139892554785</v>
      </c>
      <c r="AD24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731.58419361771723</v>
      </c>
      <c r="AE24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1764.2267722048016</v>
      </c>
    </row>
    <row r="241" spans="2:31" x14ac:dyDescent="0.3">
      <c r="B241">
        <f t="shared" si="13"/>
        <v>239</v>
      </c>
      <c r="C241">
        <v>473</v>
      </c>
      <c r="D241">
        <v>153</v>
      </c>
      <c r="E241">
        <v>222</v>
      </c>
      <c r="F241">
        <v>5250</v>
      </c>
      <c r="G241">
        <v>1</v>
      </c>
      <c r="K241" s="7">
        <f>MATCH(MIN(Table4[[#This Row],[Cluster 1 Dist]:[Cluster 3 Dist]]),Table4[[#This Row],[Cluster 1 Dist]:[Cluster 3 Dist]],0)</f>
        <v>2</v>
      </c>
      <c r="L241">
        <f t="shared" si="14"/>
        <v>230</v>
      </c>
      <c r="M24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1451.630462617811</v>
      </c>
      <c r="N24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605.14543706451263</v>
      </c>
      <c r="O24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1204.5206515456678</v>
      </c>
      <c r="T241" s="7">
        <f>MATCH(MIN(Table48[[#This Row],[Cluster 1 Dist]:[Cluster 3 Dist]]),Table48[[#This Row],[Cluster 1 Dist]:[Cluster 3 Dist]],0)</f>
        <v>2</v>
      </c>
      <c r="U241">
        <f t="shared" si="15"/>
        <v>230</v>
      </c>
      <c r="V24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1660.9981150778017</v>
      </c>
      <c r="W24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242.68785923465592</v>
      </c>
      <c r="X24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1142.629536531899</v>
      </c>
      <c r="AA241" s="7">
        <f>MATCH(MIN(Table4810[[#This Row],[Cluster 1 Dist]:[Cluster 3 Dist]]),Table4810[[#This Row],[Cluster 1 Dist]:[Cluster 3 Dist]],0)</f>
        <v>2</v>
      </c>
      <c r="AB241">
        <f t="shared" si="16"/>
        <v>230</v>
      </c>
      <c r="AC24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1684.8270583547358</v>
      </c>
      <c r="AD24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45.086152180117459</v>
      </c>
      <c r="AE24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1062.457053004242</v>
      </c>
    </row>
    <row r="242" spans="2:31" x14ac:dyDescent="0.3">
      <c r="B242">
        <f t="shared" si="13"/>
        <v>240</v>
      </c>
      <c r="C242">
        <v>428</v>
      </c>
      <c r="D242">
        <v>142</v>
      </c>
      <c r="E242">
        <v>209</v>
      </c>
      <c r="F242">
        <v>4700</v>
      </c>
      <c r="G242">
        <v>0</v>
      </c>
      <c r="K242" s="7">
        <f>MATCH(MIN(Table4[[#This Row],[Cluster 1 Dist]:[Cluster 3 Dist]]),Table4[[#This Row],[Cluster 1 Dist]:[Cluster 3 Dist]],0)</f>
        <v>2</v>
      </c>
      <c r="L242">
        <f t="shared" si="14"/>
        <v>231</v>
      </c>
      <c r="M24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853.55901963484632</v>
      </c>
      <c r="N24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85.936022714575287</v>
      </c>
      <c r="O24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611.0924643619818</v>
      </c>
      <c r="T242" s="7">
        <f>MATCH(MIN(Table48[[#This Row],[Cluster 1 Dist]:[Cluster 3 Dist]]),Table48[[#This Row],[Cluster 1 Dist]:[Cluster 3 Dist]],0)</f>
        <v>2</v>
      </c>
      <c r="U242">
        <f t="shared" si="15"/>
        <v>231</v>
      </c>
      <c r="V24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1063.1043312394563</v>
      </c>
      <c r="W24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368.67127082373918</v>
      </c>
      <c r="X24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547.99491711481562</v>
      </c>
      <c r="AA242" s="7">
        <f>MATCH(MIN(Table4810[[#This Row],[Cluster 1 Dist]:[Cluster 3 Dist]]),Table4810[[#This Row],[Cluster 1 Dist]:[Cluster 3 Dist]],0)</f>
        <v>3</v>
      </c>
      <c r="AB242">
        <f t="shared" si="16"/>
        <v>231</v>
      </c>
      <c r="AC24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1087.1509231048606</v>
      </c>
      <c r="AD24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575.80190136153533</v>
      </c>
      <c r="AE24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468.59179001443709</v>
      </c>
    </row>
    <row r="243" spans="2:31" x14ac:dyDescent="0.3">
      <c r="B243">
        <f t="shared" si="13"/>
        <v>241</v>
      </c>
      <c r="C243">
        <v>451</v>
      </c>
      <c r="D243">
        <v>145</v>
      </c>
      <c r="E243">
        <v>207</v>
      </c>
      <c r="F243">
        <v>5050</v>
      </c>
      <c r="G243">
        <v>0</v>
      </c>
      <c r="K243" s="7">
        <f>MATCH(MIN(Table4[[#This Row],[Cluster 1 Dist]:[Cluster 3 Dist]]),Table4[[#This Row],[Cluster 1 Dist]:[Cluster 3 Dist]],0)</f>
        <v>2</v>
      </c>
      <c r="L243">
        <f t="shared" si="14"/>
        <v>232</v>
      </c>
      <c r="M24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1501.6847205721979</v>
      </c>
      <c r="N24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654.37680276733522</v>
      </c>
      <c r="O24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1254.7884283814542</v>
      </c>
      <c r="T243" s="7">
        <f>MATCH(MIN(Table48[[#This Row],[Cluster 1 Dist]:[Cluster 3 Dist]]),Table48[[#This Row],[Cluster 1 Dist]:[Cluster 3 Dist]],0)</f>
        <v>2</v>
      </c>
      <c r="U243">
        <f t="shared" si="15"/>
        <v>232</v>
      </c>
      <c r="V24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1711.4955569098956</v>
      </c>
      <c r="W24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294.2517797587422</v>
      </c>
      <c r="X24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1193.1703509250183</v>
      </c>
      <c r="AA243" s="7">
        <f>MATCH(MIN(Table4810[[#This Row],[Cluster 1 Dist]:[Cluster 3 Dist]]),Table4810[[#This Row],[Cluster 1 Dist]:[Cluster 3 Dist]],0)</f>
        <v>2</v>
      </c>
      <c r="AB243">
        <f t="shared" si="16"/>
        <v>232</v>
      </c>
      <c r="AC24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1735.3598045785436</v>
      </c>
      <c r="AD24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91.765302306753242</v>
      </c>
      <c r="AE24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1113.0342992842675</v>
      </c>
    </row>
    <row r="244" spans="2:31" x14ac:dyDescent="0.3">
      <c r="B244">
        <f t="shared" si="13"/>
        <v>242</v>
      </c>
      <c r="C244">
        <v>596</v>
      </c>
      <c r="D244">
        <v>17</v>
      </c>
      <c r="E244">
        <v>230</v>
      </c>
      <c r="F244">
        <v>6050</v>
      </c>
      <c r="G244">
        <v>1</v>
      </c>
      <c r="K244" s="7">
        <f>MATCH(MIN(Table4[[#This Row],[Cluster 1 Dist]:[Cluster 3 Dist]]),Table4[[#This Row],[Cluster 1 Dist]:[Cluster 3 Dist]],0)</f>
        <v>2</v>
      </c>
      <c r="L244">
        <f t="shared" si="14"/>
        <v>233</v>
      </c>
      <c r="M24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1451.5781067514074</v>
      </c>
      <c r="N24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605.85229222971498</v>
      </c>
      <c r="O24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1203.7765573394424</v>
      </c>
      <c r="T244" s="7">
        <f>MATCH(MIN(Table48[[#This Row],[Cluster 1 Dist]:[Cluster 3 Dist]]),Table48[[#This Row],[Cluster 1 Dist]:[Cluster 3 Dist]],0)</f>
        <v>2</v>
      </c>
      <c r="U244">
        <f t="shared" si="15"/>
        <v>233</v>
      </c>
      <c r="V24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1660.2826189103007</v>
      </c>
      <c r="W24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239.6007632140838</v>
      </c>
      <c r="X24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1141.7149384203772</v>
      </c>
      <c r="AA244" s="7">
        <f>MATCH(MIN(Table4810[[#This Row],[Cluster 1 Dist]:[Cluster 3 Dist]]),Table4810[[#This Row],[Cluster 1 Dist]:[Cluster 3 Dist]],0)</f>
        <v>2</v>
      </c>
      <c r="AB244">
        <f t="shared" si="16"/>
        <v>233</v>
      </c>
      <c r="AC24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1684.0262181809385</v>
      </c>
      <c r="AD24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32.538188658074333</v>
      </c>
      <c r="AE24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1061.5038832902887</v>
      </c>
    </row>
    <row r="245" spans="2:31" x14ac:dyDescent="0.3">
      <c r="B245">
        <f t="shared" si="13"/>
        <v>243</v>
      </c>
      <c r="C245">
        <v>491</v>
      </c>
      <c r="D245">
        <v>148</v>
      </c>
      <c r="E245">
        <v>220</v>
      </c>
      <c r="F245">
        <v>5150</v>
      </c>
      <c r="G245">
        <v>0</v>
      </c>
      <c r="K245" s="7">
        <f>MATCH(MIN(Table4[[#This Row],[Cluster 1 Dist]:[Cluster 3 Dist]]),Table4[[#This Row],[Cluster 1 Dist]:[Cluster 3 Dist]],0)</f>
        <v>2</v>
      </c>
      <c r="L245">
        <f t="shared" si="14"/>
        <v>234</v>
      </c>
      <c r="M24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1551.7003576721893</v>
      </c>
      <c r="N24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704.48846690346886</v>
      </c>
      <c r="O24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1304.6704564755039</v>
      </c>
      <c r="T245" s="7">
        <f>MATCH(MIN(Table48[[#This Row],[Cluster 1 Dist]:[Cluster 3 Dist]]),Table48[[#This Row],[Cluster 1 Dist]:[Cluster 3 Dist]],0)</f>
        <v>2</v>
      </c>
      <c r="U245">
        <f t="shared" si="15"/>
        <v>234</v>
      </c>
      <c r="V24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1761.3247198046818</v>
      </c>
      <c r="W24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342.70404197534185</v>
      </c>
      <c r="X24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1242.956579191366</v>
      </c>
      <c r="AA245" s="7">
        <f>MATCH(MIN(Table4810[[#This Row],[Cluster 1 Dist]:[Cluster 3 Dist]]),Table4810[[#This Row],[Cluster 1 Dist]:[Cluster 3 Dist]],0)</f>
        <v>2</v>
      </c>
      <c r="AB245">
        <f t="shared" si="16"/>
        <v>234</v>
      </c>
      <c r="AC24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1785.1727718234795</v>
      </c>
      <c r="AD24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134.87673528503146</v>
      </c>
      <c r="AE24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1162.7978938144886</v>
      </c>
    </row>
    <row r="246" spans="2:31" x14ac:dyDescent="0.3">
      <c r="B246">
        <f t="shared" si="13"/>
        <v>244</v>
      </c>
      <c r="C246">
        <v>484</v>
      </c>
      <c r="D246">
        <v>163</v>
      </c>
      <c r="E246">
        <v>220</v>
      </c>
      <c r="F246">
        <v>5400</v>
      </c>
      <c r="G246">
        <v>1</v>
      </c>
      <c r="K246" s="7">
        <f>MATCH(MIN(Table4[[#This Row],[Cluster 1 Dist]:[Cluster 3 Dist]]),Table4[[#This Row],[Cluster 1 Dist]:[Cluster 3 Dist]],0)</f>
        <v>2</v>
      </c>
      <c r="L246">
        <f t="shared" si="14"/>
        <v>235</v>
      </c>
      <c r="M24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554.03880730504795</v>
      </c>
      <c r="N24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309.9822575567834</v>
      </c>
      <c r="O24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316.39216172339036</v>
      </c>
      <c r="T246" s="7">
        <f>MATCH(MIN(Table48[[#This Row],[Cluster 1 Dist]:[Cluster 3 Dist]]),Table48[[#This Row],[Cluster 1 Dist]:[Cluster 3 Dist]],0)</f>
        <v>3</v>
      </c>
      <c r="U246">
        <f t="shared" si="15"/>
        <v>235</v>
      </c>
      <c r="V24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762.74644032693118</v>
      </c>
      <c r="W24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664.47559237453083</v>
      </c>
      <c r="X24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251.97794809572267</v>
      </c>
      <c r="AA246" s="7">
        <f>MATCH(MIN(Table4810[[#This Row],[Cluster 1 Dist]:[Cluster 3 Dist]]),Table4810[[#This Row],[Cluster 1 Dist]:[Cluster 3 Dist]],0)</f>
        <v>3</v>
      </c>
      <c r="AB246">
        <f t="shared" si="16"/>
        <v>235</v>
      </c>
      <c r="AC24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786.82345627648965</v>
      </c>
      <c r="AD24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874.17705771868452</v>
      </c>
      <c r="AE24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175.90603268677552</v>
      </c>
    </row>
    <row r="247" spans="2:31" x14ac:dyDescent="0.3">
      <c r="B247">
        <f t="shared" si="13"/>
        <v>245</v>
      </c>
      <c r="C247">
        <v>426</v>
      </c>
      <c r="D247">
        <v>137</v>
      </c>
      <c r="E247">
        <v>213</v>
      </c>
      <c r="F247">
        <v>4950</v>
      </c>
      <c r="G247">
        <v>0</v>
      </c>
      <c r="K247" s="7">
        <f>MATCH(MIN(Table4[[#This Row],[Cluster 1 Dist]:[Cluster 3 Dist]]),Table4[[#This Row],[Cluster 1 Dist]:[Cluster 3 Dist]],0)</f>
        <v>2</v>
      </c>
      <c r="L247">
        <f t="shared" si="14"/>
        <v>236</v>
      </c>
      <c r="M24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2108.423344587135</v>
      </c>
      <c r="N24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1267.099443611274</v>
      </c>
      <c r="O24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1862.4580532189175</v>
      </c>
      <c r="T247" s="7">
        <f>MATCH(MIN(Table48[[#This Row],[Cluster 1 Dist]:[Cluster 3 Dist]]),Table48[[#This Row],[Cluster 1 Dist]:[Cluster 3 Dist]],0)</f>
        <v>2</v>
      </c>
      <c r="U247">
        <f t="shared" si="15"/>
        <v>236</v>
      </c>
      <c r="V24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2315.6027404162669</v>
      </c>
      <c r="W24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900.30693940384151</v>
      </c>
      <c r="X24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1799.1916916964096</v>
      </c>
      <c r="AA247" s="7">
        <f>MATCH(MIN(Table4810[[#This Row],[Cluster 1 Dist]:[Cluster 3 Dist]]),Table4810[[#This Row],[Cluster 1 Dist]:[Cluster 3 Dist]],0)</f>
        <v>2</v>
      </c>
      <c r="AB247">
        <f t="shared" si="16"/>
        <v>236</v>
      </c>
      <c r="AC24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2339.3711341984181</v>
      </c>
      <c r="AD24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690.9964966471847</v>
      </c>
      <c r="AE24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1719.1282837953443</v>
      </c>
    </row>
    <row r="248" spans="2:31" x14ac:dyDescent="0.3">
      <c r="B248">
        <f t="shared" si="13"/>
        <v>246</v>
      </c>
      <c r="C248">
        <v>444</v>
      </c>
      <c r="D248">
        <v>173</v>
      </c>
      <c r="E248">
        <v>219</v>
      </c>
      <c r="F248">
        <v>5250</v>
      </c>
      <c r="G248">
        <v>1</v>
      </c>
      <c r="K248" s="7">
        <f>MATCH(MIN(Table4[[#This Row],[Cluster 1 Dist]:[Cluster 3 Dist]]),Table4[[#This Row],[Cluster 1 Dist]:[Cluster 3 Dist]],0)</f>
        <v>2</v>
      </c>
      <c r="L248">
        <f t="shared" si="14"/>
        <v>237</v>
      </c>
      <c r="M24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1053.9710622213497</v>
      </c>
      <c r="N24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222.73526887316251</v>
      </c>
      <c r="O24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810.71943358969759</v>
      </c>
      <c r="T248" s="7">
        <f>MATCH(MIN(Table48[[#This Row],[Cluster 1 Dist]:[Cluster 3 Dist]]),Table48[[#This Row],[Cluster 1 Dist]:[Cluster 3 Dist]],0)</f>
        <v>2</v>
      </c>
      <c r="U248">
        <f t="shared" si="15"/>
        <v>237</v>
      </c>
      <c r="V24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1263.7366554197938</v>
      </c>
      <c r="W24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182.28215260555203</v>
      </c>
      <c r="X24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748.01046634061368</v>
      </c>
      <c r="AA248" s="7">
        <f>MATCH(MIN(Table4810[[#This Row],[Cluster 1 Dist]:[Cluster 3 Dist]]),Table4810[[#This Row],[Cluster 1 Dist]:[Cluster 3 Dist]],0)</f>
        <v>2</v>
      </c>
      <c r="AB248">
        <f t="shared" si="16"/>
        <v>237</v>
      </c>
      <c r="AC24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1287.7832737081708</v>
      </c>
      <c r="AD24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379.5090115998986</v>
      </c>
      <c r="AE24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668.32065226234249</v>
      </c>
    </row>
    <row r="249" spans="2:31" x14ac:dyDescent="0.3">
      <c r="B249">
        <f t="shared" si="13"/>
        <v>247</v>
      </c>
      <c r="C249">
        <v>44</v>
      </c>
      <c r="D249">
        <v>136</v>
      </c>
      <c r="E249">
        <v>208</v>
      </c>
      <c r="F249">
        <v>4350</v>
      </c>
      <c r="G249">
        <v>0</v>
      </c>
      <c r="K249" s="7">
        <f>MATCH(MIN(Table4[[#This Row],[Cluster 1 Dist]:[Cluster 3 Dist]]),Table4[[#This Row],[Cluster 1 Dist]:[Cluster 3 Dist]],0)</f>
        <v>2</v>
      </c>
      <c r="L249">
        <f t="shared" si="14"/>
        <v>238</v>
      </c>
      <c r="M24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2032.0418302781072</v>
      </c>
      <c r="N24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1207.5835374830183</v>
      </c>
      <c r="O24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1778.5198902458189</v>
      </c>
      <c r="T249" s="7">
        <f>MATCH(MIN(Table48[[#This Row],[Cluster 1 Dist]:[Cluster 3 Dist]]),Table48[[#This Row],[Cluster 1 Dist]:[Cluster 3 Dist]],0)</f>
        <v>2</v>
      </c>
      <c r="U249">
        <f t="shared" si="15"/>
        <v>238</v>
      </c>
      <c r="V24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2233.285309503814</v>
      </c>
      <c r="W24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861.75958662420021</v>
      </c>
      <c r="X24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1720.7098038843371</v>
      </c>
      <c r="AA249" s="7">
        <f>MATCH(MIN(Table4810[[#This Row],[Cluster 1 Dist]:[Cluster 3 Dist]]),Table4810[[#This Row],[Cluster 1 Dist]:[Cluster 3 Dist]],0)</f>
        <v>2</v>
      </c>
      <c r="AB249">
        <f t="shared" si="16"/>
        <v>238</v>
      </c>
      <c r="AC24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2255.5262808313259</v>
      </c>
      <c r="AD24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682.74829957346924</v>
      </c>
      <c r="AE24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1642.6451110653907</v>
      </c>
    </row>
    <row r="250" spans="2:31" x14ac:dyDescent="0.3">
      <c r="B250">
        <f t="shared" si="13"/>
        <v>248</v>
      </c>
      <c r="C250">
        <v>487</v>
      </c>
      <c r="D250">
        <v>157</v>
      </c>
      <c r="E250">
        <v>208</v>
      </c>
      <c r="F250">
        <v>5350</v>
      </c>
      <c r="G250">
        <v>1</v>
      </c>
      <c r="K250" s="7">
        <f>MATCH(MIN(Table4[[#This Row],[Cluster 1 Dist]:[Cluster 3 Dist]]),Table4[[#This Row],[Cluster 1 Dist]:[Cluster 3 Dist]],0)</f>
        <v>2</v>
      </c>
      <c r="L250">
        <f t="shared" si="14"/>
        <v>239</v>
      </c>
      <c r="M25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1702.0866605434637</v>
      </c>
      <c r="N25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854.51331177460304</v>
      </c>
      <c r="O25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1455.1247369212028</v>
      </c>
      <c r="T250" s="7">
        <f>MATCH(MIN(Table48[[#This Row],[Cluster 1 Dist]:[Cluster 3 Dist]]),Table48[[#This Row],[Cluster 1 Dist]:[Cluster 3 Dist]],0)</f>
        <v>2</v>
      </c>
      <c r="U250">
        <f t="shared" si="15"/>
        <v>239</v>
      </c>
      <c r="V25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1911.8264552144024</v>
      </c>
      <c r="W25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492.84312667922012</v>
      </c>
      <c r="X25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1393.5006588898805</v>
      </c>
      <c r="AA250" s="7">
        <f>MATCH(MIN(Table4810[[#This Row],[Cluster 1 Dist]:[Cluster 3 Dist]]),Table4810[[#This Row],[Cluster 1 Dist]:[Cluster 3 Dist]],0)</f>
        <v>2</v>
      </c>
      <c r="AB250">
        <f t="shared" si="16"/>
        <v>239</v>
      </c>
      <c r="AC25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1935.6885695543597</v>
      </c>
      <c r="AD25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282.9214412877302</v>
      </c>
      <c r="AE25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1313.3487401630925</v>
      </c>
    </row>
    <row r="251" spans="2:31" x14ac:dyDescent="0.3">
      <c r="B251">
        <f t="shared" si="13"/>
        <v>249</v>
      </c>
      <c r="C251">
        <v>427</v>
      </c>
      <c r="D251">
        <v>137</v>
      </c>
      <c r="E251">
        <v>208</v>
      </c>
      <c r="F251">
        <v>3950</v>
      </c>
      <c r="G251">
        <v>0</v>
      </c>
      <c r="K251" s="7">
        <f>MATCH(MIN(Table4[[#This Row],[Cluster 1 Dist]:[Cluster 3 Dist]]),Table4[[#This Row],[Cluster 1 Dist]:[Cluster 3 Dist]],0)</f>
        <v>2</v>
      </c>
      <c r="L251">
        <f t="shared" si="14"/>
        <v>240</v>
      </c>
      <c r="M25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1151.3457343474201</v>
      </c>
      <c r="N25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308.51742252261863</v>
      </c>
      <c r="O25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904.09955204059247</v>
      </c>
      <c r="T251" s="7">
        <f>MATCH(MIN(Table48[[#This Row],[Cluster 1 Dist]:[Cluster 3 Dist]]),Table48[[#This Row],[Cluster 1 Dist]:[Cluster 3 Dist]],0)</f>
        <v>2</v>
      </c>
      <c r="U251">
        <f t="shared" si="15"/>
        <v>240</v>
      </c>
      <c r="V25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1360.2695777494241</v>
      </c>
      <c r="W25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68.971733269485085</v>
      </c>
      <c r="X25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841.86495390427388</v>
      </c>
      <c r="AA251" s="7">
        <f>MATCH(MIN(Table4810[[#This Row],[Cluster 1 Dist]:[Cluster 3 Dist]]),Table4810[[#This Row],[Cluster 1 Dist]:[Cluster 3 Dist]],0)</f>
        <v>2</v>
      </c>
      <c r="AB251">
        <f t="shared" si="16"/>
        <v>240</v>
      </c>
      <c r="AC25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1384.0573307580657</v>
      </c>
      <c r="AD25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273.92383607076573</v>
      </c>
      <c r="AE25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761.68153509654519</v>
      </c>
    </row>
    <row r="252" spans="2:31" x14ac:dyDescent="0.3">
      <c r="B252">
        <f t="shared" si="13"/>
        <v>250</v>
      </c>
      <c r="C252">
        <v>496</v>
      </c>
      <c r="D252">
        <v>16</v>
      </c>
      <c r="E252">
        <v>225</v>
      </c>
      <c r="F252">
        <v>5700</v>
      </c>
      <c r="G252">
        <v>1</v>
      </c>
      <c r="K252" s="7">
        <f>MATCH(MIN(Table4[[#This Row],[Cluster 1 Dist]:[Cluster 3 Dist]]),Table4[[#This Row],[Cluster 1 Dist]:[Cluster 3 Dist]],0)</f>
        <v>2</v>
      </c>
      <c r="L252">
        <f t="shared" si="14"/>
        <v>241</v>
      </c>
      <c r="M25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1501.4269879018427</v>
      </c>
      <c r="N25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654.55710216909267</v>
      </c>
      <c r="O25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1254.2065220688337</v>
      </c>
      <c r="T252" s="7">
        <f>MATCH(MIN(Table48[[#This Row],[Cluster 1 Dist]:[Cluster 3 Dist]]),Table48[[#This Row],[Cluster 1 Dist]:[Cluster 3 Dist]],0)</f>
        <v>2</v>
      </c>
      <c r="U252">
        <f t="shared" si="15"/>
        <v>241</v>
      </c>
      <c r="V25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1710.8380930749272</v>
      </c>
      <c r="W25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291.56663044696529</v>
      </c>
      <c r="X25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1192.3909356705913</v>
      </c>
      <c r="AA252" s="7">
        <f>MATCH(MIN(Table4810[[#This Row],[Cluster 1 Dist]:[Cluster 3 Dist]]),Table4810[[#This Row],[Cluster 1 Dist]:[Cluster 3 Dist]],0)</f>
        <v>2</v>
      </c>
      <c r="AB252">
        <f t="shared" si="16"/>
        <v>241</v>
      </c>
      <c r="AC25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1734.6589062153109</v>
      </c>
      <c r="AD25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84.263087812658426</v>
      </c>
      <c r="AE25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1112.2141704307805</v>
      </c>
    </row>
    <row r="253" spans="2:31" x14ac:dyDescent="0.3">
      <c r="B253">
        <f t="shared" si="13"/>
        <v>251</v>
      </c>
      <c r="C253">
        <v>453</v>
      </c>
      <c r="D253">
        <v>137</v>
      </c>
      <c r="E253">
        <v>210</v>
      </c>
      <c r="F253">
        <v>4300</v>
      </c>
      <c r="G253">
        <v>0</v>
      </c>
      <c r="K253" s="7">
        <f>MATCH(MIN(Table4[[#This Row],[Cluster 1 Dist]:[Cluster 3 Dist]]),Table4[[#This Row],[Cluster 1 Dist]:[Cluster 3 Dist]],0)</f>
        <v>2</v>
      </c>
      <c r="L253">
        <f t="shared" si="14"/>
        <v>242</v>
      </c>
      <c r="M25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2513.3384173246545</v>
      </c>
      <c r="N25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1671.7804879827972</v>
      </c>
      <c r="O25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2269.3772273467448</v>
      </c>
      <c r="T253" s="7">
        <f>MATCH(MIN(Table48[[#This Row],[Cluster 1 Dist]:[Cluster 3 Dist]]),Table48[[#This Row],[Cluster 1 Dist]:[Cluster 3 Dist]],0)</f>
        <v>2</v>
      </c>
      <c r="U253">
        <f t="shared" si="15"/>
        <v>242</v>
      </c>
      <c r="V25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2721.7033586773273</v>
      </c>
      <c r="W25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1308.623795673936</v>
      </c>
      <c r="X25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2206.2368997356343</v>
      </c>
      <c r="AA253" s="7">
        <f>MATCH(MIN(Table4810[[#This Row],[Cluster 1 Dist]:[Cluster 3 Dist]]),Table4810[[#This Row],[Cluster 1 Dist]:[Cluster 3 Dist]],0)</f>
        <v>2</v>
      </c>
      <c r="AB253">
        <f t="shared" si="16"/>
        <v>242</v>
      </c>
      <c r="AC25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2745.6932401013382</v>
      </c>
      <c r="AD25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1098.7284965193242</v>
      </c>
      <c r="AE25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2126.2583969101311</v>
      </c>
    </row>
    <row r="254" spans="2:31" x14ac:dyDescent="0.3">
      <c r="B254">
        <f t="shared" si="13"/>
        <v>252</v>
      </c>
      <c r="C254">
        <v>496</v>
      </c>
      <c r="D254">
        <v>15</v>
      </c>
      <c r="E254">
        <v>216</v>
      </c>
      <c r="F254">
        <v>4750</v>
      </c>
      <c r="G254">
        <v>1</v>
      </c>
      <c r="K254" s="7">
        <f>MATCH(MIN(Table4[[#This Row],[Cluster 1 Dist]:[Cluster 3 Dist]]),Table4[[#This Row],[Cluster 1 Dist]:[Cluster 3 Dist]],0)</f>
        <v>2</v>
      </c>
      <c r="L254">
        <f t="shared" si="14"/>
        <v>243</v>
      </c>
      <c r="M25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1603.1341179077938</v>
      </c>
      <c r="N25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757.08586038837097</v>
      </c>
      <c r="O25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1357.2007957557348</v>
      </c>
      <c r="T254" s="7">
        <f>MATCH(MIN(Table48[[#This Row],[Cluster 1 Dist]:[Cluster 3 Dist]]),Table48[[#This Row],[Cluster 1 Dist]:[Cluster 3 Dist]],0)</f>
        <v>2</v>
      </c>
      <c r="U254">
        <f t="shared" si="15"/>
        <v>243</v>
      </c>
      <c r="V25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1812.9982341077637</v>
      </c>
      <c r="W25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397.87755093087594</v>
      </c>
      <c r="X25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1295.3198173361179</v>
      </c>
      <c r="AA254" s="7">
        <f>MATCH(MIN(Table4810[[#This Row],[Cluster 1 Dist]:[Cluster 3 Dist]]),Table4810[[#This Row],[Cluster 1 Dist]:[Cluster 3 Dist]],0)</f>
        <v>2</v>
      </c>
      <c r="AB254">
        <f t="shared" si="16"/>
        <v>243</v>
      </c>
      <c r="AC25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1836.9335208554862</v>
      </c>
      <c r="AD25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192.39676333833236</v>
      </c>
      <c r="AE25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1215.2350738505506</v>
      </c>
    </row>
    <row r="255" spans="2:31" x14ac:dyDescent="0.3">
      <c r="B255">
        <f t="shared" si="13"/>
        <v>253</v>
      </c>
      <c r="C255">
        <v>505</v>
      </c>
      <c r="D255">
        <v>159</v>
      </c>
      <c r="E255">
        <v>222</v>
      </c>
      <c r="F255">
        <v>5550</v>
      </c>
      <c r="G255">
        <v>1</v>
      </c>
      <c r="K255" s="7">
        <f>MATCH(MIN(Table4[[#This Row],[Cluster 1 Dist]:[Cluster 3 Dist]]),Table4[[#This Row],[Cluster 1 Dist]:[Cluster 3 Dist]],0)</f>
        <v>2</v>
      </c>
      <c r="L255">
        <f t="shared" si="14"/>
        <v>244</v>
      </c>
      <c r="M25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1852.1560409425551</v>
      </c>
      <c r="N25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1003.9770913721089</v>
      </c>
      <c r="O25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1605.1682154839723</v>
      </c>
      <c r="T255" s="7">
        <f>MATCH(MIN(Table48[[#This Row],[Cluster 1 Dist]:[Cluster 3 Dist]]),Table48[[#This Row],[Cluster 1 Dist]:[Cluster 3 Dist]],0)</f>
        <v>2</v>
      </c>
      <c r="U255">
        <f t="shared" si="15"/>
        <v>244</v>
      </c>
      <c r="V25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2062.1645588034289</v>
      </c>
      <c r="W25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642.96611631008261</v>
      </c>
      <c r="X25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1543.7771861937349</v>
      </c>
      <c r="AA255" s="7">
        <f>MATCH(MIN(Table4810[[#This Row],[Cluster 1 Dist]:[Cluster 3 Dist]]),Table4810[[#This Row],[Cluster 1 Dist]:[Cluster 3 Dist]],0)</f>
        <v>2</v>
      </c>
      <c r="AB255">
        <f t="shared" si="16"/>
        <v>244</v>
      </c>
      <c r="AC25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2086.0365631146615</v>
      </c>
      <c r="AD25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432.56264985538871</v>
      </c>
      <c r="AE25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1463.6393613027251</v>
      </c>
    </row>
    <row r="256" spans="2:31" x14ac:dyDescent="0.3">
      <c r="B256">
        <f t="shared" si="13"/>
        <v>254</v>
      </c>
      <c r="C256">
        <v>436</v>
      </c>
      <c r="D256">
        <v>139</v>
      </c>
      <c r="E256">
        <v>217</v>
      </c>
      <c r="F256">
        <v>4900</v>
      </c>
      <c r="G256">
        <v>0</v>
      </c>
      <c r="K256" s="7">
        <f>MATCH(MIN(Table4[[#This Row],[Cluster 1 Dist]:[Cluster 3 Dist]]),Table4[[#This Row],[Cluster 1 Dist]:[Cluster 3 Dist]],0)</f>
        <v>2</v>
      </c>
      <c r="L256">
        <f t="shared" si="14"/>
        <v>245</v>
      </c>
      <c r="M25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1401.321519138274</v>
      </c>
      <c r="N25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555.40075621122446</v>
      </c>
      <c r="O25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1153.4136291894595</v>
      </c>
      <c r="T256" s="7">
        <f>MATCH(MIN(Table48[[#This Row],[Cluster 1 Dist]:[Cluster 3 Dist]]),Table48[[#This Row],[Cluster 1 Dist]:[Cluster 3 Dist]],0)</f>
        <v>2</v>
      </c>
      <c r="U256">
        <f t="shared" si="15"/>
        <v>245</v>
      </c>
      <c r="V25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1610.1214838755072</v>
      </c>
      <c r="W25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189.31455564825481</v>
      </c>
      <c r="X25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1091.4463800903118</v>
      </c>
      <c r="AA256" s="7">
        <f>MATCH(MIN(Table4810[[#This Row],[Cluster 1 Dist]:[Cluster 3 Dist]]),Table4810[[#This Row],[Cluster 1 Dist]:[Cluster 3 Dist]],0)</f>
        <v>2</v>
      </c>
      <c r="AB256">
        <f t="shared" si="16"/>
        <v>245</v>
      </c>
      <c r="AC25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1633.8614435025609</v>
      </c>
      <c r="AD25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27.006483656792383</v>
      </c>
      <c r="AE25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1011.2344596262536</v>
      </c>
    </row>
    <row r="257" spans="2:31" x14ac:dyDescent="0.3">
      <c r="B257">
        <f t="shared" si="13"/>
        <v>255</v>
      </c>
      <c r="C257">
        <v>455</v>
      </c>
      <c r="D257">
        <v>139</v>
      </c>
      <c r="E257">
        <v>210</v>
      </c>
      <c r="F257">
        <v>4200</v>
      </c>
      <c r="G257">
        <v>0</v>
      </c>
      <c r="K257" s="7">
        <f>MATCH(MIN(Table4[[#This Row],[Cluster 1 Dist]:[Cluster 3 Dist]]),Table4[[#This Row],[Cluster 1 Dist]:[Cluster 3 Dist]],0)</f>
        <v>2</v>
      </c>
      <c r="L257">
        <f t="shared" si="14"/>
        <v>246</v>
      </c>
      <c r="M25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1700.855373040283</v>
      </c>
      <c r="N25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851.75172438921425</v>
      </c>
      <c r="O25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1452.7167652367752</v>
      </c>
      <c r="T257" s="7">
        <f>MATCH(MIN(Table48[[#This Row],[Cluster 1 Dist]:[Cluster 3 Dist]]),Table48[[#This Row],[Cluster 1 Dist]:[Cluster 3 Dist]],0)</f>
        <v>2</v>
      </c>
      <c r="U257">
        <f t="shared" si="15"/>
        <v>246</v>
      </c>
      <c r="V25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1910.6328876111452</v>
      </c>
      <c r="W25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489.96947873230556</v>
      </c>
      <c r="X25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1391.6326693228107</v>
      </c>
      <c r="AA257" s="7">
        <f>MATCH(MIN(Table4810[[#This Row],[Cluster 1 Dist]:[Cluster 3 Dist]]),Table4810[[#This Row],[Cluster 1 Dist]:[Cluster 3 Dist]],0)</f>
        <v>2</v>
      </c>
      <c r="AB257">
        <f t="shared" si="16"/>
        <v>246</v>
      </c>
      <c r="AC25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1934.4033568516818</v>
      </c>
      <c r="AD25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279.86854941923212</v>
      </c>
      <c r="AE25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1311.4689397597829</v>
      </c>
    </row>
    <row r="258" spans="2:31" x14ac:dyDescent="0.3">
      <c r="B258">
        <f t="shared" si="13"/>
        <v>256</v>
      </c>
      <c r="C258">
        <v>505</v>
      </c>
      <c r="D258">
        <v>159</v>
      </c>
      <c r="E258">
        <v>225</v>
      </c>
      <c r="F258">
        <v>5400</v>
      </c>
      <c r="G258">
        <v>1</v>
      </c>
      <c r="K258" s="7">
        <f>MATCH(MIN(Table4[[#This Row],[Cluster 1 Dist]:[Cluster 3 Dist]]),Table4[[#This Row],[Cluster 1 Dist]:[Cluster 3 Dist]],0)</f>
        <v>2</v>
      </c>
      <c r="L258">
        <f t="shared" si="14"/>
        <v>247</v>
      </c>
      <c r="M25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879.86930847711699</v>
      </c>
      <c r="N25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380.07367706801267</v>
      </c>
      <c r="O25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638.80122103828194</v>
      </c>
      <c r="T258" s="7">
        <f>MATCH(MIN(Table48[[#This Row],[Cluster 1 Dist]:[Cluster 3 Dist]]),Table48[[#This Row],[Cluster 1 Dist]:[Cluster 3 Dist]],0)</f>
        <v>2</v>
      </c>
      <c r="U258">
        <f t="shared" si="15"/>
        <v>247</v>
      </c>
      <c r="V25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1062.7246956272595</v>
      </c>
      <c r="W25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545.5523143686305</v>
      </c>
      <c r="X25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591.52971236637393</v>
      </c>
      <c r="AA258" s="7">
        <f>MATCH(MIN(Table4810[[#This Row],[Cluster 1 Dist]:[Cluster 3 Dist]]),Table4810[[#This Row],[Cluster 1 Dist]:[Cluster 3 Dist]],0)</f>
        <v>3</v>
      </c>
      <c r="AB258">
        <f t="shared" si="16"/>
        <v>247</v>
      </c>
      <c r="AC25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1082.9021289627694</v>
      </c>
      <c r="AD25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725.95207738021884</v>
      </c>
      <c r="AE25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528.79749382770171</v>
      </c>
    </row>
    <row r="259" spans="2:31" x14ac:dyDescent="0.3">
      <c r="B259">
        <f t="shared" si="13"/>
        <v>257</v>
      </c>
      <c r="C259">
        <v>449</v>
      </c>
      <c r="D259">
        <v>133</v>
      </c>
      <c r="E259">
        <v>213</v>
      </c>
      <c r="F259">
        <v>5100</v>
      </c>
      <c r="G259">
        <v>0</v>
      </c>
      <c r="K259" s="7">
        <f>MATCH(MIN(Table4[[#This Row],[Cluster 1 Dist]:[Cluster 3 Dist]]),Table4[[#This Row],[Cluster 1 Dist]:[Cluster 3 Dist]],0)</f>
        <v>2</v>
      </c>
      <c r="L259">
        <f t="shared" si="14"/>
        <v>248</v>
      </c>
      <c r="M25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1802.2283429132947</v>
      </c>
      <c r="N25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954.49515451886919</v>
      </c>
      <c r="O25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1555.5204916683033</v>
      </c>
      <c r="T259" s="7">
        <f>MATCH(MIN(Table48[[#This Row],[Cluster 1 Dist]:[Cluster 3 Dist]]),Table48[[#This Row],[Cluster 1 Dist]:[Cluster 3 Dist]],0)</f>
        <v>2</v>
      </c>
      <c r="U259">
        <f t="shared" si="15"/>
        <v>248</v>
      </c>
      <c r="V25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2012.2323878559491</v>
      </c>
      <c r="W25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593.57111144885835</v>
      </c>
      <c r="X25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1494.0067031923497</v>
      </c>
      <c r="AA259" s="7">
        <f>MATCH(MIN(Table4810[[#This Row],[Cluster 1 Dist]:[Cluster 3 Dist]]),Table4810[[#This Row],[Cluster 1 Dist]:[Cluster 3 Dist]],0)</f>
        <v>2</v>
      </c>
      <c r="AB259">
        <f t="shared" si="16"/>
        <v>248</v>
      </c>
      <c r="AC25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2036.1206131629042</v>
      </c>
      <c r="AD25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383.40092327448014</v>
      </c>
      <c r="AE25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1413.8778282751243</v>
      </c>
    </row>
    <row r="260" spans="2:31" x14ac:dyDescent="0.3">
      <c r="B260">
        <f t="shared" si="13"/>
        <v>258</v>
      </c>
      <c r="C260">
        <v>452</v>
      </c>
      <c r="D260">
        <v>158</v>
      </c>
      <c r="E260">
        <v>215</v>
      </c>
      <c r="F260">
        <v>5300</v>
      </c>
      <c r="G260">
        <v>1</v>
      </c>
      <c r="K260" s="7">
        <f>MATCH(MIN(Table4[[#This Row],[Cluster 1 Dist]:[Cluster 3 Dist]]),Table4[[#This Row],[Cluster 1 Dist]:[Cluster 3 Dist]],0)</f>
        <v>3</v>
      </c>
      <c r="L260">
        <f t="shared" si="14"/>
        <v>249</v>
      </c>
      <c r="M26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404.31176089745401</v>
      </c>
      <c r="N26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456.44495834656777</v>
      </c>
      <c r="O26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174.02586014727811</v>
      </c>
      <c r="T260" s="7">
        <f>MATCH(MIN(Table48[[#This Row],[Cluster 1 Dist]:[Cluster 3 Dist]]),Table48[[#This Row],[Cluster 1 Dist]:[Cluster 3 Dist]],0)</f>
        <v>3</v>
      </c>
      <c r="U260">
        <f t="shared" si="15"/>
        <v>249</v>
      </c>
      <c r="V26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611.7120707358406</v>
      </c>
      <c r="W26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813.37430704229462</v>
      </c>
      <c r="X26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109.13360375882301</v>
      </c>
      <c r="AA260" s="7">
        <f>MATCH(MIN(Table4810[[#This Row],[Cluster 1 Dist]:[Cluster 3 Dist]]),Table4810[[#This Row],[Cluster 1 Dist]:[Cluster 3 Dist]],0)</f>
        <v>3</v>
      </c>
      <c r="AB260">
        <f t="shared" si="16"/>
        <v>249</v>
      </c>
      <c r="AC26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635.75116409742327</v>
      </c>
      <c r="AD26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1023.7055612757516</v>
      </c>
      <c r="AE26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59.135107229373318</v>
      </c>
    </row>
    <row r="261" spans="2:31" x14ac:dyDescent="0.3">
      <c r="B261">
        <f t="shared" si="13"/>
        <v>259</v>
      </c>
      <c r="C261">
        <v>466</v>
      </c>
      <c r="D261">
        <v>142</v>
      </c>
      <c r="E261">
        <v>210</v>
      </c>
      <c r="F261">
        <v>4850</v>
      </c>
      <c r="G261">
        <v>0</v>
      </c>
      <c r="K261" s="7">
        <f>MATCH(MIN(Table4[[#This Row],[Cluster 1 Dist]:[Cluster 3 Dist]]),Table4[[#This Row],[Cluster 1 Dist]:[Cluster 3 Dist]],0)</f>
        <v>2</v>
      </c>
      <c r="L261">
        <f t="shared" si="14"/>
        <v>250</v>
      </c>
      <c r="M26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2158.9960629885363</v>
      </c>
      <c r="N26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1317.5029411731878</v>
      </c>
      <c r="O26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1913.3622239398373</v>
      </c>
      <c r="T261" s="7">
        <f>MATCH(MIN(Table48[[#This Row],[Cluster 1 Dist]:[Cluster 3 Dist]]),Table48[[#This Row],[Cluster 1 Dist]:[Cluster 3 Dist]],0)</f>
        <v>2</v>
      </c>
      <c r="U261">
        <f t="shared" si="15"/>
        <v>250</v>
      </c>
      <c r="V26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2366.3811011901248</v>
      </c>
      <c r="W26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951.27461183346554</v>
      </c>
      <c r="X26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1850.08978177067</v>
      </c>
      <c r="AA261" s="7">
        <f>MATCH(MIN(Table4810[[#This Row],[Cluster 1 Dist]:[Cluster 3 Dist]]),Table4810[[#This Row],[Cluster 1 Dist]:[Cluster 3 Dist]],0)</f>
        <v>2</v>
      </c>
      <c r="AB261">
        <f t="shared" si="16"/>
        <v>250</v>
      </c>
      <c r="AC26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2390.1919786546732</v>
      </c>
      <c r="AD26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741.75436765840936</v>
      </c>
      <c r="AE26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1770.0288103526616</v>
      </c>
    </row>
    <row r="262" spans="2:31" x14ac:dyDescent="0.3">
      <c r="B262">
        <f t="shared" si="13"/>
        <v>260</v>
      </c>
      <c r="C262">
        <v>485</v>
      </c>
      <c r="D262">
        <v>141</v>
      </c>
      <c r="E262">
        <v>220</v>
      </c>
      <c r="F262">
        <v>5300</v>
      </c>
      <c r="G262">
        <v>1</v>
      </c>
      <c r="K262" s="7">
        <f>MATCH(MIN(Table4[[#This Row],[Cluster 1 Dist]:[Cluster 3 Dist]]),Table4[[#This Row],[Cluster 1 Dist]:[Cluster 3 Dist]],0)</f>
        <v>2</v>
      </c>
      <c r="L262">
        <f t="shared" si="14"/>
        <v>251</v>
      </c>
      <c r="M26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753.55159080185081</v>
      </c>
      <c r="N26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131.53706701914862</v>
      </c>
      <c r="O26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511.72746652881551</v>
      </c>
      <c r="T262" s="7">
        <f>MATCH(MIN(Table48[[#This Row],[Cluster 1 Dist]:[Cluster 3 Dist]]),Table48[[#This Row],[Cluster 1 Dist]:[Cluster 3 Dist]],0)</f>
        <v>3</v>
      </c>
      <c r="U262">
        <f t="shared" si="15"/>
        <v>251</v>
      </c>
      <c r="V26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962.52098542469196</v>
      </c>
      <c r="W26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465.98608421632724</v>
      </c>
      <c r="X26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447.93172379691265</v>
      </c>
      <c r="AA262" s="7">
        <f>MATCH(MIN(Table4810[[#This Row],[Cluster 1 Dist]:[Cluster 3 Dist]]),Table4810[[#This Row],[Cluster 1 Dist]:[Cluster 3 Dist]],0)</f>
        <v>3</v>
      </c>
      <c r="AB262">
        <f t="shared" si="16"/>
        <v>251</v>
      </c>
      <c r="AC26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986.54554272401447</v>
      </c>
      <c r="AD26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674.69411193521796</v>
      </c>
      <c r="AE26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368.76675936395276</v>
      </c>
    </row>
    <row r="263" spans="2:31" x14ac:dyDescent="0.3">
      <c r="B263">
        <f t="shared" ref="B263:B272" si="17">1+B262</f>
        <v>261</v>
      </c>
      <c r="C263">
        <v>451</v>
      </c>
      <c r="D263">
        <v>144</v>
      </c>
      <c r="E263">
        <v>210</v>
      </c>
      <c r="F263">
        <v>4400</v>
      </c>
      <c r="G263">
        <v>0</v>
      </c>
      <c r="K263" s="7">
        <f>MATCH(MIN(Table4[[#This Row],[Cluster 1 Dist]:[Cluster 3 Dist]]),Table4[[#This Row],[Cluster 1 Dist]:[Cluster 3 Dist]],0)</f>
        <v>2</v>
      </c>
      <c r="L263">
        <f t="shared" si="14"/>
        <v>252</v>
      </c>
      <c r="M26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1215.9070688173501</v>
      </c>
      <c r="N26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410.1780101370623</v>
      </c>
      <c r="O26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976.35290750834554</v>
      </c>
      <c r="T263" s="7">
        <f>MATCH(MIN(Table48[[#This Row],[Cluster 1 Dist]:[Cluster 3 Dist]]),Table48[[#This Row],[Cluster 1 Dist]:[Cluster 3 Dist]],0)</f>
        <v>2</v>
      </c>
      <c r="U263">
        <f t="shared" si="15"/>
        <v>252</v>
      </c>
      <c r="V26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1421.1578580453088</v>
      </c>
      <c r="W26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163.88815610949226</v>
      </c>
      <c r="X26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910.9545703182315</v>
      </c>
      <c r="AA263" s="7">
        <f>MATCH(MIN(Table4810[[#This Row],[Cluster 1 Dist]:[Cluster 3 Dist]]),Table4810[[#This Row],[Cluster 1 Dist]:[Cluster 3 Dist]],0)</f>
        <v>2</v>
      </c>
      <c r="AB263">
        <f t="shared" si="16"/>
        <v>252</v>
      </c>
      <c r="AC26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1445.08074817229</v>
      </c>
      <c r="AD26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269.44363178121273</v>
      </c>
      <c r="AE26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832.01922422409098</v>
      </c>
    </row>
    <row r="264" spans="2:31" x14ac:dyDescent="0.3">
      <c r="B264">
        <f t="shared" si="17"/>
        <v>262</v>
      </c>
      <c r="C264">
        <v>501</v>
      </c>
      <c r="D264">
        <v>15</v>
      </c>
      <c r="E264">
        <v>225</v>
      </c>
      <c r="F264">
        <v>5000</v>
      </c>
      <c r="G264">
        <v>1</v>
      </c>
      <c r="K264" s="7">
        <f>MATCH(MIN(Table4[[#This Row],[Cluster 1 Dist]:[Cluster 3 Dist]]),Table4[[#This Row],[Cluster 1 Dist]:[Cluster 3 Dist]],0)</f>
        <v>2</v>
      </c>
      <c r="L264">
        <f t="shared" si="14"/>
        <v>253</v>
      </c>
      <c r="M26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2003.010484246151</v>
      </c>
      <c r="N26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1155.1610277359603</v>
      </c>
      <c r="O26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1756.4122522915854</v>
      </c>
      <c r="T264" s="7">
        <f>MATCH(MIN(Table48[[#This Row],[Cluster 1 Dist]:[Cluster 3 Dist]]),Table48[[#This Row],[Cluster 1 Dist]:[Cluster 3 Dist]],0)</f>
        <v>2</v>
      </c>
      <c r="U264">
        <f t="shared" si="15"/>
        <v>253</v>
      </c>
      <c r="V26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2213.092637265845</v>
      </c>
      <c r="W26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794.32273349104935</v>
      </c>
      <c r="X26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1694.9480482677136</v>
      </c>
      <c r="AA264" s="7">
        <f>MATCH(MIN(Table4810[[#This Row],[Cluster 1 Dist]:[Cluster 3 Dist]]),Table4810[[#This Row],[Cluster 1 Dist]:[Cluster 3 Dist]],0)</f>
        <v>2</v>
      </c>
      <c r="AB264">
        <f t="shared" si="16"/>
        <v>253</v>
      </c>
      <c r="AC26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2236.9984303601641</v>
      </c>
      <c r="AD26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583.72863325589265</v>
      </c>
      <c r="AE26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1614.8247491386919</v>
      </c>
    </row>
    <row r="265" spans="2:31" x14ac:dyDescent="0.3">
      <c r="B265">
        <f t="shared" si="17"/>
        <v>263</v>
      </c>
      <c r="C265">
        <v>465</v>
      </c>
      <c r="D265">
        <v>144</v>
      </c>
      <c r="E265">
        <v>217</v>
      </c>
      <c r="F265">
        <v>4900</v>
      </c>
      <c r="G265">
        <v>0</v>
      </c>
      <c r="K265" s="7">
        <f>MATCH(MIN(Table4[[#This Row],[Cluster 1 Dist]:[Cluster 3 Dist]]),Table4[[#This Row],[Cluster 1 Dist]:[Cluster 3 Dist]],0)</f>
        <v>2</v>
      </c>
      <c r="L265">
        <f t="shared" si="14"/>
        <v>254</v>
      </c>
      <c r="M26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1351.5790764879428</v>
      </c>
      <c r="N26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506.16005373794565</v>
      </c>
      <c r="O26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1104.171635208947</v>
      </c>
      <c r="T265" s="7">
        <f>MATCH(MIN(Table48[[#This Row],[Cluster 1 Dist]:[Cluster 3 Dist]]),Table48[[#This Row],[Cluster 1 Dist]:[Cluster 3 Dist]],0)</f>
        <v>2</v>
      </c>
      <c r="U265">
        <f t="shared" si="15"/>
        <v>254</v>
      </c>
      <c r="V26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1560.5527902058564</v>
      </c>
      <c r="W26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142.42288512742223</v>
      </c>
      <c r="X26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1042.1033403846361</v>
      </c>
      <c r="AA265" s="7">
        <f>MATCH(MIN(Table4810[[#This Row],[Cluster 1 Dist]:[Cluster 3 Dist]]),Table4810[[#This Row],[Cluster 1 Dist]:[Cluster 3 Dist]],0)</f>
        <v>2</v>
      </c>
      <c r="AB265">
        <f t="shared" si="16"/>
        <v>254</v>
      </c>
      <c r="AC26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1584.3396646824226</v>
      </c>
      <c r="AD26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77.158310984787207</v>
      </c>
      <c r="AE26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961.90971210418854</v>
      </c>
    </row>
    <row r="266" spans="2:31" x14ac:dyDescent="0.3">
      <c r="B266">
        <f t="shared" si="17"/>
        <v>264</v>
      </c>
      <c r="C266">
        <v>45</v>
      </c>
      <c r="D266">
        <v>154</v>
      </c>
      <c r="E266">
        <v>220</v>
      </c>
      <c r="F266">
        <v>5050</v>
      </c>
      <c r="G266">
        <v>1</v>
      </c>
      <c r="K266" s="7">
        <f>MATCH(MIN(Table4[[#This Row],[Cluster 1 Dist]:[Cluster 3 Dist]]),Table4[[#This Row],[Cluster 1 Dist]:[Cluster 3 Dist]],0)</f>
        <v>2</v>
      </c>
      <c r="L266">
        <f t="shared" si="14"/>
        <v>255</v>
      </c>
      <c r="M26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654.09479435323442</v>
      </c>
      <c r="N26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217.1957642312575</v>
      </c>
      <c r="O26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414.73003267185749</v>
      </c>
      <c r="T266" s="7">
        <f>MATCH(MIN(Table48[[#This Row],[Cluster 1 Dist]:[Cluster 3 Dist]]),Table48[[#This Row],[Cluster 1 Dist]:[Cluster 3 Dist]],0)</f>
        <v>3</v>
      </c>
      <c r="U266">
        <f t="shared" si="15"/>
        <v>255</v>
      </c>
      <c r="V26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863.06340749838182</v>
      </c>
      <c r="W26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565.59305682689455</v>
      </c>
      <c r="X26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350.5970019197286</v>
      </c>
      <c r="AA266" s="7">
        <f>MATCH(MIN(Table4810[[#This Row],[Cluster 1 Dist]:[Cluster 3 Dist]]),Table4810[[#This Row],[Cluster 1 Dist]:[Cluster 3 Dist]],0)</f>
        <v>3</v>
      </c>
      <c r="AB266">
        <f t="shared" si="16"/>
        <v>255</v>
      </c>
      <c r="AC26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887.14702670924567</v>
      </c>
      <c r="AD26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774.64666768052746</v>
      </c>
      <c r="AE26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272.55379364602334</v>
      </c>
    </row>
    <row r="267" spans="2:31" x14ac:dyDescent="0.3">
      <c r="B267">
        <f t="shared" si="17"/>
        <v>265</v>
      </c>
      <c r="C267">
        <v>438</v>
      </c>
      <c r="D267">
        <v>139</v>
      </c>
      <c r="E267">
        <v>208</v>
      </c>
      <c r="F267">
        <v>4300</v>
      </c>
      <c r="G267">
        <v>0</v>
      </c>
      <c r="K267" s="7">
        <f>MATCH(MIN(Table4[[#This Row],[Cluster 1 Dist]:[Cluster 3 Dist]]),Table4[[#This Row],[Cluster 1 Dist]:[Cluster 3 Dist]],0)</f>
        <v>2</v>
      </c>
      <c r="L267">
        <f t="shared" si="14"/>
        <v>256</v>
      </c>
      <c r="M26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1853.3197241706569</v>
      </c>
      <c r="N26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1006.0159044468433</v>
      </c>
      <c r="O26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1607.0734270717066</v>
      </c>
      <c r="T267" s="7">
        <f>MATCH(MIN(Table48[[#This Row],[Cluster 1 Dist]:[Cluster 3 Dist]]),Table48[[#This Row],[Cluster 1 Dist]:[Cluster 3 Dist]],0)</f>
        <v>2</v>
      </c>
      <c r="U267">
        <f t="shared" si="15"/>
        <v>256</v>
      </c>
      <c r="V26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2063.4341682192912</v>
      </c>
      <c r="W26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646.08217681508461</v>
      </c>
      <c r="X26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1545.5201160721506</v>
      </c>
      <c r="AA267" s="7">
        <f>MATCH(MIN(Table4810[[#This Row],[Cluster 1 Dist]:[Cluster 3 Dist]]),Table4810[[#This Row],[Cluster 1 Dist]:[Cluster 3 Dist]],0)</f>
        <v>2</v>
      </c>
      <c r="AB267">
        <f t="shared" si="16"/>
        <v>256</v>
      </c>
      <c r="AC26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2087.3643562384377</v>
      </c>
      <c r="AD26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436.38195789148216</v>
      </c>
      <c r="AE26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1465.4246675094307</v>
      </c>
    </row>
    <row r="268" spans="2:31" x14ac:dyDescent="0.3">
      <c r="B268">
        <f t="shared" si="17"/>
        <v>266</v>
      </c>
      <c r="C268">
        <v>455</v>
      </c>
      <c r="D268">
        <v>15</v>
      </c>
      <c r="E268">
        <v>220</v>
      </c>
      <c r="F268">
        <v>5000</v>
      </c>
      <c r="G268">
        <v>1</v>
      </c>
      <c r="K268" s="7">
        <f>MATCH(MIN(Table4[[#This Row],[Cluster 1 Dist]:[Cluster 3 Dist]]),Table4[[#This Row],[Cluster 1 Dist]:[Cluster 3 Dist]],0)</f>
        <v>2</v>
      </c>
      <c r="L268">
        <f t="shared" si="14"/>
        <v>257</v>
      </c>
      <c r="M26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1551.7921896955147</v>
      </c>
      <c r="N26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705.4821046631871</v>
      </c>
      <c r="O26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1304.5190684692961</v>
      </c>
      <c r="T268" s="7">
        <f>MATCH(MIN(Table48[[#This Row],[Cluster 1 Dist]:[Cluster 3 Dist]]),Table48[[#This Row],[Cluster 1 Dist]:[Cluster 3 Dist]],0)</f>
        <v>2</v>
      </c>
      <c r="U268">
        <f t="shared" si="15"/>
        <v>257</v>
      </c>
      <c r="V26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1760.8739195394521</v>
      </c>
      <c r="W26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340.99959494488184</v>
      </c>
      <c r="X26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1242.5038432987824</v>
      </c>
      <c r="AA268" s="7">
        <f>MATCH(MIN(Table4810[[#This Row],[Cluster 1 Dist]:[Cluster 3 Dist]]),Table4810[[#This Row],[Cluster 1 Dist]:[Cluster 3 Dist]],0)</f>
        <v>2</v>
      </c>
      <c r="AB268">
        <f t="shared" si="16"/>
        <v>257</v>
      </c>
      <c r="AC26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1784.6774642346109</v>
      </c>
      <c r="AD26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131.15793896682413</v>
      </c>
      <c r="AE26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1162.311415918168</v>
      </c>
    </row>
    <row r="269" spans="2:31" x14ac:dyDescent="0.3">
      <c r="B269">
        <f t="shared" si="17"/>
        <v>267</v>
      </c>
      <c r="C269">
        <v>432</v>
      </c>
      <c r="D269">
        <v>145</v>
      </c>
      <c r="E269">
        <v>208</v>
      </c>
      <c r="F269">
        <v>4450</v>
      </c>
      <c r="G269">
        <v>0</v>
      </c>
      <c r="K269" s="7">
        <f>MATCH(MIN(Table4[[#This Row],[Cluster 1 Dist]:[Cluster 3 Dist]]),Table4[[#This Row],[Cluster 1 Dist]:[Cluster 3 Dist]],0)</f>
        <v>2</v>
      </c>
      <c r="L269">
        <f t="shared" si="14"/>
        <v>258</v>
      </c>
      <c r="M26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1751.120783955236</v>
      </c>
      <c r="N26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902.62395270677371</v>
      </c>
      <c r="O26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1503.3013669919947</v>
      </c>
      <c r="T269" s="7">
        <f>MATCH(MIN(Table48[[#This Row],[Cluster 1 Dist]:[Cluster 3 Dist]]),Table48[[#This Row],[Cluster 1 Dist]:[Cluster 3 Dist]],0)</f>
        <v>2</v>
      </c>
      <c r="U269">
        <f t="shared" si="15"/>
        <v>258</v>
      </c>
      <c r="V26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1960.7338043251366</v>
      </c>
      <c r="W26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539.80794255149908</v>
      </c>
      <c r="X26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1441.9236062727218</v>
      </c>
      <c r="AA269" s="7">
        <f>MATCH(MIN(Table4810[[#This Row],[Cluster 1 Dist]:[Cluster 3 Dist]]),Table4810[[#This Row],[Cluster 1 Dist]:[Cluster 3 Dist]],0)</f>
        <v>2</v>
      </c>
      <c r="AB269">
        <f t="shared" si="16"/>
        <v>258</v>
      </c>
      <c r="AC26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1984.5237078450475</v>
      </c>
      <c r="AD26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328.91208305363716</v>
      </c>
      <c r="AE26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1361.7408497432289</v>
      </c>
    </row>
    <row r="270" spans="2:31" x14ac:dyDescent="0.3">
      <c r="B270">
        <f t="shared" si="17"/>
        <v>268</v>
      </c>
      <c r="C270">
        <v>504</v>
      </c>
      <c r="D270">
        <v>153</v>
      </c>
      <c r="E270">
        <v>224</v>
      </c>
      <c r="F270">
        <v>5550</v>
      </c>
      <c r="G270">
        <v>1</v>
      </c>
      <c r="K270" s="7">
        <f>MATCH(MIN(Table4[[#This Row],[Cluster 1 Dist]:[Cluster 3 Dist]]),Table4[[#This Row],[Cluster 1 Dist]:[Cluster 3 Dist]],0)</f>
        <v>2</v>
      </c>
      <c r="L270">
        <f t="shared" si="14"/>
        <v>259</v>
      </c>
      <c r="M27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1302.4077702470913</v>
      </c>
      <c r="N27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458.58041824744328</v>
      </c>
      <c r="O27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1056.5599840993411</v>
      </c>
      <c r="T270" s="7">
        <f>MATCH(MIN(Table48[[#This Row],[Cluster 1 Dist]:[Cluster 3 Dist]]),Table48[[#This Row],[Cluster 1 Dist]:[Cluster 3 Dist]],0)</f>
        <v>2</v>
      </c>
      <c r="U270">
        <f t="shared" si="15"/>
        <v>259</v>
      </c>
      <c r="V27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1511.943154331</v>
      </c>
      <c r="W27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109.29549821832167</v>
      </c>
      <c r="X27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994.33154892303094</v>
      </c>
      <c r="AA270" s="7">
        <f>MATCH(MIN(Table4810[[#This Row],[Cluster 1 Dist]:[Cluster 3 Dist]]),Table4810[[#This Row],[Cluster 1 Dist]:[Cluster 3 Dist]],0)</f>
        <v>2</v>
      </c>
      <c r="AB270">
        <f t="shared" si="16"/>
        <v>259</v>
      </c>
      <c r="AC27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1535.8567426539419</v>
      </c>
      <c r="AD27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133.56731213823741</v>
      </c>
      <c r="AE27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914.25229869491409</v>
      </c>
    </row>
    <row r="271" spans="2:31" x14ac:dyDescent="0.3">
      <c r="B271">
        <f t="shared" si="17"/>
        <v>269</v>
      </c>
      <c r="C271">
        <v>453</v>
      </c>
      <c r="D271">
        <v>138</v>
      </c>
      <c r="E271">
        <v>208</v>
      </c>
      <c r="F271">
        <v>4200</v>
      </c>
      <c r="G271">
        <v>0</v>
      </c>
      <c r="K271" s="7">
        <f>MATCH(MIN(Table4[[#This Row],[Cluster 1 Dist]:[Cluster 3 Dist]]),Table4[[#This Row],[Cluster 1 Dist]:[Cluster 3 Dist]],0)</f>
        <v>2</v>
      </c>
      <c r="L271">
        <f t="shared" si="14"/>
        <v>260</v>
      </c>
      <c r="M27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1752.7506953357629</v>
      </c>
      <c r="N27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905.92990898854862</v>
      </c>
      <c r="O27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1506.220435394501</v>
      </c>
      <c r="T271" s="7">
        <f>MATCH(MIN(Table48[[#This Row],[Cluster 1 Dist]:[Cluster 3 Dist]]),Table48[[#This Row],[Cluster 1 Dist]:[Cluster 3 Dist]],0)</f>
        <v>2</v>
      </c>
      <c r="U271">
        <f t="shared" si="15"/>
        <v>260</v>
      </c>
      <c r="V27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1962.3893370096521</v>
      </c>
      <c r="W27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543.9937126439404</v>
      </c>
      <c r="X27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1444.3657928202911</v>
      </c>
      <c r="AA271" s="7">
        <f>MATCH(MIN(Table4810[[#This Row],[Cluster 1 Dist]:[Cluster 3 Dist]]),Table4810[[#This Row],[Cluster 1 Dist]:[Cluster 3 Dist]],0)</f>
        <v>2</v>
      </c>
      <c r="AB271">
        <f t="shared" si="16"/>
        <v>260</v>
      </c>
      <c r="AC27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1986.2780627724883</v>
      </c>
      <c r="AD27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333.94232053930494</v>
      </c>
      <c r="AE27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1364.2224783483225</v>
      </c>
    </row>
    <row r="272" spans="2:31" x14ac:dyDescent="0.3">
      <c r="B272">
        <f t="shared" si="17"/>
        <v>270</v>
      </c>
      <c r="C272">
        <v>462</v>
      </c>
      <c r="D272">
        <v>149</v>
      </c>
      <c r="E272">
        <v>221</v>
      </c>
      <c r="F272">
        <v>5300</v>
      </c>
      <c r="G272">
        <v>1</v>
      </c>
      <c r="K272" s="7">
        <f>MATCH(MIN(Table4[[#This Row],[Cluster 1 Dist]:[Cluster 3 Dist]]),Table4[[#This Row],[Cluster 1 Dist]:[Cluster 3 Dist]],0)</f>
        <v>2</v>
      </c>
      <c r="L272">
        <f t="shared" ref="L272:L281" si="18">1+L271</f>
        <v>261</v>
      </c>
      <c r="M272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852.65409164560981</v>
      </c>
      <c r="N272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78.47929663293371</v>
      </c>
      <c r="O272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608.88915247358443</v>
      </c>
      <c r="T272" s="7">
        <f>MATCH(MIN(Table48[[#This Row],[Cluster 1 Dist]:[Cluster 3 Dist]]),Table48[[#This Row],[Cluster 1 Dist]:[Cluster 3 Dist]],0)</f>
        <v>2</v>
      </c>
      <c r="U272">
        <f t="shared" ref="U272:U281" si="19">1+U271</f>
        <v>261</v>
      </c>
      <c r="V272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1061.9721937566035</v>
      </c>
      <c r="W272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366.43010354264834</v>
      </c>
      <c r="X272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545.79436267382869</v>
      </c>
      <c r="AA272" s="7">
        <f>MATCH(MIN(Table4810[[#This Row],[Cluster 1 Dist]:[Cluster 3 Dist]]),Table4810[[#This Row],[Cluster 1 Dist]:[Cluster 3 Dist]],0)</f>
        <v>3</v>
      </c>
      <c r="AB272">
        <f t="shared" ref="AB272:AB281" si="20">1+AB271</f>
        <v>261</v>
      </c>
      <c r="AC272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1085.9501646219928</v>
      </c>
      <c r="AD272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574.7388395794635</v>
      </c>
      <c r="AE272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466.10852910779221</v>
      </c>
    </row>
    <row r="273" spans="11:31" x14ac:dyDescent="0.3">
      <c r="K273" s="7">
        <f>MATCH(MIN(Table4[[#This Row],[Cluster 1 Dist]:[Cluster 3 Dist]]),Table4[[#This Row],[Cluster 1 Dist]:[Cluster 3 Dist]],0)</f>
        <v>2</v>
      </c>
      <c r="L273">
        <f t="shared" si="18"/>
        <v>262</v>
      </c>
      <c r="M273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1463.7383645993571</v>
      </c>
      <c r="N273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638.01253906173349</v>
      </c>
      <c r="O273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1221.7483374246924</v>
      </c>
      <c r="T273" s="7">
        <f>MATCH(MIN(Table48[[#This Row],[Cluster 1 Dist]:[Cluster 3 Dist]]),Table48[[#This Row],[Cluster 1 Dist]:[Cluster 3 Dist]],0)</f>
        <v>2</v>
      </c>
      <c r="U273">
        <f t="shared" si="19"/>
        <v>262</v>
      </c>
      <c r="V273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1669.8889580542188</v>
      </c>
      <c r="W273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290.15011647284769</v>
      </c>
      <c r="X273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1157.0990205982323</v>
      </c>
      <c r="AA273" s="7">
        <f>MATCH(MIN(Table4810[[#This Row],[Cluster 1 Dist]:[Cluster 3 Dist]]),Table4810[[#This Row],[Cluster 1 Dist]:[Cluster 3 Dist]],0)</f>
        <v>2</v>
      </c>
      <c r="AB273">
        <f t="shared" si="20"/>
        <v>262</v>
      </c>
      <c r="AC273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1693.7927723587402</v>
      </c>
      <c r="AD273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156.08763615195343</v>
      </c>
      <c r="AE273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1077.5810516206157</v>
      </c>
    </row>
    <row r="274" spans="11:31" x14ac:dyDescent="0.3">
      <c r="K274" s="7">
        <f>MATCH(MIN(Table4[[#This Row],[Cluster 1 Dist]:[Cluster 3 Dist]]),Table4[[#This Row],[Cluster 1 Dist]:[Cluster 3 Dist]],0)</f>
        <v>2</v>
      </c>
      <c r="L274">
        <f t="shared" si="18"/>
        <v>263</v>
      </c>
      <c r="M274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1352.3690324759732</v>
      </c>
      <c r="N274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507.61993656671916</v>
      </c>
      <c r="O274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1106.2255647018831</v>
      </c>
      <c r="T274" s="7">
        <f>MATCH(MIN(Table48[[#This Row],[Cluster 1 Dist]:[Cluster 3 Dist]]),Table48[[#This Row],[Cluster 1 Dist]:[Cluster 3 Dist]],0)</f>
        <v>2</v>
      </c>
      <c r="U274">
        <f t="shared" si="19"/>
        <v>263</v>
      </c>
      <c r="V274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1561.8929142760551</v>
      </c>
      <c r="W274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152.09819974751429</v>
      </c>
      <c r="X274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1044.1039907353043</v>
      </c>
      <c r="AA274" s="7">
        <f>MATCH(MIN(Table4810[[#This Row],[Cluster 1 Dist]:[Cluster 3 Dist]]),Table4810[[#This Row],[Cluster 1 Dist]:[Cluster 3 Dist]],0)</f>
        <v>2</v>
      </c>
      <c r="AB274">
        <f t="shared" si="20"/>
        <v>263</v>
      </c>
      <c r="AC274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1585.7917783840221</v>
      </c>
      <c r="AD274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89.323374477220327</v>
      </c>
      <c r="AE274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964.00088369470518</v>
      </c>
    </row>
    <row r="275" spans="11:31" x14ac:dyDescent="0.3">
      <c r="K275" s="7">
        <f>MATCH(MIN(Table4[[#This Row],[Cluster 1 Dist]:[Cluster 3 Dist]]),Table4[[#This Row],[Cluster 1 Dist]:[Cluster 3 Dist]],0)</f>
        <v>2</v>
      </c>
      <c r="L275">
        <f t="shared" si="18"/>
        <v>264</v>
      </c>
      <c r="M275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1543.6042238864209</v>
      </c>
      <c r="N275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749.53185389281487</v>
      </c>
      <c r="O275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1290.8156336208513</v>
      </c>
      <c r="T275" s="7">
        <f>MATCH(MIN(Table48[[#This Row],[Cluster 1 Dist]:[Cluster 3 Dist]]),Table48[[#This Row],[Cluster 1 Dist]:[Cluster 3 Dist]],0)</f>
        <v>2</v>
      </c>
      <c r="U275">
        <f t="shared" si="19"/>
        <v>264</v>
      </c>
      <c r="V275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1741.1954157031737</v>
      </c>
      <c r="W275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457.2121731508534</v>
      </c>
      <c r="X275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1234.6819141720973</v>
      </c>
      <c r="AA275" s="7">
        <f>MATCH(MIN(Table4810[[#This Row],[Cluster 1 Dist]:[Cluster 3 Dist]]),Table4810[[#This Row],[Cluster 1 Dist]:[Cluster 3 Dist]],0)</f>
        <v>2</v>
      </c>
      <c r="AB275">
        <f t="shared" si="20"/>
        <v>264</v>
      </c>
      <c r="AC275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1762.9542458855851</v>
      </c>
      <c r="AD275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378.78722406967307</v>
      </c>
      <c r="AE275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1158.4614299650004</v>
      </c>
    </row>
    <row r="276" spans="11:31" x14ac:dyDescent="0.3">
      <c r="K276" s="7">
        <f>MATCH(MIN(Table4[[#This Row],[Cluster 1 Dist]:[Cluster 3 Dist]]),Table4[[#This Row],[Cluster 1 Dist]:[Cluster 3 Dist]],0)</f>
        <v>2</v>
      </c>
      <c r="L276">
        <f t="shared" si="18"/>
        <v>265</v>
      </c>
      <c r="M276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752.56826932843774</v>
      </c>
      <c r="N276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126.40806936267953</v>
      </c>
      <c r="O276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509.00491156765867</v>
      </c>
      <c r="T276" s="7">
        <f>MATCH(MIN(Table48[[#This Row],[Cluster 1 Dist]:[Cluster 3 Dist]]),Table48[[#This Row],[Cluster 1 Dist]:[Cluster 3 Dist]],0)</f>
        <v>3</v>
      </c>
      <c r="U276">
        <f t="shared" si="19"/>
        <v>265</v>
      </c>
      <c r="V276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961.36886356245407</v>
      </c>
      <c r="W276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464.47561296552664</v>
      </c>
      <c r="X276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445.34038415026123</v>
      </c>
      <c r="AA276" s="7">
        <f>MATCH(MIN(Table4810[[#This Row],[Cluster 1 Dist]:[Cluster 3 Dist]]),Table4810[[#This Row],[Cluster 1 Dist]:[Cluster 3 Dist]],0)</f>
        <v>3</v>
      </c>
      <c r="AB276">
        <f t="shared" si="20"/>
        <v>265</v>
      </c>
      <c r="AC276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985.31181294968007</v>
      </c>
      <c r="AD276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674.01050316644364</v>
      </c>
      <c r="AE276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365.75469134429829</v>
      </c>
    </row>
    <row r="277" spans="11:31" x14ac:dyDescent="0.3">
      <c r="K277" s="7">
        <f>MATCH(MIN(Table4[[#This Row],[Cluster 1 Dist]:[Cluster 3 Dist]]),Table4[[#This Row],[Cluster 1 Dist]:[Cluster 3 Dist]],0)</f>
        <v>2</v>
      </c>
      <c r="L277">
        <f t="shared" si="18"/>
        <v>266</v>
      </c>
      <c r="M277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1461.3387697587441</v>
      </c>
      <c r="N277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633.09162054160845</v>
      </c>
      <c r="O277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1217.2772896920405</v>
      </c>
      <c r="T277" s="7">
        <f>MATCH(MIN(Table48[[#This Row],[Cluster 1 Dist]:[Cluster 3 Dist]]),Table48[[#This Row],[Cluster 1 Dist]:[Cluster 3 Dist]],0)</f>
        <v>2</v>
      </c>
      <c r="U277">
        <f t="shared" si="19"/>
        <v>266</v>
      </c>
      <c r="V277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1666.9849123156364</v>
      </c>
      <c r="W277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277.25866499882358</v>
      </c>
      <c r="X277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1152.8408020615682</v>
      </c>
      <c r="AA277" s="7">
        <f>MATCH(MIN(Table4810[[#This Row],[Cluster 1 Dist]:[Cluster 3 Dist]]),Table4810[[#This Row],[Cluster 1 Dist]:[Cluster 3 Dist]],0)</f>
        <v>2</v>
      </c>
      <c r="AB277">
        <f t="shared" si="20"/>
        <v>266</v>
      </c>
      <c r="AC277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1690.7332661995615</v>
      </c>
      <c r="AD277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135.86977859276533</v>
      </c>
      <c r="AE277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1073.1390532329426</v>
      </c>
    </row>
    <row r="278" spans="11:31" x14ac:dyDescent="0.3">
      <c r="K278" s="7">
        <f>MATCH(MIN(Table4[[#This Row],[Cluster 1 Dist]:[Cluster 3 Dist]]),Table4[[#This Row],[Cluster 1 Dist]:[Cluster 3 Dist]],0)</f>
        <v>2</v>
      </c>
      <c r="L278">
        <f t="shared" si="18"/>
        <v>267</v>
      </c>
      <c r="M278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901.65569925554178</v>
      </c>
      <c r="N278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85.947658490502235</v>
      </c>
      <c r="O278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655.80942353705166</v>
      </c>
      <c r="T278" s="7">
        <f>MATCH(MIN(Table48[[#This Row],[Cluster 1 Dist]:[Cluster 3 Dist]]),Table48[[#This Row],[Cluster 1 Dist]:[Cluster 3 Dist]],0)</f>
        <v>2</v>
      </c>
      <c r="U278">
        <f t="shared" si="19"/>
        <v>267</v>
      </c>
      <c r="V278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1110.6842694361071</v>
      </c>
      <c r="W278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314.48504346702123</v>
      </c>
      <c r="X278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593.0371229389217</v>
      </c>
      <c r="AA278" s="7">
        <f>MATCH(MIN(Table4810[[#This Row],[Cluster 1 Dist]:[Cluster 3 Dist]]),Table4810[[#This Row],[Cluster 1 Dist]:[Cluster 3 Dist]],0)</f>
        <v>3</v>
      </c>
      <c r="AB278">
        <f t="shared" si="20"/>
        <v>267</v>
      </c>
      <c r="AC278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1134.5483966717152</v>
      </c>
      <c r="AD278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523.9011927344178</v>
      </c>
      <c r="AE278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512.99895010788418</v>
      </c>
    </row>
    <row r="279" spans="11:31" x14ac:dyDescent="0.3">
      <c r="K279" s="7">
        <f>MATCH(MIN(Table4[[#This Row],[Cluster 1 Dist]:[Cluster 3 Dist]]),Table4[[#This Row],[Cluster 1 Dist]:[Cluster 3 Dist]],0)</f>
        <v>2</v>
      </c>
      <c r="L279">
        <f t="shared" si="18"/>
        <v>268</v>
      </c>
      <c r="M279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2003.091111257798</v>
      </c>
      <c r="N279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1155.4159424207371</v>
      </c>
      <c r="O279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1756.5024907468819</v>
      </c>
      <c r="T279" s="7">
        <f>MATCH(MIN(Table48[[#This Row],[Cluster 1 Dist]:[Cluster 3 Dist]]),Table48[[#This Row],[Cluster 1 Dist]:[Cluster 3 Dist]],0)</f>
        <v>2</v>
      </c>
      <c r="U279">
        <f t="shared" si="19"/>
        <v>268</v>
      </c>
      <c r="V279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2213.0580334695546</v>
      </c>
      <c r="W279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794.16974579664793</v>
      </c>
      <c r="X279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1694.9435896338312</v>
      </c>
      <c r="AA279" s="7">
        <f>MATCH(MIN(Table4810[[#This Row],[Cluster 1 Dist]:[Cluster 3 Dist]]),Table4810[[#This Row],[Cluster 1 Dist]:[Cluster 3 Dist]],0)</f>
        <v>2</v>
      </c>
      <c r="AB279">
        <f t="shared" si="20"/>
        <v>268</v>
      </c>
      <c r="AC279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2236.9607533920762</v>
      </c>
      <c r="AD279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583.48436799433739</v>
      </c>
      <c r="AE279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1614.8116413679663</v>
      </c>
    </row>
    <row r="280" spans="11:31" x14ac:dyDescent="0.3">
      <c r="K280" s="7">
        <f>MATCH(MIN(Table4[[#This Row],[Cluster 1 Dist]:[Cluster 3 Dist]]),Table4[[#This Row],[Cluster 1 Dist]:[Cluster 3 Dist]],0)</f>
        <v>2</v>
      </c>
      <c r="L280">
        <f t="shared" si="18"/>
        <v>269</v>
      </c>
      <c r="M280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653.94112884876722</v>
      </c>
      <c r="N280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217.02304025149036</v>
      </c>
      <c r="O280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414.33561275854623</v>
      </c>
      <c r="T280" s="7">
        <f>MATCH(MIN(Table48[[#This Row],[Cluster 1 Dist]:[Cluster 3 Dist]]),Table48[[#This Row],[Cluster 1 Dist]:[Cluster 3 Dist]],0)</f>
        <v>3</v>
      </c>
      <c r="U280">
        <f t="shared" si="19"/>
        <v>269</v>
      </c>
      <c r="V280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862.85336541686081</v>
      </c>
      <c r="W280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565.40378193275296</v>
      </c>
      <c r="X280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350.13711687315447</v>
      </c>
      <c r="AA280" s="7">
        <f>MATCH(MIN(Table4810[[#This Row],[Cluster 1 Dist]:[Cluster 3 Dist]]),Table4810[[#This Row],[Cluster 1 Dist]:[Cluster 3 Dist]],0)</f>
        <v>3</v>
      </c>
      <c r="AB280">
        <f t="shared" si="20"/>
        <v>269</v>
      </c>
      <c r="AC280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886.92560055063154</v>
      </c>
      <c r="AD280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774.54539527234078</v>
      </c>
      <c r="AE280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271.98581712389591</v>
      </c>
    </row>
    <row r="281" spans="11:31" x14ac:dyDescent="0.3">
      <c r="K281" s="7">
        <f>MATCH(MIN(Table4[[#This Row],[Cluster 1 Dist]:[Cluster 3 Dist]]),Table4[[#This Row],[Cluster 1 Dist]:[Cluster 3 Dist]],0)</f>
        <v>2</v>
      </c>
      <c r="L281">
        <f t="shared" si="18"/>
        <v>270</v>
      </c>
      <c r="M281" s="7">
        <f>SQRT(
(VLOOKUP(Table4[[#This Row],[No]],MainTable[],2)-VLOOKUP(1,Table2[],3))^2+
(VLOOKUP(Table4[[#This Row],[No]],MainTable[],3)-VLOOKUP(1,Table2[],4))^2+
(VLOOKUP(Table4[[#This Row],[No]],MainTable[],4)-VLOOKUP(1,Table2[],5))^2+
(VLOOKUP(Table4[[#This Row],[No]],MainTable[],5)-VLOOKUP(1,Table2[],6))^2+
(VLOOKUP(Table4[[#This Row],[No]],MainTable[],6)-VLOOKUP(1,Table2[],7))^2
)</f>
        <v>1751.6988896497023</v>
      </c>
      <c r="N281" s="7">
        <f>SQRT(
(VLOOKUP(Table4[[#This Row],[No]],MainTable[],2)-VLOOKUP(2,Table2[],3))^2+
(VLOOKUP(Table4[[#This Row],[No]],MainTable[],3)-VLOOKUP(2,Table2[],4))^2+
(VLOOKUP(Table4[[#This Row],[No]],MainTable[],4)-VLOOKUP(2,Table2[],5))^2+
(VLOOKUP(Table4[[#This Row],[No]],MainTable[],5)-VLOOKUP(2,Table2[],6))^2+
(VLOOKUP(Table4[[#This Row],[No]],MainTable[],6)-VLOOKUP(2,Table2[],7))^2
)</f>
        <v>903.83682155574968</v>
      </c>
      <c r="O281" s="7">
        <f>SQRT(
(VLOOKUP(Table4[[#This Row],[No]],MainTable[],2)-VLOOKUP(3,Table2[],3))^2+
(VLOOKUP(Table4[[#This Row],[No]],MainTable[],3)-VLOOKUP(3,Table2[],4))^2+
(VLOOKUP(Table4[[#This Row],[No]],MainTable[],4)-VLOOKUP(3,Table2[],5))^2+
(VLOOKUP(Table4[[#This Row],[No]],MainTable[],5)-VLOOKUP(3,Table2[],6))^2+
(VLOOKUP(Table4[[#This Row],[No]],MainTable[],6)-VLOOKUP(3,Table2[],7))^2
)</f>
        <v>1504.2865418529809</v>
      </c>
      <c r="T281" s="7">
        <f>MATCH(MIN(Table48[[#This Row],[Cluster 1 Dist]:[Cluster 3 Dist]]),Table48[[#This Row],[Cluster 1 Dist]:[Cluster 3 Dist]],0)</f>
        <v>2</v>
      </c>
      <c r="U281">
        <f t="shared" si="19"/>
        <v>270</v>
      </c>
      <c r="V281" s="7">
        <f>SQRT(
(VLOOKUP(Table48[[#This Row],[No]],MainTable[],2)-VLOOKUP(1,Iterasi17[],2))^2+
(VLOOKUP(Table48[[#This Row],[No]],MainTable[],3)-VLOOKUP(1,Iterasi17[],3))^2+
(VLOOKUP(Table48[[#This Row],[No]],MainTable[],4)-VLOOKUP(1,Iterasi17[],4))^2+
(VLOOKUP(Table48[[#This Row],[No]],MainTable[],5)-VLOOKUP(1,Iterasi17[],5))^2+
(VLOOKUP(Table48[[#This Row],[No]],MainTable[],6)-VLOOKUP(1,Iterasi17[],6))^2
)</f>
        <v>1961.2332161655331</v>
      </c>
      <c r="W281" s="7">
        <f>SQRT(
(VLOOKUP(Table48[[#This Row],[No]],MainTable[],2)-VLOOKUP(2,Iterasi17[],2))^2+
(VLOOKUP(Table48[[#This Row],[No]],MainTable[],3)-VLOOKUP(2,Iterasi17[],3))^2+
(VLOOKUP(Table48[[#This Row],[No]],MainTable[],4)-VLOOKUP(2,Iterasi17[],4))^2+
(VLOOKUP(Table48[[#This Row],[No]],MainTable[],5)-VLOOKUP(2,Iterasi17[],5))^2+
(VLOOKUP(Table48[[#This Row],[No]],MainTable[],6)-VLOOKUP(2,Iterasi17[],6))^2
)</f>
        <v>540.89389800689048</v>
      </c>
      <c r="X281" s="7">
        <f>SQRT(
(VLOOKUP(Table48[[#This Row],[No]],MainTable[],2)-VLOOKUP(3,Iterasi17[],2))^2+
(VLOOKUP(Table48[[#This Row],[No]],MainTable[],3)-VLOOKUP(3,Iterasi17[],3))^2+
(VLOOKUP(Table48[[#This Row],[No]],MainTable[],4)-VLOOKUP(3,Iterasi17[],4))^2+
(VLOOKUP(Table48[[#This Row],[No]],MainTable[],5)-VLOOKUP(3,Iterasi17[],5))^2+
(VLOOKUP(Table48[[#This Row],[No]],MainTable[],6)-VLOOKUP(3,Iterasi17[],6))^2
)</f>
        <v>1442.6804816177478</v>
      </c>
      <c r="AA281" s="7">
        <f>MATCH(MIN(Table4810[[#This Row],[Cluster 1 Dist]:[Cluster 3 Dist]]),Table4810[[#This Row],[Cluster 1 Dist]:[Cluster 3 Dist]],0)</f>
        <v>2</v>
      </c>
      <c r="AB281">
        <f t="shared" si="20"/>
        <v>270</v>
      </c>
      <c r="AC281" s="7">
        <f>SQRT(
(VLOOKUP(Table4810[[#This Row],[No]],MainTable[],2)-VLOOKUP(1,Table48_111[],2))^2+
(VLOOKUP(Table4810[[#This Row],[No]],MainTable[],3)-VLOOKUP(1,Table48_111[],3))^2+
(VLOOKUP(Table4810[[#This Row],[No]],MainTable[],4)-VLOOKUP(1,Table48_111[],4))^2+
(VLOOKUP(Table4810[[#This Row],[No]],MainTable[],5)-VLOOKUP(1,Table48_111[],5))^2+
(VLOOKUP(Table4810[[#This Row],[No]],MainTable[],6)-VLOOKUP(1,Table48_111[],6))^2
)</f>
        <v>1985.0534214800089</v>
      </c>
      <c r="AD281" s="7">
        <f>SQRT(
(VLOOKUP(Table4810[[#This Row],[No]],MainTable[],2)-VLOOKUP(2,Table48_111[],2,FALSE))^2+
(VLOOKUP(Table4810[[#This Row],[No]],MainTable[],3)-VLOOKUP(2,Table48_111[],3,FALSE))^2+
(VLOOKUP(Table4810[[#This Row],[No]],MainTable[],4)-VLOOKUP(2,Table48_111[],4,FALSE))^2+
(VLOOKUP(Table4810[[#This Row],[No]],MainTable[],5)-VLOOKUP(2,Table48_111[],5,FALSE))^2+
(VLOOKUP(Table4810[[#This Row],[No]],MainTable[],6)-VLOOKUP(2,Table48_111[],6,FALSE))^2
)</f>
        <v>330.0517095568851</v>
      </c>
      <c r="AE281" s="7">
        <f>SQRT(
(VLOOKUP(Table4810[[#This Row],[No]],MainTable[],2)-VLOOKUP(3,Table48_111[],2))^2+
(VLOOKUP(Table4810[[#This Row],[No]],MainTable[],3)-VLOOKUP(3,Table48_111[],3))^2+
(VLOOKUP(Table4810[[#This Row],[No]],MainTable[],4)-VLOOKUP(3,Table48_111[],4))^2+
(VLOOKUP(Table4810[[#This Row],[No]],MainTable[],5)-VLOOKUP(3,Table48_111[],5))^2+
(VLOOKUP(Table4810[[#This Row],[No]],MainTable[],6)-VLOOKUP(3,Table48_111[],6))^2
)</f>
        <v>1362.499467523664</v>
      </c>
    </row>
  </sheetData>
  <mergeCells count="3">
    <mergeCell ref="K9:O10"/>
    <mergeCell ref="T9:X10"/>
    <mergeCell ref="AA9:AE10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128A-A810-42EC-A195-E3C535107F51}">
  <dimension ref="B2:V272"/>
  <sheetViews>
    <sheetView workbookViewId="0">
      <selection activeCell="V15" sqref="V15"/>
    </sheetView>
  </sheetViews>
  <sheetFormatPr defaultRowHeight="14.4" x14ac:dyDescent="0.3"/>
  <cols>
    <col min="3" max="3" width="22.33203125" customWidth="1"/>
    <col min="4" max="4" width="21.33203125" customWidth="1"/>
    <col min="5" max="5" width="22.21875" customWidth="1"/>
    <col min="6" max="6" width="14.88671875" customWidth="1"/>
    <col min="7" max="7" width="18.21875" customWidth="1"/>
    <col min="9" max="9" width="36.5546875" customWidth="1"/>
    <col min="11" max="11" width="16.6640625" customWidth="1"/>
    <col min="12" max="12" width="17.77734375" customWidth="1"/>
    <col min="14" max="14" width="29.33203125" customWidth="1"/>
    <col min="16" max="16" width="13.6640625" customWidth="1"/>
    <col min="17" max="17" width="18.33203125" customWidth="1"/>
    <col min="19" max="19" width="29.33203125" customWidth="1"/>
    <col min="21" max="21" width="12.88671875" customWidth="1"/>
    <col min="22" max="22" width="16.88671875" customWidth="1"/>
  </cols>
  <sheetData>
    <row r="2" spans="2:22" x14ac:dyDescent="0.3">
      <c r="B2" s="1" t="s">
        <v>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s="9" t="s">
        <v>25</v>
      </c>
      <c r="K2" s="10" t="s">
        <v>26</v>
      </c>
      <c r="L2" s="11"/>
      <c r="N2" s="9" t="s">
        <v>23</v>
      </c>
      <c r="P2" s="10" t="s">
        <v>27</v>
      </c>
      <c r="Q2" s="11"/>
      <c r="S2" s="9" t="s">
        <v>24</v>
      </c>
      <c r="U2" s="10" t="s">
        <v>28</v>
      </c>
      <c r="V2" s="11"/>
    </row>
    <row r="3" spans="2:22" x14ac:dyDescent="0.3">
      <c r="B3">
        <v>1</v>
      </c>
      <c r="C3">
        <v>411</v>
      </c>
      <c r="D3">
        <v>176</v>
      </c>
      <c r="E3">
        <v>182</v>
      </c>
      <c r="F3">
        <v>3200</v>
      </c>
      <c r="G3">
        <v>0</v>
      </c>
      <c r="I3" s="8">
        <v>1</v>
      </c>
      <c r="K3" s="12">
        <v>1</v>
      </c>
      <c r="L3" s="8" t="str">
        <f>_xlfn.CONCAT(COUNTIF(I3:I272,1)," Penguin")</f>
        <v>93 Penguin</v>
      </c>
      <c r="N3" s="8">
        <v>1</v>
      </c>
      <c r="P3" s="12">
        <v>1</v>
      </c>
      <c r="Q3" s="8" t="str">
        <f>_xlfn.CONCAT(COUNTIF(N3:N272,1)," Penguin")</f>
        <v>92 Penguin</v>
      </c>
      <c r="S3" s="8">
        <v>1</v>
      </c>
      <c r="U3" s="12">
        <v>1</v>
      </c>
      <c r="V3" s="8" t="str">
        <f>_xlfn.CONCAT(COUNTIF(S3:S272,1)," Penguin")</f>
        <v>99 Penguin</v>
      </c>
    </row>
    <row r="4" spans="2:22" x14ac:dyDescent="0.3">
      <c r="B4">
        <v>2</v>
      </c>
      <c r="C4">
        <v>386</v>
      </c>
      <c r="D4">
        <v>212</v>
      </c>
      <c r="E4">
        <v>191</v>
      </c>
      <c r="F4">
        <v>3800</v>
      </c>
      <c r="G4">
        <v>1</v>
      </c>
      <c r="I4" s="8">
        <v>3</v>
      </c>
      <c r="K4" s="12">
        <v>2</v>
      </c>
      <c r="L4" s="8" t="str">
        <f>_xlfn.CONCAT(COUNTIF(I3:I272,2)," Penguin")</f>
        <v>59 Penguin</v>
      </c>
      <c r="N4" s="8">
        <v>3</v>
      </c>
      <c r="P4" s="12">
        <v>2</v>
      </c>
      <c r="Q4" s="8" t="str">
        <f>_xlfn.CONCAT(COUNTIF(N3:N272,2)," Penguin")</f>
        <v>73 Penguin</v>
      </c>
      <c r="S4" s="8">
        <v>3</v>
      </c>
      <c r="U4" s="12">
        <v>2</v>
      </c>
      <c r="V4" s="8" t="str">
        <f>_xlfn.CONCAT(COUNTIF(S3:S272,2)," Penguin")</f>
        <v>101 Penguin</v>
      </c>
    </row>
    <row r="5" spans="2:22" x14ac:dyDescent="0.3">
      <c r="B5">
        <v>3</v>
      </c>
      <c r="C5">
        <v>346</v>
      </c>
      <c r="D5">
        <v>211</v>
      </c>
      <c r="E5">
        <v>-132</v>
      </c>
      <c r="F5">
        <v>4400</v>
      </c>
      <c r="G5">
        <v>1</v>
      </c>
      <c r="I5" s="8">
        <v>3</v>
      </c>
      <c r="K5" s="12">
        <v>3</v>
      </c>
      <c r="L5" s="8" t="str">
        <f>_xlfn.CONCAT(COUNTIF(I3:I272,3)," Penguin")</f>
        <v>118 Penguin</v>
      </c>
      <c r="N5" s="8">
        <v>2</v>
      </c>
      <c r="P5" s="12">
        <v>3</v>
      </c>
      <c r="Q5" s="8" t="str">
        <f>_xlfn.CONCAT(COUNTIF(N3:N272,3)," Penguin")</f>
        <v>105 Penguin</v>
      </c>
      <c r="S5" s="8">
        <v>2</v>
      </c>
      <c r="U5" s="12">
        <v>3</v>
      </c>
      <c r="V5" s="8" t="str">
        <f>_xlfn.CONCAT(COUNTIF(S3:S272,3)," Penguin")</f>
        <v>70 Penguin</v>
      </c>
    </row>
    <row r="6" spans="2:22" x14ac:dyDescent="0.3">
      <c r="B6">
        <f>1+B5</f>
        <v>4</v>
      </c>
      <c r="C6">
        <v>366</v>
      </c>
      <c r="D6">
        <v>178</v>
      </c>
      <c r="E6">
        <v>185</v>
      </c>
      <c r="F6">
        <v>3700</v>
      </c>
      <c r="G6">
        <v>0</v>
      </c>
      <c r="I6" s="8">
        <v>3</v>
      </c>
      <c r="K6" s="13" t="s">
        <v>21</v>
      </c>
      <c r="L6" s="14" t="str">
        <f>_xlfn.CONCAT(SUM(93+59+118)," Penguin")</f>
        <v>270 Penguin</v>
      </c>
      <c r="N6" s="8">
        <v>3</v>
      </c>
      <c r="P6" s="13" t="s">
        <v>21</v>
      </c>
      <c r="Q6" s="14" t="str">
        <f>_xlfn.CONCAT(SUM(93+59+118)," Penguin")</f>
        <v>270 Penguin</v>
      </c>
      <c r="S6" s="8">
        <v>3</v>
      </c>
      <c r="U6" s="13" t="s">
        <v>21</v>
      </c>
      <c r="V6" s="14" t="str">
        <f>_xlfn.CONCAT(SUM(93+59+118)," Penguin")</f>
        <v>270 Penguin</v>
      </c>
    </row>
    <row r="7" spans="2:22" x14ac:dyDescent="0.3">
      <c r="B7">
        <f t="shared" ref="B7:B70" si="0">1+B6</f>
        <v>5</v>
      </c>
      <c r="C7">
        <v>387</v>
      </c>
      <c r="D7">
        <v>19</v>
      </c>
      <c r="E7">
        <v>195</v>
      </c>
      <c r="F7">
        <v>3450</v>
      </c>
      <c r="G7">
        <v>0</v>
      </c>
      <c r="I7" s="8">
        <v>1</v>
      </c>
      <c r="N7" s="8">
        <v>1</v>
      </c>
      <c r="S7" s="8">
        <v>1</v>
      </c>
    </row>
    <row r="8" spans="2:22" x14ac:dyDescent="0.3">
      <c r="B8">
        <f t="shared" si="0"/>
        <v>6</v>
      </c>
      <c r="C8">
        <v>425</v>
      </c>
      <c r="D8">
        <v>207</v>
      </c>
      <c r="E8">
        <v>197</v>
      </c>
      <c r="F8">
        <v>4500</v>
      </c>
      <c r="G8">
        <v>1</v>
      </c>
      <c r="I8" s="8">
        <v>2</v>
      </c>
      <c r="N8" s="8">
        <v>2</v>
      </c>
      <c r="S8" s="8">
        <v>2</v>
      </c>
    </row>
    <row r="9" spans="2:22" x14ac:dyDescent="0.3">
      <c r="B9">
        <f t="shared" si="0"/>
        <v>7</v>
      </c>
      <c r="C9">
        <v>344</v>
      </c>
      <c r="D9">
        <v>184</v>
      </c>
      <c r="E9">
        <v>184</v>
      </c>
      <c r="F9">
        <v>3325</v>
      </c>
      <c r="G9">
        <v>0</v>
      </c>
      <c r="I9" s="8">
        <v>1</v>
      </c>
      <c r="N9" s="8">
        <v>1</v>
      </c>
      <c r="S9" s="8">
        <v>1</v>
      </c>
    </row>
    <row r="10" spans="2:22" x14ac:dyDescent="0.3">
      <c r="B10">
        <f t="shared" si="0"/>
        <v>8</v>
      </c>
      <c r="C10">
        <v>46</v>
      </c>
      <c r="D10">
        <v>215</v>
      </c>
      <c r="E10">
        <v>194</v>
      </c>
      <c r="F10">
        <v>4200</v>
      </c>
      <c r="G10">
        <v>1</v>
      </c>
      <c r="I10" s="8">
        <v>3</v>
      </c>
      <c r="N10" s="8">
        <v>3</v>
      </c>
      <c r="S10" s="8">
        <v>2</v>
      </c>
    </row>
    <row r="11" spans="2:22" x14ac:dyDescent="0.3">
      <c r="B11">
        <f t="shared" si="0"/>
        <v>9</v>
      </c>
      <c r="C11">
        <v>378</v>
      </c>
      <c r="D11">
        <v>183</v>
      </c>
      <c r="E11">
        <v>174</v>
      </c>
      <c r="F11">
        <v>3400</v>
      </c>
      <c r="G11">
        <v>0</v>
      </c>
      <c r="I11" s="8">
        <v>1</v>
      </c>
      <c r="N11" s="8">
        <v>1</v>
      </c>
      <c r="S11" s="8">
        <v>1</v>
      </c>
    </row>
    <row r="12" spans="2:22" x14ac:dyDescent="0.3">
      <c r="B12">
        <f t="shared" si="0"/>
        <v>10</v>
      </c>
      <c r="C12">
        <v>377</v>
      </c>
      <c r="D12">
        <v>187</v>
      </c>
      <c r="E12">
        <v>180</v>
      </c>
      <c r="F12">
        <v>3600</v>
      </c>
      <c r="G12">
        <v>1</v>
      </c>
      <c r="I12" s="8">
        <v>1</v>
      </c>
      <c r="N12" s="8">
        <v>1</v>
      </c>
      <c r="S12" s="8">
        <v>1</v>
      </c>
    </row>
    <row r="13" spans="2:22" x14ac:dyDescent="0.3">
      <c r="B13">
        <f t="shared" si="0"/>
        <v>11</v>
      </c>
      <c r="C13">
        <v>359</v>
      </c>
      <c r="D13">
        <v>192</v>
      </c>
      <c r="E13">
        <v>189</v>
      </c>
      <c r="F13">
        <v>3800</v>
      </c>
      <c r="G13">
        <v>0</v>
      </c>
      <c r="I13" s="8">
        <v>3</v>
      </c>
      <c r="N13" s="8">
        <v>3</v>
      </c>
      <c r="S13" s="8">
        <v>3</v>
      </c>
    </row>
    <row r="14" spans="2:22" x14ac:dyDescent="0.3">
      <c r="B14">
        <f t="shared" si="0"/>
        <v>12</v>
      </c>
      <c r="C14">
        <v>382</v>
      </c>
      <c r="D14">
        <v>181</v>
      </c>
      <c r="E14">
        <v>185</v>
      </c>
      <c r="F14">
        <v>3950</v>
      </c>
      <c r="G14">
        <v>1</v>
      </c>
      <c r="I14" s="8">
        <v>3</v>
      </c>
      <c r="N14" s="8">
        <v>3</v>
      </c>
      <c r="S14" s="8">
        <v>3</v>
      </c>
    </row>
    <row r="15" spans="2:22" x14ac:dyDescent="0.3">
      <c r="B15">
        <f t="shared" si="0"/>
        <v>13</v>
      </c>
      <c r="C15">
        <v>388</v>
      </c>
      <c r="D15">
        <v>172</v>
      </c>
      <c r="E15">
        <v>180</v>
      </c>
      <c r="F15">
        <v>3800</v>
      </c>
      <c r="G15">
        <v>1</v>
      </c>
      <c r="I15" s="8">
        <v>3</v>
      </c>
      <c r="N15" s="8">
        <v>3</v>
      </c>
      <c r="S15" s="8">
        <v>3</v>
      </c>
    </row>
    <row r="16" spans="2:22" x14ac:dyDescent="0.3">
      <c r="B16">
        <f t="shared" si="0"/>
        <v>14</v>
      </c>
      <c r="C16">
        <v>353</v>
      </c>
      <c r="D16">
        <v>189</v>
      </c>
      <c r="E16">
        <v>187</v>
      </c>
      <c r="F16">
        <v>3800</v>
      </c>
      <c r="G16">
        <v>0</v>
      </c>
      <c r="I16" s="8">
        <v>3</v>
      </c>
      <c r="N16" s="8">
        <v>3</v>
      </c>
      <c r="S16" s="8">
        <v>3</v>
      </c>
    </row>
    <row r="17" spans="2:19" x14ac:dyDescent="0.3">
      <c r="B17">
        <f t="shared" si="0"/>
        <v>15</v>
      </c>
      <c r="C17">
        <v>406</v>
      </c>
      <c r="D17">
        <v>186</v>
      </c>
      <c r="E17">
        <v>183</v>
      </c>
      <c r="F17">
        <v>3550</v>
      </c>
      <c r="G17">
        <v>1</v>
      </c>
      <c r="I17" s="8">
        <v>1</v>
      </c>
      <c r="N17" s="8">
        <v>1</v>
      </c>
      <c r="S17" s="8">
        <v>1</v>
      </c>
    </row>
    <row r="18" spans="2:19" x14ac:dyDescent="0.3">
      <c r="B18">
        <f t="shared" si="0"/>
        <v>16</v>
      </c>
      <c r="C18">
        <v>405</v>
      </c>
      <c r="D18">
        <v>179</v>
      </c>
      <c r="E18">
        <v>187</v>
      </c>
      <c r="F18">
        <v>3200</v>
      </c>
      <c r="G18">
        <v>0</v>
      </c>
      <c r="I18" s="8">
        <v>1</v>
      </c>
      <c r="N18" s="8">
        <v>1</v>
      </c>
      <c r="S18" s="8">
        <v>1</v>
      </c>
    </row>
    <row r="19" spans="2:19" x14ac:dyDescent="0.3">
      <c r="B19">
        <f t="shared" si="0"/>
        <v>17</v>
      </c>
      <c r="C19">
        <v>379</v>
      </c>
      <c r="D19">
        <v>186</v>
      </c>
      <c r="E19">
        <v>172</v>
      </c>
      <c r="F19">
        <v>3150</v>
      </c>
      <c r="G19">
        <v>0</v>
      </c>
      <c r="I19" s="8">
        <v>1</v>
      </c>
      <c r="N19" s="8">
        <v>1</v>
      </c>
      <c r="S19" s="8">
        <v>1</v>
      </c>
    </row>
    <row r="20" spans="2:19" x14ac:dyDescent="0.3">
      <c r="B20">
        <f t="shared" si="0"/>
        <v>18</v>
      </c>
      <c r="C20">
        <v>405</v>
      </c>
      <c r="D20">
        <v>189</v>
      </c>
      <c r="E20">
        <v>180</v>
      </c>
      <c r="F20">
        <v>3950</v>
      </c>
      <c r="G20">
        <v>1</v>
      </c>
      <c r="I20" s="8">
        <v>3</v>
      </c>
      <c r="N20" s="8">
        <v>3</v>
      </c>
      <c r="S20" s="8">
        <v>3</v>
      </c>
    </row>
    <row r="21" spans="2:19" x14ac:dyDescent="0.3">
      <c r="B21">
        <f t="shared" si="0"/>
        <v>19</v>
      </c>
      <c r="C21">
        <v>395</v>
      </c>
      <c r="D21">
        <v>167</v>
      </c>
      <c r="E21">
        <v>178</v>
      </c>
      <c r="F21">
        <v>3250</v>
      </c>
      <c r="G21">
        <v>0</v>
      </c>
      <c r="I21" s="8">
        <v>1</v>
      </c>
      <c r="N21" s="8">
        <v>1</v>
      </c>
      <c r="S21" s="8">
        <v>1</v>
      </c>
    </row>
    <row r="22" spans="2:19" x14ac:dyDescent="0.3">
      <c r="B22">
        <f t="shared" si="0"/>
        <v>20</v>
      </c>
      <c r="C22">
        <v>372</v>
      </c>
      <c r="D22">
        <v>181</v>
      </c>
      <c r="E22">
        <v>178</v>
      </c>
      <c r="F22">
        <v>3900</v>
      </c>
      <c r="G22">
        <v>1</v>
      </c>
      <c r="I22" s="8">
        <v>3</v>
      </c>
      <c r="N22" s="8">
        <v>3</v>
      </c>
      <c r="S22" s="8">
        <v>3</v>
      </c>
    </row>
    <row r="23" spans="2:19" x14ac:dyDescent="0.3">
      <c r="B23">
        <f t="shared" si="0"/>
        <v>21</v>
      </c>
      <c r="C23">
        <v>395</v>
      </c>
      <c r="D23">
        <v>178</v>
      </c>
      <c r="E23">
        <v>188</v>
      </c>
      <c r="F23">
        <v>3300</v>
      </c>
      <c r="G23">
        <v>0</v>
      </c>
      <c r="I23" s="8">
        <v>1</v>
      </c>
      <c r="N23" s="8">
        <v>1</v>
      </c>
      <c r="S23" s="8">
        <v>1</v>
      </c>
    </row>
    <row r="24" spans="2:19" x14ac:dyDescent="0.3">
      <c r="B24">
        <f t="shared" si="0"/>
        <v>22</v>
      </c>
      <c r="C24">
        <v>409</v>
      </c>
      <c r="D24">
        <v>189</v>
      </c>
      <c r="E24">
        <v>184</v>
      </c>
      <c r="F24">
        <v>3900</v>
      </c>
      <c r="G24">
        <v>1</v>
      </c>
      <c r="I24" s="8">
        <v>3</v>
      </c>
      <c r="N24" s="8">
        <v>3</v>
      </c>
      <c r="S24" s="8">
        <v>3</v>
      </c>
    </row>
    <row r="25" spans="2:19" x14ac:dyDescent="0.3">
      <c r="B25">
        <f t="shared" si="0"/>
        <v>23</v>
      </c>
      <c r="C25">
        <v>364</v>
      </c>
      <c r="D25">
        <v>17</v>
      </c>
      <c r="E25">
        <v>195</v>
      </c>
      <c r="F25">
        <v>3325</v>
      </c>
      <c r="G25">
        <v>0</v>
      </c>
      <c r="I25" s="8">
        <v>1</v>
      </c>
      <c r="N25" s="8">
        <v>1</v>
      </c>
      <c r="S25" s="8">
        <v>1</v>
      </c>
    </row>
    <row r="26" spans="2:19" x14ac:dyDescent="0.3">
      <c r="B26">
        <f t="shared" si="0"/>
        <v>24</v>
      </c>
      <c r="C26">
        <v>392</v>
      </c>
      <c r="D26">
        <v>211</v>
      </c>
      <c r="E26">
        <v>196</v>
      </c>
      <c r="F26">
        <v>4150</v>
      </c>
      <c r="G26">
        <v>1</v>
      </c>
      <c r="I26" s="8">
        <v>3</v>
      </c>
      <c r="N26" s="8">
        <v>3</v>
      </c>
      <c r="S26" s="8">
        <v>2</v>
      </c>
    </row>
    <row r="27" spans="2:19" x14ac:dyDescent="0.3">
      <c r="B27">
        <f t="shared" si="0"/>
        <v>25</v>
      </c>
      <c r="C27">
        <v>388</v>
      </c>
      <c r="D27">
        <v>20</v>
      </c>
      <c r="E27">
        <v>190</v>
      </c>
      <c r="F27">
        <v>3950</v>
      </c>
      <c r="G27">
        <v>1</v>
      </c>
      <c r="I27" s="8">
        <v>3</v>
      </c>
      <c r="N27" s="8">
        <v>3</v>
      </c>
      <c r="S27" s="8">
        <v>3</v>
      </c>
    </row>
    <row r="28" spans="2:19" x14ac:dyDescent="0.3">
      <c r="B28">
        <f t="shared" si="0"/>
        <v>26</v>
      </c>
      <c r="C28">
        <v>422</v>
      </c>
      <c r="D28">
        <v>185</v>
      </c>
      <c r="E28">
        <v>180</v>
      </c>
      <c r="F28">
        <v>3550</v>
      </c>
      <c r="G28">
        <v>0</v>
      </c>
      <c r="I28" s="8">
        <v>1</v>
      </c>
      <c r="N28" s="8">
        <v>1</v>
      </c>
      <c r="S28" s="8">
        <v>1</v>
      </c>
    </row>
    <row r="29" spans="2:19" x14ac:dyDescent="0.3">
      <c r="B29">
        <f t="shared" si="0"/>
        <v>27</v>
      </c>
      <c r="C29">
        <v>376</v>
      </c>
      <c r="D29">
        <v>193</v>
      </c>
      <c r="E29">
        <v>181</v>
      </c>
      <c r="F29">
        <v>3300</v>
      </c>
      <c r="G29">
        <v>0</v>
      </c>
      <c r="I29" s="8">
        <v>1</v>
      </c>
      <c r="N29" s="8">
        <v>1</v>
      </c>
      <c r="S29" s="8">
        <v>1</v>
      </c>
    </row>
    <row r="30" spans="2:19" x14ac:dyDescent="0.3">
      <c r="B30">
        <f t="shared" si="0"/>
        <v>28</v>
      </c>
      <c r="C30">
        <v>398</v>
      </c>
      <c r="D30">
        <v>191</v>
      </c>
      <c r="E30">
        <v>184</v>
      </c>
      <c r="F30">
        <v>4650</v>
      </c>
      <c r="G30">
        <v>1</v>
      </c>
      <c r="I30" s="8">
        <v>2</v>
      </c>
      <c r="N30" s="8">
        <v>2</v>
      </c>
      <c r="S30" s="8">
        <v>2</v>
      </c>
    </row>
    <row r="31" spans="2:19" x14ac:dyDescent="0.3">
      <c r="B31">
        <f t="shared" si="0"/>
        <v>29</v>
      </c>
      <c r="C31">
        <v>365</v>
      </c>
      <c r="D31">
        <v>18</v>
      </c>
      <c r="E31">
        <v>182</v>
      </c>
      <c r="F31">
        <v>3150</v>
      </c>
      <c r="G31">
        <v>0</v>
      </c>
      <c r="I31" s="8">
        <v>1</v>
      </c>
      <c r="N31" s="8">
        <v>1</v>
      </c>
      <c r="S31" s="8">
        <v>1</v>
      </c>
    </row>
    <row r="32" spans="2:19" x14ac:dyDescent="0.3">
      <c r="B32">
        <f t="shared" si="0"/>
        <v>30</v>
      </c>
      <c r="C32">
        <v>408</v>
      </c>
      <c r="D32">
        <v>184</v>
      </c>
      <c r="E32">
        <v>195</v>
      </c>
      <c r="F32">
        <v>3900</v>
      </c>
      <c r="G32">
        <v>1</v>
      </c>
      <c r="I32" s="8">
        <v>3</v>
      </c>
      <c r="N32" s="8">
        <v>3</v>
      </c>
      <c r="S32" s="8">
        <v>3</v>
      </c>
    </row>
    <row r="33" spans="2:19" x14ac:dyDescent="0.3">
      <c r="B33">
        <f t="shared" si="0"/>
        <v>31</v>
      </c>
      <c r="C33">
        <v>36</v>
      </c>
      <c r="D33">
        <v>185</v>
      </c>
      <c r="E33">
        <v>186</v>
      </c>
      <c r="F33">
        <v>3100</v>
      </c>
      <c r="G33">
        <v>0</v>
      </c>
      <c r="I33" s="8">
        <v>1</v>
      </c>
      <c r="N33" s="8">
        <v>1</v>
      </c>
      <c r="S33" s="8">
        <v>1</v>
      </c>
    </row>
    <row r="34" spans="2:19" x14ac:dyDescent="0.3">
      <c r="B34">
        <f t="shared" si="0"/>
        <v>32</v>
      </c>
      <c r="C34">
        <v>441</v>
      </c>
      <c r="D34">
        <v>197</v>
      </c>
      <c r="E34">
        <v>196</v>
      </c>
      <c r="F34">
        <v>4400</v>
      </c>
      <c r="G34">
        <v>1</v>
      </c>
      <c r="I34" s="8">
        <v>3</v>
      </c>
      <c r="N34" s="8">
        <v>2</v>
      </c>
      <c r="S34" s="8">
        <v>2</v>
      </c>
    </row>
    <row r="35" spans="2:19" x14ac:dyDescent="0.3">
      <c r="B35">
        <f t="shared" si="0"/>
        <v>33</v>
      </c>
      <c r="C35">
        <v>37</v>
      </c>
      <c r="D35">
        <v>169</v>
      </c>
      <c r="E35">
        <v>185</v>
      </c>
      <c r="F35">
        <v>3000</v>
      </c>
      <c r="G35">
        <v>0</v>
      </c>
      <c r="I35" s="8">
        <v>1</v>
      </c>
      <c r="N35" s="8">
        <v>1</v>
      </c>
      <c r="S35" s="8">
        <v>1</v>
      </c>
    </row>
    <row r="36" spans="2:19" x14ac:dyDescent="0.3">
      <c r="B36">
        <f t="shared" si="0"/>
        <v>34</v>
      </c>
      <c r="C36">
        <v>396</v>
      </c>
      <c r="D36">
        <v>188</v>
      </c>
      <c r="E36">
        <v>190</v>
      </c>
      <c r="F36">
        <v>4600</v>
      </c>
      <c r="G36">
        <v>1</v>
      </c>
      <c r="I36" s="8">
        <v>2</v>
      </c>
      <c r="N36" s="8">
        <v>2</v>
      </c>
      <c r="S36" s="8">
        <v>2</v>
      </c>
    </row>
    <row r="37" spans="2:19" x14ac:dyDescent="0.3">
      <c r="B37">
        <f t="shared" si="0"/>
        <v>35</v>
      </c>
      <c r="C37">
        <v>411</v>
      </c>
      <c r="D37">
        <v>19</v>
      </c>
      <c r="E37">
        <v>182</v>
      </c>
      <c r="F37">
        <v>3425</v>
      </c>
      <c r="G37">
        <v>1</v>
      </c>
      <c r="I37" s="8">
        <v>1</v>
      </c>
      <c r="N37" s="8">
        <v>1</v>
      </c>
      <c r="S37" s="8">
        <v>1</v>
      </c>
    </row>
    <row r="38" spans="2:19" x14ac:dyDescent="0.3">
      <c r="B38">
        <f t="shared" si="0"/>
        <v>36</v>
      </c>
      <c r="C38">
        <v>375</v>
      </c>
      <c r="D38">
        <v>189</v>
      </c>
      <c r="E38">
        <v>179</v>
      </c>
      <c r="F38">
        <v>2975</v>
      </c>
      <c r="G38">
        <v>1</v>
      </c>
      <c r="I38" s="8">
        <v>1</v>
      </c>
      <c r="N38" s="8">
        <v>1</v>
      </c>
      <c r="S38" s="8">
        <v>1</v>
      </c>
    </row>
    <row r="39" spans="2:19" x14ac:dyDescent="0.3">
      <c r="B39">
        <f t="shared" si="0"/>
        <v>37</v>
      </c>
      <c r="C39">
        <v>36</v>
      </c>
      <c r="D39">
        <v>179</v>
      </c>
      <c r="E39">
        <v>190</v>
      </c>
      <c r="F39">
        <v>3450</v>
      </c>
      <c r="G39">
        <v>0</v>
      </c>
      <c r="I39" s="8">
        <v>1</v>
      </c>
      <c r="N39" s="8">
        <v>1</v>
      </c>
      <c r="S39" s="8">
        <v>1</v>
      </c>
    </row>
    <row r="40" spans="2:19" x14ac:dyDescent="0.3">
      <c r="B40">
        <f t="shared" si="0"/>
        <v>38</v>
      </c>
      <c r="C40">
        <v>423</v>
      </c>
      <c r="D40">
        <v>212</v>
      </c>
      <c r="E40">
        <v>191</v>
      </c>
      <c r="F40">
        <v>4150</v>
      </c>
      <c r="G40">
        <v>1</v>
      </c>
      <c r="I40" s="8">
        <v>3</v>
      </c>
      <c r="N40" s="8">
        <v>3</v>
      </c>
      <c r="S40" s="8">
        <v>2</v>
      </c>
    </row>
    <row r="41" spans="2:19" x14ac:dyDescent="0.3">
      <c r="B41">
        <f t="shared" si="0"/>
        <v>39</v>
      </c>
      <c r="C41">
        <v>396</v>
      </c>
      <c r="D41">
        <v>177</v>
      </c>
      <c r="E41">
        <v>186</v>
      </c>
      <c r="F41">
        <v>3500</v>
      </c>
      <c r="G41">
        <v>0</v>
      </c>
      <c r="I41" s="8">
        <v>1</v>
      </c>
      <c r="N41" s="8">
        <v>1</v>
      </c>
      <c r="S41" s="8">
        <v>1</v>
      </c>
    </row>
    <row r="42" spans="2:19" x14ac:dyDescent="0.3">
      <c r="B42">
        <f t="shared" si="0"/>
        <v>40</v>
      </c>
      <c r="C42">
        <v>401</v>
      </c>
      <c r="D42">
        <v>189</v>
      </c>
      <c r="E42">
        <v>188</v>
      </c>
      <c r="F42">
        <v>4300</v>
      </c>
      <c r="G42">
        <v>1</v>
      </c>
      <c r="I42" s="8">
        <v>3</v>
      </c>
      <c r="N42" s="8">
        <v>3</v>
      </c>
      <c r="S42" s="8">
        <v>2</v>
      </c>
    </row>
    <row r="43" spans="2:19" x14ac:dyDescent="0.3">
      <c r="B43">
        <f t="shared" si="0"/>
        <v>41</v>
      </c>
      <c r="C43">
        <v>35</v>
      </c>
      <c r="D43">
        <v>179</v>
      </c>
      <c r="E43">
        <v>190</v>
      </c>
      <c r="F43">
        <v>3450</v>
      </c>
      <c r="G43">
        <v>0</v>
      </c>
      <c r="I43" s="8">
        <v>1</v>
      </c>
      <c r="N43" s="8">
        <v>1</v>
      </c>
      <c r="S43" s="8">
        <v>1</v>
      </c>
    </row>
    <row r="44" spans="2:19" x14ac:dyDescent="0.3">
      <c r="B44">
        <f t="shared" si="0"/>
        <v>42</v>
      </c>
      <c r="C44">
        <v>42</v>
      </c>
      <c r="D44">
        <v>195</v>
      </c>
      <c r="E44">
        <v>200</v>
      </c>
      <c r="F44">
        <v>4050</v>
      </c>
      <c r="G44">
        <v>1</v>
      </c>
      <c r="I44" s="8">
        <v>3</v>
      </c>
      <c r="N44" s="8">
        <v>3</v>
      </c>
      <c r="S44" s="8">
        <v>3</v>
      </c>
    </row>
    <row r="45" spans="2:19" x14ac:dyDescent="0.3">
      <c r="B45">
        <f t="shared" si="0"/>
        <v>43</v>
      </c>
      <c r="C45">
        <v>345</v>
      </c>
      <c r="D45">
        <v>181</v>
      </c>
      <c r="E45">
        <v>187</v>
      </c>
      <c r="F45">
        <v>2900</v>
      </c>
      <c r="G45">
        <v>0</v>
      </c>
      <c r="I45" s="8">
        <v>1</v>
      </c>
      <c r="N45" s="8">
        <v>1</v>
      </c>
      <c r="S45" s="8">
        <v>1</v>
      </c>
    </row>
    <row r="46" spans="2:19" x14ac:dyDescent="0.3">
      <c r="B46">
        <f t="shared" si="0"/>
        <v>44</v>
      </c>
      <c r="C46">
        <v>414</v>
      </c>
      <c r="D46">
        <v>186</v>
      </c>
      <c r="E46">
        <v>191</v>
      </c>
      <c r="F46">
        <v>3700</v>
      </c>
      <c r="G46">
        <v>1</v>
      </c>
      <c r="I46" s="8">
        <v>3</v>
      </c>
      <c r="N46" s="8">
        <v>3</v>
      </c>
      <c r="S46" s="8">
        <v>3</v>
      </c>
    </row>
    <row r="47" spans="2:19" x14ac:dyDescent="0.3">
      <c r="B47">
        <f t="shared" si="0"/>
        <v>45</v>
      </c>
      <c r="C47">
        <v>39</v>
      </c>
      <c r="D47">
        <v>175</v>
      </c>
      <c r="E47">
        <v>186</v>
      </c>
      <c r="F47">
        <v>3550</v>
      </c>
      <c r="G47">
        <v>0</v>
      </c>
      <c r="I47" s="8">
        <v>1</v>
      </c>
      <c r="N47" s="8">
        <v>1</v>
      </c>
      <c r="S47" s="8">
        <v>1</v>
      </c>
    </row>
    <row r="48" spans="2:19" x14ac:dyDescent="0.3">
      <c r="B48">
        <f t="shared" si="0"/>
        <v>46</v>
      </c>
      <c r="C48">
        <v>406</v>
      </c>
      <c r="D48">
        <v>188</v>
      </c>
      <c r="E48">
        <v>193</v>
      </c>
      <c r="F48">
        <v>3800</v>
      </c>
      <c r="G48">
        <v>1</v>
      </c>
      <c r="I48" s="8">
        <v>3</v>
      </c>
      <c r="N48" s="8">
        <v>3</v>
      </c>
      <c r="S48" s="8">
        <v>3</v>
      </c>
    </row>
    <row r="49" spans="2:19" x14ac:dyDescent="0.3">
      <c r="B49">
        <f t="shared" si="0"/>
        <v>47</v>
      </c>
      <c r="C49">
        <v>365</v>
      </c>
      <c r="D49">
        <v>166</v>
      </c>
      <c r="E49">
        <v>181</v>
      </c>
      <c r="F49">
        <v>2850</v>
      </c>
      <c r="G49">
        <v>0</v>
      </c>
      <c r="I49" s="8">
        <v>1</v>
      </c>
      <c r="N49" s="8">
        <v>1</v>
      </c>
      <c r="S49" s="8">
        <v>1</v>
      </c>
    </row>
    <row r="50" spans="2:19" x14ac:dyDescent="0.3">
      <c r="B50">
        <f t="shared" si="0"/>
        <v>48</v>
      </c>
      <c r="C50">
        <v>376</v>
      </c>
      <c r="D50">
        <v>191</v>
      </c>
      <c r="E50">
        <v>194</v>
      </c>
      <c r="F50">
        <v>3750</v>
      </c>
      <c r="G50">
        <v>1</v>
      </c>
      <c r="I50" s="8">
        <v>3</v>
      </c>
      <c r="N50" s="8">
        <v>3</v>
      </c>
      <c r="S50" s="8">
        <v>3</v>
      </c>
    </row>
    <row r="51" spans="2:19" x14ac:dyDescent="0.3">
      <c r="B51">
        <f t="shared" si="0"/>
        <v>49</v>
      </c>
      <c r="C51">
        <v>357</v>
      </c>
      <c r="D51">
        <v>169</v>
      </c>
      <c r="E51">
        <v>185</v>
      </c>
      <c r="F51">
        <v>3150</v>
      </c>
      <c r="G51">
        <v>0</v>
      </c>
      <c r="I51" s="8">
        <v>1</v>
      </c>
      <c r="N51" s="8">
        <v>1</v>
      </c>
      <c r="S51" s="8">
        <v>1</v>
      </c>
    </row>
    <row r="52" spans="2:19" x14ac:dyDescent="0.3">
      <c r="B52">
        <f t="shared" si="0"/>
        <v>50</v>
      </c>
      <c r="C52">
        <v>413</v>
      </c>
      <c r="D52">
        <v>211</v>
      </c>
      <c r="E52">
        <v>195</v>
      </c>
      <c r="F52">
        <v>4400</v>
      </c>
      <c r="G52">
        <v>1</v>
      </c>
      <c r="I52" s="8">
        <v>3</v>
      </c>
      <c r="N52" s="8">
        <v>2</v>
      </c>
      <c r="S52" s="8">
        <v>2</v>
      </c>
    </row>
    <row r="53" spans="2:19" x14ac:dyDescent="0.3">
      <c r="B53">
        <f t="shared" si="0"/>
        <v>51</v>
      </c>
      <c r="C53">
        <v>376</v>
      </c>
      <c r="D53">
        <v>17</v>
      </c>
      <c r="E53">
        <v>185</v>
      </c>
      <c r="F53">
        <v>3600</v>
      </c>
      <c r="G53">
        <v>0</v>
      </c>
      <c r="I53" s="8">
        <v>1</v>
      </c>
      <c r="N53" s="8">
        <v>1</v>
      </c>
      <c r="S53" s="8">
        <v>1</v>
      </c>
    </row>
    <row r="54" spans="2:19" x14ac:dyDescent="0.3">
      <c r="B54">
        <f t="shared" si="0"/>
        <v>52</v>
      </c>
      <c r="C54">
        <v>411</v>
      </c>
      <c r="D54">
        <v>182</v>
      </c>
      <c r="E54">
        <v>192</v>
      </c>
      <c r="F54">
        <v>4050</v>
      </c>
      <c r="G54">
        <v>1</v>
      </c>
      <c r="I54" s="8">
        <v>3</v>
      </c>
      <c r="N54" s="8">
        <v>3</v>
      </c>
      <c r="S54" s="8">
        <v>3</v>
      </c>
    </row>
    <row r="55" spans="2:19" x14ac:dyDescent="0.3">
      <c r="B55">
        <f t="shared" si="0"/>
        <v>53</v>
      </c>
      <c r="C55">
        <v>364</v>
      </c>
      <c r="D55">
        <v>171</v>
      </c>
      <c r="E55">
        <v>184</v>
      </c>
      <c r="F55">
        <v>2850</v>
      </c>
      <c r="G55">
        <v>0</v>
      </c>
      <c r="I55" s="8">
        <v>1</v>
      </c>
      <c r="N55" s="8">
        <v>1</v>
      </c>
      <c r="S55" s="8">
        <v>1</v>
      </c>
    </row>
    <row r="56" spans="2:19" x14ac:dyDescent="0.3">
      <c r="B56">
        <f t="shared" si="0"/>
        <v>54</v>
      </c>
      <c r="C56">
        <v>416</v>
      </c>
      <c r="D56">
        <v>18</v>
      </c>
      <c r="E56">
        <v>192</v>
      </c>
      <c r="F56">
        <v>3950</v>
      </c>
      <c r="G56">
        <v>1</v>
      </c>
      <c r="I56" s="8">
        <v>3</v>
      </c>
      <c r="N56" s="8">
        <v>3</v>
      </c>
      <c r="S56" s="8">
        <v>3</v>
      </c>
    </row>
    <row r="57" spans="2:19" x14ac:dyDescent="0.3">
      <c r="B57">
        <f t="shared" si="0"/>
        <v>55</v>
      </c>
      <c r="C57">
        <v>355</v>
      </c>
      <c r="D57">
        <v>162</v>
      </c>
      <c r="E57">
        <v>195</v>
      </c>
      <c r="F57">
        <v>3350</v>
      </c>
      <c r="G57">
        <v>0</v>
      </c>
      <c r="I57" s="8">
        <v>1</v>
      </c>
      <c r="N57" s="8">
        <v>1</v>
      </c>
      <c r="S57" s="8">
        <v>1</v>
      </c>
    </row>
    <row r="58" spans="2:19" x14ac:dyDescent="0.3">
      <c r="B58">
        <f t="shared" si="0"/>
        <v>56</v>
      </c>
      <c r="C58">
        <v>411</v>
      </c>
      <c r="D58">
        <v>191</v>
      </c>
      <c r="E58">
        <v>188</v>
      </c>
      <c r="F58">
        <v>4100</v>
      </c>
      <c r="G58">
        <v>1</v>
      </c>
      <c r="I58" s="8">
        <v>3</v>
      </c>
      <c r="N58" s="8">
        <v>3</v>
      </c>
      <c r="S58" s="8">
        <v>2</v>
      </c>
    </row>
    <row r="59" spans="2:19" x14ac:dyDescent="0.3">
      <c r="B59">
        <f t="shared" si="0"/>
        <v>57</v>
      </c>
      <c r="C59">
        <v>359</v>
      </c>
      <c r="D59">
        <v>166</v>
      </c>
      <c r="E59">
        <v>190</v>
      </c>
      <c r="F59">
        <v>3050</v>
      </c>
      <c r="G59">
        <v>0</v>
      </c>
      <c r="I59" s="8">
        <v>1</v>
      </c>
      <c r="N59" s="8">
        <v>1</v>
      </c>
      <c r="S59" s="8">
        <v>1</v>
      </c>
    </row>
    <row r="60" spans="2:19" x14ac:dyDescent="0.3">
      <c r="B60">
        <f t="shared" si="0"/>
        <v>58</v>
      </c>
      <c r="C60">
        <v>418</v>
      </c>
      <c r="D60">
        <v>194</v>
      </c>
      <c r="E60">
        <v>198</v>
      </c>
      <c r="F60">
        <v>4450</v>
      </c>
      <c r="G60">
        <v>1</v>
      </c>
      <c r="I60" s="8">
        <v>3</v>
      </c>
      <c r="N60" s="8">
        <v>2</v>
      </c>
      <c r="S60" s="8">
        <v>2</v>
      </c>
    </row>
    <row r="61" spans="2:19" x14ac:dyDescent="0.3">
      <c r="B61">
        <f t="shared" si="0"/>
        <v>59</v>
      </c>
      <c r="C61">
        <v>335</v>
      </c>
      <c r="D61">
        <v>19</v>
      </c>
      <c r="E61">
        <v>190</v>
      </c>
      <c r="F61">
        <v>3600</v>
      </c>
      <c r="G61">
        <v>0</v>
      </c>
      <c r="I61" s="8">
        <v>1</v>
      </c>
      <c r="N61" s="8">
        <v>1</v>
      </c>
      <c r="S61" s="8">
        <v>1</v>
      </c>
    </row>
    <row r="62" spans="2:19" x14ac:dyDescent="0.3">
      <c r="B62">
        <f t="shared" si="0"/>
        <v>60</v>
      </c>
      <c r="C62">
        <v>397</v>
      </c>
      <c r="D62">
        <v>184</v>
      </c>
      <c r="E62">
        <v>190</v>
      </c>
      <c r="F62">
        <v>3900</v>
      </c>
      <c r="G62">
        <v>1</v>
      </c>
      <c r="I62" s="8">
        <v>3</v>
      </c>
      <c r="N62" s="8">
        <v>3</v>
      </c>
      <c r="S62" s="8">
        <v>3</v>
      </c>
    </row>
    <row r="63" spans="2:19" x14ac:dyDescent="0.3">
      <c r="B63">
        <f t="shared" si="0"/>
        <v>61</v>
      </c>
      <c r="C63">
        <v>396</v>
      </c>
      <c r="D63">
        <v>172</v>
      </c>
      <c r="E63">
        <v>196</v>
      </c>
      <c r="F63">
        <v>3550</v>
      </c>
      <c r="G63">
        <v>0</v>
      </c>
      <c r="I63" s="8">
        <v>1</v>
      </c>
      <c r="N63" s="8">
        <v>1</v>
      </c>
      <c r="S63" s="8">
        <v>1</v>
      </c>
    </row>
    <row r="64" spans="2:19" x14ac:dyDescent="0.3">
      <c r="B64">
        <f t="shared" si="0"/>
        <v>62</v>
      </c>
      <c r="C64">
        <v>458</v>
      </c>
      <c r="D64">
        <v>189</v>
      </c>
      <c r="E64">
        <v>197</v>
      </c>
      <c r="F64">
        <v>4150</v>
      </c>
      <c r="G64">
        <v>1</v>
      </c>
      <c r="I64" s="8">
        <v>3</v>
      </c>
      <c r="N64" s="8">
        <v>3</v>
      </c>
      <c r="S64" s="8">
        <v>2</v>
      </c>
    </row>
    <row r="65" spans="2:19" x14ac:dyDescent="0.3">
      <c r="B65">
        <f t="shared" si="0"/>
        <v>63</v>
      </c>
      <c r="C65">
        <v>355</v>
      </c>
      <c r="D65">
        <v>175</v>
      </c>
      <c r="E65">
        <v>190</v>
      </c>
      <c r="F65">
        <v>3700</v>
      </c>
      <c r="G65">
        <v>0</v>
      </c>
      <c r="I65" s="8">
        <v>3</v>
      </c>
      <c r="N65" s="8">
        <v>3</v>
      </c>
      <c r="S65" s="8">
        <v>3</v>
      </c>
    </row>
    <row r="66" spans="2:19" x14ac:dyDescent="0.3">
      <c r="B66">
        <f t="shared" si="0"/>
        <v>64</v>
      </c>
      <c r="C66">
        <v>428</v>
      </c>
      <c r="D66">
        <v>185</v>
      </c>
      <c r="E66">
        <v>195</v>
      </c>
      <c r="F66">
        <v>4250</v>
      </c>
      <c r="G66">
        <v>1</v>
      </c>
      <c r="I66" s="8">
        <v>3</v>
      </c>
      <c r="N66" s="8">
        <v>3</v>
      </c>
      <c r="S66" s="8">
        <v>2</v>
      </c>
    </row>
    <row r="67" spans="2:19" x14ac:dyDescent="0.3">
      <c r="B67">
        <f t="shared" si="0"/>
        <v>65</v>
      </c>
      <c r="C67">
        <v>409</v>
      </c>
      <c r="D67">
        <v>168</v>
      </c>
      <c r="E67">
        <v>191</v>
      </c>
      <c r="F67">
        <v>3700</v>
      </c>
      <c r="G67">
        <v>0</v>
      </c>
      <c r="I67" s="8">
        <v>3</v>
      </c>
      <c r="N67" s="8">
        <v>3</v>
      </c>
      <c r="S67" s="8">
        <v>3</v>
      </c>
    </row>
    <row r="68" spans="2:19" x14ac:dyDescent="0.3">
      <c r="B68">
        <f t="shared" si="0"/>
        <v>66</v>
      </c>
      <c r="C68">
        <v>372</v>
      </c>
      <c r="D68">
        <v>194</v>
      </c>
      <c r="E68">
        <v>184</v>
      </c>
      <c r="F68">
        <v>3900</v>
      </c>
      <c r="G68">
        <v>1</v>
      </c>
      <c r="I68" s="8">
        <v>3</v>
      </c>
      <c r="N68" s="8">
        <v>3</v>
      </c>
      <c r="S68" s="8">
        <v>3</v>
      </c>
    </row>
    <row r="69" spans="2:19" x14ac:dyDescent="0.3">
      <c r="B69">
        <f t="shared" si="0"/>
        <v>67</v>
      </c>
      <c r="C69">
        <v>362</v>
      </c>
      <c r="D69">
        <v>161</v>
      </c>
      <c r="E69">
        <v>187</v>
      </c>
      <c r="F69">
        <v>3550</v>
      </c>
      <c r="G69">
        <v>0</v>
      </c>
      <c r="I69" s="8">
        <v>1</v>
      </c>
      <c r="N69" s="8">
        <v>1</v>
      </c>
      <c r="S69" s="8">
        <v>1</v>
      </c>
    </row>
    <row r="70" spans="2:19" x14ac:dyDescent="0.3">
      <c r="B70">
        <f t="shared" si="0"/>
        <v>68</v>
      </c>
      <c r="C70">
        <v>421</v>
      </c>
      <c r="D70">
        <v>191</v>
      </c>
      <c r="E70">
        <v>195</v>
      </c>
      <c r="F70">
        <v>4000</v>
      </c>
      <c r="G70">
        <v>1</v>
      </c>
      <c r="I70" s="8">
        <v>3</v>
      </c>
      <c r="N70" s="8">
        <v>3</v>
      </c>
      <c r="S70" s="8">
        <v>3</v>
      </c>
    </row>
    <row r="71" spans="2:19" x14ac:dyDescent="0.3">
      <c r="B71">
        <f t="shared" ref="B71:B134" si="1">1+B70</f>
        <v>69</v>
      </c>
      <c r="C71">
        <v>346</v>
      </c>
      <c r="D71">
        <v>172</v>
      </c>
      <c r="E71">
        <v>189</v>
      </c>
      <c r="F71">
        <v>3200</v>
      </c>
      <c r="G71">
        <v>0</v>
      </c>
      <c r="I71" s="8">
        <v>1</v>
      </c>
      <c r="N71" s="8">
        <v>1</v>
      </c>
      <c r="S71" s="8">
        <v>1</v>
      </c>
    </row>
    <row r="72" spans="2:19" x14ac:dyDescent="0.3">
      <c r="B72">
        <f t="shared" si="1"/>
        <v>70</v>
      </c>
      <c r="C72">
        <v>429</v>
      </c>
      <c r="D72">
        <v>176</v>
      </c>
      <c r="E72">
        <v>196</v>
      </c>
      <c r="F72">
        <v>4700</v>
      </c>
      <c r="G72">
        <v>1</v>
      </c>
      <c r="I72" s="8">
        <v>2</v>
      </c>
      <c r="N72" s="8">
        <v>2</v>
      </c>
      <c r="S72" s="8">
        <v>2</v>
      </c>
    </row>
    <row r="73" spans="2:19" x14ac:dyDescent="0.3">
      <c r="B73">
        <f t="shared" si="1"/>
        <v>71</v>
      </c>
      <c r="C73">
        <v>367</v>
      </c>
      <c r="D73">
        <v>188</v>
      </c>
      <c r="E73">
        <v>187</v>
      </c>
      <c r="F73">
        <v>3800</v>
      </c>
      <c r="G73">
        <v>0</v>
      </c>
      <c r="I73" s="8">
        <v>3</v>
      </c>
      <c r="N73" s="8">
        <v>3</v>
      </c>
      <c r="S73" s="8">
        <v>3</v>
      </c>
    </row>
    <row r="74" spans="2:19" x14ac:dyDescent="0.3">
      <c r="B74">
        <f t="shared" si="1"/>
        <v>72</v>
      </c>
      <c r="C74">
        <v>351</v>
      </c>
      <c r="D74">
        <v>194</v>
      </c>
      <c r="E74">
        <v>193</v>
      </c>
      <c r="F74">
        <v>4200</v>
      </c>
      <c r="G74">
        <v>1</v>
      </c>
      <c r="I74" s="8">
        <v>3</v>
      </c>
      <c r="N74" s="8">
        <v>3</v>
      </c>
      <c r="S74" s="8">
        <v>2</v>
      </c>
    </row>
    <row r="75" spans="2:19" x14ac:dyDescent="0.3">
      <c r="B75">
        <f t="shared" si="1"/>
        <v>73</v>
      </c>
      <c r="C75">
        <v>373</v>
      </c>
      <c r="D75">
        <v>178</v>
      </c>
      <c r="E75">
        <v>191</v>
      </c>
      <c r="F75">
        <v>3350</v>
      </c>
      <c r="G75">
        <v>0</v>
      </c>
      <c r="I75" s="8">
        <v>1</v>
      </c>
      <c r="N75" s="8">
        <v>1</v>
      </c>
      <c r="S75" s="8">
        <v>1</v>
      </c>
    </row>
    <row r="76" spans="2:19" x14ac:dyDescent="0.3">
      <c r="B76">
        <f t="shared" si="1"/>
        <v>74</v>
      </c>
      <c r="C76">
        <v>413</v>
      </c>
      <c r="D76">
        <v>203</v>
      </c>
      <c r="E76">
        <v>194</v>
      </c>
      <c r="F76">
        <v>3550</v>
      </c>
      <c r="G76">
        <v>1</v>
      </c>
      <c r="I76" s="8">
        <v>1</v>
      </c>
      <c r="N76" s="8">
        <v>1</v>
      </c>
      <c r="S76" s="8">
        <v>1</v>
      </c>
    </row>
    <row r="77" spans="2:19" x14ac:dyDescent="0.3">
      <c r="B77">
        <f t="shared" si="1"/>
        <v>75</v>
      </c>
      <c r="C77">
        <v>363</v>
      </c>
      <c r="D77">
        <v>195</v>
      </c>
      <c r="E77">
        <v>190</v>
      </c>
      <c r="F77">
        <v>3800</v>
      </c>
      <c r="G77">
        <v>1</v>
      </c>
      <c r="I77" s="8">
        <v>3</v>
      </c>
      <c r="N77" s="8">
        <v>3</v>
      </c>
      <c r="S77" s="8">
        <v>3</v>
      </c>
    </row>
    <row r="78" spans="2:19" x14ac:dyDescent="0.3">
      <c r="B78">
        <f t="shared" si="1"/>
        <v>76</v>
      </c>
      <c r="C78">
        <v>369</v>
      </c>
      <c r="D78">
        <v>186</v>
      </c>
      <c r="E78">
        <v>189</v>
      </c>
      <c r="F78">
        <v>3500</v>
      </c>
      <c r="G78">
        <v>0</v>
      </c>
      <c r="I78" s="8">
        <v>1</v>
      </c>
      <c r="N78" s="8">
        <v>1</v>
      </c>
      <c r="S78" s="8">
        <v>1</v>
      </c>
    </row>
    <row r="79" spans="2:19" x14ac:dyDescent="0.3">
      <c r="B79">
        <f t="shared" si="1"/>
        <v>77</v>
      </c>
      <c r="C79">
        <v>383</v>
      </c>
      <c r="D79">
        <v>192</v>
      </c>
      <c r="E79">
        <v>189</v>
      </c>
      <c r="F79">
        <v>3950</v>
      </c>
      <c r="G79">
        <v>1</v>
      </c>
      <c r="I79" s="8">
        <v>3</v>
      </c>
      <c r="N79" s="8">
        <v>3</v>
      </c>
      <c r="S79" s="8">
        <v>3</v>
      </c>
    </row>
    <row r="80" spans="2:19" x14ac:dyDescent="0.3">
      <c r="B80">
        <f t="shared" si="1"/>
        <v>78</v>
      </c>
      <c r="C80">
        <v>389</v>
      </c>
      <c r="D80">
        <v>188</v>
      </c>
      <c r="E80">
        <v>190</v>
      </c>
      <c r="F80">
        <v>3600</v>
      </c>
      <c r="G80">
        <v>0</v>
      </c>
      <c r="I80" s="8">
        <v>1</v>
      </c>
      <c r="N80" s="8">
        <v>3</v>
      </c>
      <c r="S80" s="8">
        <v>1</v>
      </c>
    </row>
    <row r="81" spans="2:19" x14ac:dyDescent="0.3">
      <c r="B81">
        <f t="shared" si="1"/>
        <v>79</v>
      </c>
      <c r="C81">
        <v>357</v>
      </c>
      <c r="D81">
        <v>18</v>
      </c>
      <c r="E81">
        <v>202</v>
      </c>
      <c r="F81">
        <v>3550</v>
      </c>
      <c r="G81">
        <v>0</v>
      </c>
      <c r="I81" s="8">
        <v>1</v>
      </c>
      <c r="N81" s="8">
        <v>1</v>
      </c>
      <c r="S81" s="8">
        <v>1</v>
      </c>
    </row>
    <row r="82" spans="2:19" x14ac:dyDescent="0.3">
      <c r="B82">
        <f t="shared" si="1"/>
        <v>80</v>
      </c>
      <c r="C82">
        <v>411</v>
      </c>
      <c r="D82">
        <v>181</v>
      </c>
      <c r="E82">
        <v>205</v>
      </c>
      <c r="F82">
        <v>4300</v>
      </c>
      <c r="G82">
        <v>1</v>
      </c>
      <c r="I82" s="8">
        <v>3</v>
      </c>
      <c r="N82" s="8">
        <v>3</v>
      </c>
      <c r="S82" s="8">
        <v>2</v>
      </c>
    </row>
    <row r="83" spans="2:19" x14ac:dyDescent="0.3">
      <c r="B83">
        <f t="shared" si="1"/>
        <v>81</v>
      </c>
      <c r="C83">
        <v>34</v>
      </c>
      <c r="D83">
        <v>171</v>
      </c>
      <c r="E83">
        <v>185</v>
      </c>
      <c r="F83">
        <v>3400</v>
      </c>
      <c r="G83">
        <v>0</v>
      </c>
      <c r="I83" s="8">
        <v>1</v>
      </c>
      <c r="N83" s="8">
        <v>1</v>
      </c>
      <c r="S83" s="8">
        <v>1</v>
      </c>
    </row>
    <row r="84" spans="2:19" x14ac:dyDescent="0.3">
      <c r="B84">
        <f t="shared" si="1"/>
        <v>82</v>
      </c>
      <c r="C84">
        <v>396</v>
      </c>
      <c r="D84">
        <v>181</v>
      </c>
      <c r="E84">
        <v>186</v>
      </c>
      <c r="F84">
        <v>4450</v>
      </c>
      <c r="G84">
        <v>1</v>
      </c>
      <c r="I84" s="8">
        <v>3</v>
      </c>
      <c r="N84" s="8">
        <v>2</v>
      </c>
      <c r="S84" s="8">
        <v>2</v>
      </c>
    </row>
    <row r="85" spans="2:19" x14ac:dyDescent="0.3">
      <c r="B85">
        <f t="shared" si="1"/>
        <v>83</v>
      </c>
      <c r="C85">
        <v>362</v>
      </c>
      <c r="D85">
        <v>173</v>
      </c>
      <c r="E85">
        <v>187</v>
      </c>
      <c r="F85">
        <v>3300</v>
      </c>
      <c r="G85">
        <v>0</v>
      </c>
      <c r="I85" s="8">
        <v>1</v>
      </c>
      <c r="N85" s="8">
        <v>1</v>
      </c>
      <c r="S85" s="8">
        <v>1</v>
      </c>
    </row>
    <row r="86" spans="2:19" x14ac:dyDescent="0.3">
      <c r="B86">
        <f t="shared" si="1"/>
        <v>84</v>
      </c>
      <c r="C86">
        <v>408</v>
      </c>
      <c r="D86">
        <v>189</v>
      </c>
      <c r="E86">
        <v>208</v>
      </c>
      <c r="F86">
        <v>4300</v>
      </c>
      <c r="G86">
        <v>1</v>
      </c>
      <c r="I86" s="8">
        <v>3</v>
      </c>
      <c r="N86" s="8">
        <v>3</v>
      </c>
      <c r="S86" s="8">
        <v>2</v>
      </c>
    </row>
    <row r="87" spans="2:19" x14ac:dyDescent="0.3">
      <c r="B87">
        <f t="shared" si="1"/>
        <v>85</v>
      </c>
      <c r="C87">
        <v>381</v>
      </c>
      <c r="D87">
        <v>186</v>
      </c>
      <c r="E87">
        <v>190</v>
      </c>
      <c r="F87">
        <v>3700</v>
      </c>
      <c r="G87">
        <v>0</v>
      </c>
      <c r="I87" s="8">
        <v>3</v>
      </c>
      <c r="N87" s="8">
        <v>3</v>
      </c>
      <c r="S87" s="8">
        <v>3</v>
      </c>
    </row>
    <row r="88" spans="2:19" x14ac:dyDescent="0.3">
      <c r="B88">
        <f t="shared" si="1"/>
        <v>86</v>
      </c>
      <c r="C88">
        <v>403</v>
      </c>
      <c r="D88">
        <v>185</v>
      </c>
      <c r="E88">
        <v>196</v>
      </c>
      <c r="F88">
        <v>4350</v>
      </c>
      <c r="G88">
        <v>1</v>
      </c>
      <c r="I88" s="8">
        <v>3</v>
      </c>
      <c r="N88" s="8">
        <v>2</v>
      </c>
      <c r="S88" s="8">
        <v>2</v>
      </c>
    </row>
    <row r="89" spans="2:19" x14ac:dyDescent="0.3">
      <c r="B89">
        <f t="shared" si="1"/>
        <v>87</v>
      </c>
      <c r="C89">
        <v>331</v>
      </c>
      <c r="D89">
        <v>161</v>
      </c>
      <c r="E89">
        <v>178</v>
      </c>
      <c r="F89">
        <v>2900</v>
      </c>
      <c r="G89">
        <v>0</v>
      </c>
      <c r="I89" s="8">
        <v>1</v>
      </c>
      <c r="N89" s="8">
        <v>1</v>
      </c>
      <c r="S89" s="8">
        <v>1</v>
      </c>
    </row>
    <row r="90" spans="2:19" x14ac:dyDescent="0.3">
      <c r="B90">
        <f t="shared" si="1"/>
        <v>88</v>
      </c>
      <c r="C90">
        <v>432</v>
      </c>
      <c r="D90">
        <v>185</v>
      </c>
      <c r="E90">
        <v>192</v>
      </c>
      <c r="F90">
        <v>4100</v>
      </c>
      <c r="G90">
        <v>1</v>
      </c>
      <c r="I90" s="8">
        <v>3</v>
      </c>
      <c r="N90" s="8">
        <v>3</v>
      </c>
      <c r="S90" s="8">
        <v>2</v>
      </c>
    </row>
    <row r="91" spans="2:19" x14ac:dyDescent="0.3">
      <c r="B91">
        <f t="shared" si="1"/>
        <v>89</v>
      </c>
      <c r="C91">
        <v>35</v>
      </c>
      <c r="D91">
        <v>179</v>
      </c>
      <c r="E91">
        <v>192</v>
      </c>
      <c r="F91">
        <v>3725</v>
      </c>
      <c r="G91">
        <v>0</v>
      </c>
      <c r="I91" s="8">
        <v>3</v>
      </c>
      <c r="N91" s="8">
        <v>3</v>
      </c>
      <c r="S91" s="8">
        <v>3</v>
      </c>
    </row>
    <row r="92" spans="2:19" x14ac:dyDescent="0.3">
      <c r="B92">
        <f t="shared" si="1"/>
        <v>90</v>
      </c>
      <c r="C92">
        <v>41</v>
      </c>
      <c r="D92">
        <v>20</v>
      </c>
      <c r="E92">
        <v>203</v>
      </c>
      <c r="F92">
        <v>4725</v>
      </c>
      <c r="G92">
        <v>1</v>
      </c>
      <c r="I92" s="8">
        <v>2</v>
      </c>
      <c r="N92" s="8">
        <v>2</v>
      </c>
      <c r="S92" s="8">
        <v>2</v>
      </c>
    </row>
    <row r="93" spans="2:19" x14ac:dyDescent="0.3">
      <c r="B93">
        <f t="shared" si="1"/>
        <v>91</v>
      </c>
      <c r="C93">
        <v>377</v>
      </c>
      <c r="D93">
        <v>16</v>
      </c>
      <c r="E93">
        <v>183</v>
      </c>
      <c r="F93">
        <v>3075</v>
      </c>
      <c r="G93">
        <v>0</v>
      </c>
      <c r="I93" s="8">
        <v>1</v>
      </c>
      <c r="N93" s="8">
        <v>1</v>
      </c>
      <c r="S93" s="8">
        <v>1</v>
      </c>
    </row>
    <row r="94" spans="2:19" x14ac:dyDescent="0.3">
      <c r="B94">
        <f t="shared" si="1"/>
        <v>92</v>
      </c>
      <c r="C94">
        <v>378</v>
      </c>
      <c r="D94">
        <v>20</v>
      </c>
      <c r="E94">
        <v>190</v>
      </c>
      <c r="F94">
        <v>4250</v>
      </c>
      <c r="G94">
        <v>1</v>
      </c>
      <c r="I94" s="8">
        <v>3</v>
      </c>
      <c r="N94" s="8">
        <v>3</v>
      </c>
      <c r="S94" s="8">
        <v>2</v>
      </c>
    </row>
    <row r="95" spans="2:19" x14ac:dyDescent="0.3">
      <c r="B95">
        <f t="shared" si="1"/>
        <v>93</v>
      </c>
      <c r="C95">
        <v>379</v>
      </c>
      <c r="D95">
        <v>186</v>
      </c>
      <c r="E95">
        <v>193</v>
      </c>
      <c r="F95">
        <v>2925</v>
      </c>
      <c r="G95">
        <v>0</v>
      </c>
      <c r="I95" s="8">
        <v>1</v>
      </c>
      <c r="N95" s="8">
        <v>1</v>
      </c>
      <c r="S95" s="8">
        <v>1</v>
      </c>
    </row>
    <row r="96" spans="2:19" x14ac:dyDescent="0.3">
      <c r="B96">
        <f t="shared" si="1"/>
        <v>94</v>
      </c>
      <c r="C96">
        <v>397</v>
      </c>
      <c r="D96">
        <v>189</v>
      </c>
      <c r="E96">
        <v>184</v>
      </c>
      <c r="F96">
        <v>3550</v>
      </c>
      <c r="G96">
        <v>1</v>
      </c>
      <c r="I96" s="8">
        <v>1</v>
      </c>
      <c r="N96" s="8">
        <v>1</v>
      </c>
      <c r="S96" s="8">
        <v>1</v>
      </c>
    </row>
    <row r="97" spans="2:19" x14ac:dyDescent="0.3">
      <c r="B97">
        <f t="shared" si="1"/>
        <v>95</v>
      </c>
      <c r="C97">
        <v>386</v>
      </c>
      <c r="D97">
        <v>172</v>
      </c>
      <c r="E97">
        <v>199</v>
      </c>
      <c r="F97">
        <v>3750</v>
      </c>
      <c r="G97">
        <v>0</v>
      </c>
      <c r="I97" s="8">
        <v>3</v>
      </c>
      <c r="N97" s="8">
        <v>3</v>
      </c>
      <c r="S97" s="8">
        <v>3</v>
      </c>
    </row>
    <row r="98" spans="2:19" x14ac:dyDescent="0.3">
      <c r="B98">
        <f t="shared" si="1"/>
        <v>96</v>
      </c>
      <c r="C98">
        <v>382</v>
      </c>
      <c r="D98">
        <v>20</v>
      </c>
      <c r="E98">
        <v>190</v>
      </c>
      <c r="F98">
        <v>3900</v>
      </c>
      <c r="G98">
        <v>1</v>
      </c>
      <c r="I98" s="8">
        <v>3</v>
      </c>
      <c r="N98" s="8">
        <v>3</v>
      </c>
      <c r="S98" s="8">
        <v>3</v>
      </c>
    </row>
    <row r="99" spans="2:19" x14ac:dyDescent="0.3">
      <c r="B99">
        <f t="shared" si="1"/>
        <v>97</v>
      </c>
      <c r="C99">
        <v>381</v>
      </c>
      <c r="D99">
        <v>17</v>
      </c>
      <c r="E99">
        <v>181</v>
      </c>
      <c r="F99">
        <v>3175</v>
      </c>
      <c r="G99">
        <v>0</v>
      </c>
      <c r="I99" s="8">
        <v>1</v>
      </c>
      <c r="N99" s="8">
        <v>1</v>
      </c>
      <c r="S99" s="8">
        <v>1</v>
      </c>
    </row>
    <row r="100" spans="2:19" x14ac:dyDescent="0.3">
      <c r="B100">
        <f t="shared" si="1"/>
        <v>98</v>
      </c>
      <c r="C100">
        <v>432</v>
      </c>
      <c r="D100">
        <v>19</v>
      </c>
      <c r="E100">
        <v>197</v>
      </c>
      <c r="F100">
        <v>4775</v>
      </c>
      <c r="G100">
        <v>1</v>
      </c>
      <c r="I100" s="8">
        <v>2</v>
      </c>
      <c r="N100" s="8">
        <v>2</v>
      </c>
      <c r="S100" s="8">
        <v>2</v>
      </c>
    </row>
    <row r="101" spans="2:19" x14ac:dyDescent="0.3">
      <c r="B101">
        <f t="shared" si="1"/>
        <v>99</v>
      </c>
      <c r="C101">
        <v>381</v>
      </c>
      <c r="D101">
        <v>165</v>
      </c>
      <c r="E101">
        <v>198</v>
      </c>
      <c r="F101">
        <v>3825</v>
      </c>
      <c r="G101">
        <v>0</v>
      </c>
      <c r="I101" s="8">
        <v>3</v>
      </c>
      <c r="N101" s="8">
        <v>3</v>
      </c>
      <c r="S101" s="8">
        <v>3</v>
      </c>
    </row>
    <row r="102" spans="2:19" x14ac:dyDescent="0.3">
      <c r="B102">
        <f t="shared" si="1"/>
        <v>100</v>
      </c>
      <c r="C102">
        <v>456</v>
      </c>
      <c r="D102">
        <v>203</v>
      </c>
      <c r="E102">
        <v>191</v>
      </c>
      <c r="F102">
        <v>4600</v>
      </c>
      <c r="G102">
        <v>1</v>
      </c>
      <c r="I102" s="8">
        <v>2</v>
      </c>
      <c r="N102" s="8">
        <v>2</v>
      </c>
      <c r="S102" s="8">
        <v>2</v>
      </c>
    </row>
    <row r="103" spans="2:19" x14ac:dyDescent="0.3">
      <c r="B103">
        <f t="shared" si="1"/>
        <v>101</v>
      </c>
      <c r="C103">
        <v>397</v>
      </c>
      <c r="D103">
        <v>177</v>
      </c>
      <c r="E103">
        <v>193</v>
      </c>
      <c r="F103">
        <v>3200</v>
      </c>
      <c r="G103">
        <v>0</v>
      </c>
      <c r="I103" s="8">
        <v>1</v>
      </c>
      <c r="N103" s="8">
        <v>1</v>
      </c>
      <c r="S103" s="8">
        <v>1</v>
      </c>
    </row>
    <row r="104" spans="2:19" x14ac:dyDescent="0.3">
      <c r="B104">
        <f t="shared" si="1"/>
        <v>102</v>
      </c>
      <c r="C104">
        <v>422</v>
      </c>
      <c r="D104">
        <v>195</v>
      </c>
      <c r="E104">
        <v>197</v>
      </c>
      <c r="F104">
        <v>4275</v>
      </c>
      <c r="G104">
        <v>1</v>
      </c>
      <c r="I104" s="8">
        <v>3</v>
      </c>
      <c r="N104" s="8">
        <v>3</v>
      </c>
      <c r="S104" s="8">
        <v>2</v>
      </c>
    </row>
    <row r="105" spans="2:19" x14ac:dyDescent="0.3">
      <c r="B105">
        <f t="shared" si="1"/>
        <v>103</v>
      </c>
      <c r="C105">
        <v>396</v>
      </c>
      <c r="D105">
        <v>207</v>
      </c>
      <c r="E105">
        <v>191</v>
      </c>
      <c r="F105">
        <v>3900</v>
      </c>
      <c r="G105">
        <v>0</v>
      </c>
      <c r="I105" s="8">
        <v>3</v>
      </c>
      <c r="N105" s="8">
        <v>3</v>
      </c>
      <c r="S105" s="8">
        <v>3</v>
      </c>
    </row>
    <row r="106" spans="2:19" x14ac:dyDescent="0.3">
      <c r="B106">
        <f t="shared" si="1"/>
        <v>104</v>
      </c>
      <c r="C106">
        <v>427</v>
      </c>
      <c r="D106">
        <v>183</v>
      </c>
      <c r="E106">
        <v>196</v>
      </c>
      <c r="F106">
        <v>4075</v>
      </c>
      <c r="G106">
        <v>1</v>
      </c>
      <c r="I106" s="8">
        <v>3</v>
      </c>
      <c r="N106" s="8">
        <v>3</v>
      </c>
      <c r="S106" s="8">
        <v>3</v>
      </c>
    </row>
    <row r="107" spans="2:19" x14ac:dyDescent="0.3">
      <c r="B107">
        <f t="shared" si="1"/>
        <v>105</v>
      </c>
      <c r="C107">
        <v>386</v>
      </c>
      <c r="D107">
        <v>17</v>
      </c>
      <c r="E107">
        <v>188</v>
      </c>
      <c r="F107">
        <v>2900</v>
      </c>
      <c r="G107">
        <v>0</v>
      </c>
      <c r="I107" s="8">
        <v>1</v>
      </c>
      <c r="N107" s="8">
        <v>1</v>
      </c>
      <c r="S107" s="8">
        <v>1</v>
      </c>
    </row>
    <row r="108" spans="2:19" x14ac:dyDescent="0.3">
      <c r="B108">
        <f t="shared" si="1"/>
        <v>106</v>
      </c>
      <c r="C108">
        <v>373</v>
      </c>
      <c r="D108">
        <v>205</v>
      </c>
      <c r="E108">
        <v>199</v>
      </c>
      <c r="F108">
        <v>3775</v>
      </c>
      <c r="G108">
        <v>1</v>
      </c>
      <c r="I108" s="8">
        <v>3</v>
      </c>
      <c r="N108" s="8">
        <v>3</v>
      </c>
      <c r="S108" s="8">
        <v>3</v>
      </c>
    </row>
    <row r="109" spans="2:19" x14ac:dyDescent="0.3">
      <c r="B109">
        <f t="shared" si="1"/>
        <v>107</v>
      </c>
      <c r="C109">
        <v>357</v>
      </c>
      <c r="D109">
        <v>17</v>
      </c>
      <c r="E109">
        <v>189</v>
      </c>
      <c r="F109">
        <v>3350</v>
      </c>
      <c r="G109">
        <v>0</v>
      </c>
      <c r="I109" s="8">
        <v>1</v>
      </c>
      <c r="N109" s="8">
        <v>1</v>
      </c>
      <c r="S109" s="8">
        <v>1</v>
      </c>
    </row>
    <row r="110" spans="2:19" x14ac:dyDescent="0.3">
      <c r="B110">
        <f t="shared" si="1"/>
        <v>108</v>
      </c>
      <c r="C110">
        <v>411</v>
      </c>
      <c r="D110">
        <v>186</v>
      </c>
      <c r="E110">
        <v>189</v>
      </c>
      <c r="F110">
        <v>3325</v>
      </c>
      <c r="G110">
        <v>1</v>
      </c>
      <c r="I110" s="8">
        <v>1</v>
      </c>
      <c r="N110" s="8">
        <v>1</v>
      </c>
      <c r="S110" s="8">
        <v>1</v>
      </c>
    </row>
    <row r="111" spans="2:19" x14ac:dyDescent="0.3">
      <c r="B111">
        <f t="shared" si="1"/>
        <v>109</v>
      </c>
      <c r="C111">
        <v>362</v>
      </c>
      <c r="D111">
        <v>172</v>
      </c>
      <c r="E111">
        <v>187</v>
      </c>
      <c r="F111">
        <v>3150</v>
      </c>
      <c r="G111">
        <v>0</v>
      </c>
      <c r="I111" s="8">
        <v>1</v>
      </c>
      <c r="N111" s="8">
        <v>1</v>
      </c>
      <c r="S111" s="8">
        <v>1</v>
      </c>
    </row>
    <row r="112" spans="2:19" x14ac:dyDescent="0.3">
      <c r="B112">
        <f t="shared" si="1"/>
        <v>110</v>
      </c>
      <c r="C112">
        <v>377</v>
      </c>
      <c r="D112">
        <v>198</v>
      </c>
      <c r="E112">
        <v>198</v>
      </c>
      <c r="F112">
        <v>3500</v>
      </c>
      <c r="G112">
        <v>1</v>
      </c>
      <c r="I112" s="8">
        <v>1</v>
      </c>
      <c r="N112" s="8">
        <v>1</v>
      </c>
      <c r="S112" s="8">
        <v>1</v>
      </c>
    </row>
    <row r="113" spans="2:19" x14ac:dyDescent="0.3">
      <c r="B113">
        <f t="shared" si="1"/>
        <v>111</v>
      </c>
      <c r="C113">
        <v>402</v>
      </c>
      <c r="D113">
        <v>17</v>
      </c>
      <c r="E113">
        <v>176</v>
      </c>
      <c r="F113">
        <v>3450</v>
      </c>
      <c r="G113">
        <v>0</v>
      </c>
      <c r="I113" s="8">
        <v>1</v>
      </c>
      <c r="N113" s="8">
        <v>1</v>
      </c>
      <c r="S113" s="8">
        <v>1</v>
      </c>
    </row>
    <row r="114" spans="2:19" x14ac:dyDescent="0.3">
      <c r="B114">
        <f t="shared" si="1"/>
        <v>112</v>
      </c>
      <c r="C114">
        <v>414</v>
      </c>
      <c r="D114">
        <v>185</v>
      </c>
      <c r="E114">
        <v>202</v>
      </c>
      <c r="F114">
        <v>3875</v>
      </c>
      <c r="G114">
        <v>1</v>
      </c>
      <c r="I114" s="8">
        <v>3</v>
      </c>
      <c r="N114" s="8">
        <v>3</v>
      </c>
      <c r="S114" s="8">
        <v>3</v>
      </c>
    </row>
    <row r="115" spans="2:19" x14ac:dyDescent="0.3">
      <c r="B115">
        <f t="shared" si="1"/>
        <v>113</v>
      </c>
      <c r="C115">
        <v>352</v>
      </c>
      <c r="D115">
        <v>159</v>
      </c>
      <c r="E115">
        <v>186</v>
      </c>
      <c r="F115">
        <v>3050</v>
      </c>
      <c r="G115">
        <v>0</v>
      </c>
      <c r="I115" s="8">
        <v>1</v>
      </c>
      <c r="N115" s="8">
        <v>1</v>
      </c>
      <c r="S115" s="8">
        <v>1</v>
      </c>
    </row>
    <row r="116" spans="2:19" x14ac:dyDescent="0.3">
      <c r="B116">
        <f t="shared" si="1"/>
        <v>114</v>
      </c>
      <c r="C116">
        <v>406</v>
      </c>
      <c r="D116">
        <v>19</v>
      </c>
      <c r="E116">
        <v>199</v>
      </c>
      <c r="F116">
        <v>4000</v>
      </c>
      <c r="G116">
        <v>1</v>
      </c>
      <c r="I116" s="8">
        <v>3</v>
      </c>
      <c r="N116" s="8">
        <v>3</v>
      </c>
      <c r="S116" s="8">
        <v>3</v>
      </c>
    </row>
    <row r="117" spans="2:19" x14ac:dyDescent="0.3">
      <c r="B117">
        <f t="shared" si="1"/>
        <v>115</v>
      </c>
      <c r="C117">
        <v>388</v>
      </c>
      <c r="D117">
        <v>176</v>
      </c>
      <c r="E117">
        <v>191</v>
      </c>
      <c r="F117">
        <v>3275</v>
      </c>
      <c r="G117">
        <v>0</v>
      </c>
      <c r="I117" s="8">
        <v>1</v>
      </c>
      <c r="N117" s="8">
        <v>1</v>
      </c>
      <c r="S117" s="8">
        <v>1</v>
      </c>
    </row>
    <row r="118" spans="2:19" x14ac:dyDescent="0.3">
      <c r="B118">
        <f t="shared" si="1"/>
        <v>116</v>
      </c>
      <c r="C118">
        <v>415</v>
      </c>
      <c r="D118">
        <v>183</v>
      </c>
      <c r="E118">
        <v>195</v>
      </c>
      <c r="F118">
        <v>4300</v>
      </c>
      <c r="G118">
        <v>1</v>
      </c>
      <c r="I118" s="8">
        <v>3</v>
      </c>
      <c r="N118" s="8">
        <v>3</v>
      </c>
      <c r="S118" s="8">
        <v>2</v>
      </c>
    </row>
    <row r="119" spans="2:19" x14ac:dyDescent="0.3">
      <c r="B119">
        <f t="shared" si="1"/>
        <v>117</v>
      </c>
      <c r="C119">
        <v>39</v>
      </c>
      <c r="D119">
        <v>171</v>
      </c>
      <c r="E119">
        <v>191</v>
      </c>
      <c r="F119">
        <v>3050</v>
      </c>
      <c r="G119">
        <v>0</v>
      </c>
      <c r="I119" s="8">
        <v>1</v>
      </c>
      <c r="N119" s="8">
        <v>1</v>
      </c>
      <c r="S119" s="8">
        <v>1</v>
      </c>
    </row>
    <row r="120" spans="2:19" x14ac:dyDescent="0.3">
      <c r="B120">
        <f t="shared" si="1"/>
        <v>118</v>
      </c>
      <c r="C120">
        <v>441</v>
      </c>
      <c r="D120">
        <v>18</v>
      </c>
      <c r="E120">
        <v>210</v>
      </c>
      <c r="F120">
        <v>4000</v>
      </c>
      <c r="G120">
        <v>1</v>
      </c>
      <c r="I120" s="8">
        <v>3</v>
      </c>
      <c r="N120" s="8">
        <v>3</v>
      </c>
      <c r="S120" s="8">
        <v>3</v>
      </c>
    </row>
    <row r="121" spans="2:19" x14ac:dyDescent="0.3">
      <c r="B121">
        <f t="shared" si="1"/>
        <v>119</v>
      </c>
      <c r="C121">
        <v>385</v>
      </c>
      <c r="D121">
        <v>179</v>
      </c>
      <c r="E121">
        <v>190</v>
      </c>
      <c r="F121">
        <v>3325</v>
      </c>
      <c r="G121">
        <v>0</v>
      </c>
      <c r="I121" s="8">
        <v>1</v>
      </c>
      <c r="N121" s="8">
        <v>1</v>
      </c>
      <c r="S121" s="8">
        <v>1</v>
      </c>
    </row>
    <row r="122" spans="2:19" x14ac:dyDescent="0.3">
      <c r="B122">
        <f t="shared" si="1"/>
        <v>120</v>
      </c>
      <c r="C122">
        <v>431</v>
      </c>
      <c r="D122">
        <v>192</v>
      </c>
      <c r="E122">
        <v>197</v>
      </c>
      <c r="F122">
        <v>3500</v>
      </c>
      <c r="G122">
        <v>1</v>
      </c>
      <c r="I122" s="8">
        <v>1</v>
      </c>
      <c r="N122" s="8">
        <v>1</v>
      </c>
      <c r="S122" s="8">
        <v>1</v>
      </c>
    </row>
    <row r="123" spans="2:19" x14ac:dyDescent="0.3">
      <c r="B123">
        <f t="shared" si="1"/>
        <v>121</v>
      </c>
      <c r="C123">
        <v>368</v>
      </c>
      <c r="D123">
        <v>185</v>
      </c>
      <c r="E123">
        <v>193</v>
      </c>
      <c r="F123">
        <v>3500</v>
      </c>
      <c r="G123">
        <v>0</v>
      </c>
      <c r="I123" s="8">
        <v>1</v>
      </c>
      <c r="N123" s="8">
        <v>1</v>
      </c>
      <c r="S123" s="8">
        <v>1</v>
      </c>
    </row>
    <row r="124" spans="2:19" x14ac:dyDescent="0.3">
      <c r="B124">
        <f t="shared" si="1"/>
        <v>122</v>
      </c>
      <c r="C124">
        <v>375</v>
      </c>
      <c r="D124">
        <v>185</v>
      </c>
      <c r="E124">
        <v>199</v>
      </c>
      <c r="F124">
        <v>4475</v>
      </c>
      <c r="G124">
        <v>1</v>
      </c>
      <c r="I124" s="8">
        <v>2</v>
      </c>
      <c r="N124" s="8">
        <v>2</v>
      </c>
      <c r="S124" s="8">
        <v>2</v>
      </c>
    </row>
    <row r="125" spans="2:19" x14ac:dyDescent="0.3">
      <c r="B125">
        <f t="shared" si="1"/>
        <v>123</v>
      </c>
      <c r="C125">
        <v>381</v>
      </c>
      <c r="D125">
        <v>176</v>
      </c>
      <c r="E125">
        <v>187</v>
      </c>
      <c r="F125">
        <v>3425</v>
      </c>
      <c r="G125">
        <v>0</v>
      </c>
      <c r="I125" s="8">
        <v>1</v>
      </c>
      <c r="N125" s="8">
        <v>1</v>
      </c>
      <c r="S125" s="8">
        <v>1</v>
      </c>
    </row>
    <row r="126" spans="2:19" x14ac:dyDescent="0.3">
      <c r="B126">
        <f t="shared" si="1"/>
        <v>124</v>
      </c>
      <c r="C126">
        <v>411</v>
      </c>
      <c r="D126">
        <v>175</v>
      </c>
      <c r="E126">
        <v>190</v>
      </c>
      <c r="F126">
        <v>3900</v>
      </c>
      <c r="G126">
        <v>1</v>
      </c>
      <c r="I126" s="8">
        <v>3</v>
      </c>
      <c r="N126" s="8">
        <v>3</v>
      </c>
      <c r="S126" s="8">
        <v>3</v>
      </c>
    </row>
    <row r="127" spans="2:19" x14ac:dyDescent="0.3">
      <c r="B127">
        <f t="shared" si="1"/>
        <v>125</v>
      </c>
      <c r="C127">
        <v>356</v>
      </c>
      <c r="D127">
        <v>175</v>
      </c>
      <c r="E127">
        <v>191</v>
      </c>
      <c r="F127">
        <v>3175</v>
      </c>
      <c r="G127">
        <v>0</v>
      </c>
      <c r="I127" s="8">
        <v>1</v>
      </c>
      <c r="N127" s="8">
        <v>1</v>
      </c>
      <c r="S127" s="8">
        <v>1</v>
      </c>
    </row>
    <row r="128" spans="2:19" x14ac:dyDescent="0.3">
      <c r="B128">
        <f t="shared" si="1"/>
        <v>126</v>
      </c>
      <c r="C128">
        <v>402</v>
      </c>
      <c r="D128">
        <v>201</v>
      </c>
      <c r="E128">
        <v>200</v>
      </c>
      <c r="F128">
        <v>3975</v>
      </c>
      <c r="G128">
        <v>1</v>
      </c>
      <c r="I128" s="8">
        <v>3</v>
      </c>
      <c r="N128" s="8">
        <v>3</v>
      </c>
      <c r="S128" s="8">
        <v>3</v>
      </c>
    </row>
    <row r="129" spans="2:19" x14ac:dyDescent="0.3">
      <c r="B129">
        <f t="shared" si="1"/>
        <v>127</v>
      </c>
      <c r="C129">
        <v>37</v>
      </c>
      <c r="D129">
        <v>165</v>
      </c>
      <c r="E129">
        <v>185</v>
      </c>
      <c r="F129">
        <v>3400</v>
      </c>
      <c r="G129">
        <v>0</v>
      </c>
      <c r="I129" s="8">
        <v>1</v>
      </c>
      <c r="N129" s="8">
        <v>1</v>
      </c>
      <c r="S129" s="8">
        <v>1</v>
      </c>
    </row>
    <row r="130" spans="2:19" x14ac:dyDescent="0.3">
      <c r="B130">
        <f t="shared" si="1"/>
        <v>128</v>
      </c>
      <c r="C130">
        <v>397</v>
      </c>
      <c r="D130">
        <v>179</v>
      </c>
      <c r="E130">
        <v>193</v>
      </c>
      <c r="F130">
        <v>4250</v>
      </c>
      <c r="G130">
        <v>1</v>
      </c>
      <c r="I130" s="8">
        <v>3</v>
      </c>
      <c r="N130" s="8">
        <v>3</v>
      </c>
      <c r="S130" s="8">
        <v>2</v>
      </c>
    </row>
    <row r="131" spans="2:19" x14ac:dyDescent="0.3">
      <c r="B131">
        <f t="shared" si="1"/>
        <v>129</v>
      </c>
      <c r="C131">
        <v>402</v>
      </c>
      <c r="D131">
        <v>171</v>
      </c>
      <c r="E131">
        <v>193</v>
      </c>
      <c r="F131">
        <v>3400</v>
      </c>
      <c r="G131">
        <v>0</v>
      </c>
      <c r="I131" s="8">
        <v>1</v>
      </c>
      <c r="N131" s="8">
        <v>1</v>
      </c>
      <c r="S131" s="8">
        <v>1</v>
      </c>
    </row>
    <row r="132" spans="2:19" x14ac:dyDescent="0.3">
      <c r="B132">
        <f t="shared" si="1"/>
        <v>130</v>
      </c>
      <c r="C132">
        <v>406</v>
      </c>
      <c r="D132">
        <v>172</v>
      </c>
      <c r="E132">
        <v>187</v>
      </c>
      <c r="F132">
        <v>3475</v>
      </c>
      <c r="G132">
        <v>1</v>
      </c>
      <c r="I132" s="8">
        <v>1</v>
      </c>
      <c r="N132" s="8">
        <v>1</v>
      </c>
      <c r="S132" s="8">
        <v>1</v>
      </c>
    </row>
    <row r="133" spans="2:19" x14ac:dyDescent="0.3">
      <c r="B133">
        <f t="shared" si="1"/>
        <v>131</v>
      </c>
      <c r="C133">
        <v>321</v>
      </c>
      <c r="D133">
        <v>155</v>
      </c>
      <c r="E133">
        <v>188</v>
      </c>
      <c r="F133">
        <v>3050</v>
      </c>
      <c r="G133">
        <v>0</v>
      </c>
      <c r="I133" s="8">
        <v>1</v>
      </c>
      <c r="N133" s="8">
        <v>1</v>
      </c>
      <c r="S133" s="8">
        <v>1</v>
      </c>
    </row>
    <row r="134" spans="2:19" x14ac:dyDescent="0.3">
      <c r="B134">
        <f t="shared" si="1"/>
        <v>132</v>
      </c>
      <c r="C134">
        <v>407</v>
      </c>
      <c r="D134">
        <v>17</v>
      </c>
      <c r="E134">
        <v>190</v>
      </c>
      <c r="F134">
        <v>3725</v>
      </c>
      <c r="G134">
        <v>1</v>
      </c>
      <c r="I134" s="8">
        <v>3</v>
      </c>
      <c r="N134" s="8">
        <v>3</v>
      </c>
      <c r="S134" s="8">
        <v>3</v>
      </c>
    </row>
    <row r="135" spans="2:19" x14ac:dyDescent="0.3">
      <c r="B135">
        <f t="shared" ref="B135:B198" si="2">1+B134</f>
        <v>133</v>
      </c>
      <c r="C135">
        <v>373</v>
      </c>
      <c r="D135">
        <v>168</v>
      </c>
      <c r="E135">
        <v>192</v>
      </c>
      <c r="F135">
        <v>3000</v>
      </c>
      <c r="G135">
        <v>0</v>
      </c>
      <c r="I135" s="8">
        <v>1</v>
      </c>
      <c r="N135" s="8">
        <v>1</v>
      </c>
      <c r="S135" s="8">
        <v>1</v>
      </c>
    </row>
    <row r="136" spans="2:19" x14ac:dyDescent="0.3">
      <c r="B136">
        <f t="shared" si="2"/>
        <v>134</v>
      </c>
      <c r="C136">
        <v>39</v>
      </c>
      <c r="D136">
        <v>187</v>
      </c>
      <c r="E136">
        <v>185</v>
      </c>
      <c r="F136">
        <v>3650</v>
      </c>
      <c r="G136">
        <v>1</v>
      </c>
      <c r="I136" s="8">
        <v>3</v>
      </c>
      <c r="N136" s="8">
        <v>3</v>
      </c>
      <c r="S136" s="8">
        <v>3</v>
      </c>
    </row>
    <row r="137" spans="2:19" x14ac:dyDescent="0.3">
      <c r="B137">
        <f t="shared" si="2"/>
        <v>135</v>
      </c>
      <c r="C137">
        <v>392</v>
      </c>
      <c r="D137">
        <v>186</v>
      </c>
      <c r="E137">
        <v>190</v>
      </c>
      <c r="F137">
        <v>4250</v>
      </c>
      <c r="G137">
        <v>1</v>
      </c>
      <c r="I137" s="8">
        <v>3</v>
      </c>
      <c r="N137" s="8">
        <v>3</v>
      </c>
      <c r="S137" s="8">
        <v>2</v>
      </c>
    </row>
    <row r="138" spans="2:19" x14ac:dyDescent="0.3">
      <c r="B138">
        <f t="shared" si="2"/>
        <v>136</v>
      </c>
      <c r="C138">
        <v>366</v>
      </c>
      <c r="D138">
        <v>184</v>
      </c>
      <c r="E138">
        <v>184</v>
      </c>
      <c r="F138">
        <v>3475</v>
      </c>
      <c r="G138">
        <v>0</v>
      </c>
      <c r="I138" s="8">
        <v>1</v>
      </c>
      <c r="N138" s="8">
        <v>1</v>
      </c>
      <c r="S138" s="8">
        <v>1</v>
      </c>
    </row>
    <row r="139" spans="2:19" x14ac:dyDescent="0.3">
      <c r="B139">
        <f t="shared" si="2"/>
        <v>137</v>
      </c>
      <c r="C139">
        <v>36</v>
      </c>
      <c r="D139">
        <v>178</v>
      </c>
      <c r="E139">
        <v>195</v>
      </c>
      <c r="F139">
        <v>3450</v>
      </c>
      <c r="G139">
        <v>0</v>
      </c>
      <c r="I139" s="8">
        <v>1</v>
      </c>
      <c r="N139" s="8">
        <v>1</v>
      </c>
      <c r="S139" s="8">
        <v>1</v>
      </c>
    </row>
    <row r="140" spans="2:19" x14ac:dyDescent="0.3">
      <c r="B140">
        <f t="shared" si="2"/>
        <v>138</v>
      </c>
      <c r="C140">
        <v>378</v>
      </c>
      <c r="D140">
        <v>181</v>
      </c>
      <c r="E140">
        <v>193</v>
      </c>
      <c r="F140">
        <v>3750</v>
      </c>
      <c r="G140">
        <v>1</v>
      </c>
      <c r="I140" s="8">
        <v>3</v>
      </c>
      <c r="N140" s="8">
        <v>3</v>
      </c>
      <c r="S140" s="8">
        <v>3</v>
      </c>
    </row>
    <row r="141" spans="2:19" x14ac:dyDescent="0.3">
      <c r="B141">
        <f t="shared" si="2"/>
        <v>139</v>
      </c>
      <c r="C141">
        <v>36</v>
      </c>
      <c r="D141">
        <v>171</v>
      </c>
      <c r="E141">
        <v>187</v>
      </c>
      <c r="F141">
        <v>3700</v>
      </c>
      <c r="G141">
        <v>0</v>
      </c>
      <c r="I141" s="8">
        <v>3</v>
      </c>
      <c r="N141" s="8">
        <v>3</v>
      </c>
      <c r="S141" s="8">
        <v>3</v>
      </c>
    </row>
    <row r="142" spans="2:19" x14ac:dyDescent="0.3">
      <c r="B142">
        <f t="shared" si="2"/>
        <v>140</v>
      </c>
      <c r="C142">
        <v>415</v>
      </c>
      <c r="D142">
        <v>185</v>
      </c>
      <c r="E142">
        <v>201</v>
      </c>
      <c r="F142">
        <v>4000</v>
      </c>
      <c r="G142">
        <v>1</v>
      </c>
      <c r="I142" s="8">
        <v>3</v>
      </c>
      <c r="N142" s="8">
        <v>3</v>
      </c>
      <c r="S142" s="8">
        <v>3</v>
      </c>
    </row>
    <row r="143" spans="2:19" x14ac:dyDescent="0.3">
      <c r="B143">
        <f t="shared" si="2"/>
        <v>141</v>
      </c>
      <c r="C143">
        <v>465</v>
      </c>
      <c r="D143">
        <v>179</v>
      </c>
      <c r="E143">
        <v>192</v>
      </c>
      <c r="F143">
        <v>3500</v>
      </c>
      <c r="G143">
        <v>0</v>
      </c>
      <c r="I143" s="8">
        <v>1</v>
      </c>
      <c r="N143" s="8">
        <v>1</v>
      </c>
      <c r="S143" s="8">
        <v>1</v>
      </c>
    </row>
    <row r="144" spans="2:19" x14ac:dyDescent="0.3">
      <c r="B144">
        <f t="shared" si="2"/>
        <v>142</v>
      </c>
      <c r="C144">
        <v>50</v>
      </c>
      <c r="D144">
        <v>195</v>
      </c>
      <c r="E144">
        <v>196</v>
      </c>
      <c r="F144">
        <v>3900</v>
      </c>
      <c r="G144">
        <v>1</v>
      </c>
      <c r="I144" s="8">
        <v>3</v>
      </c>
      <c r="N144" s="8">
        <v>3</v>
      </c>
      <c r="S144" s="8">
        <v>3</v>
      </c>
    </row>
    <row r="145" spans="2:19" x14ac:dyDescent="0.3">
      <c r="B145">
        <f t="shared" si="2"/>
        <v>143</v>
      </c>
      <c r="C145">
        <v>513</v>
      </c>
      <c r="D145">
        <v>192</v>
      </c>
      <c r="E145">
        <v>193</v>
      </c>
      <c r="F145">
        <v>3650</v>
      </c>
      <c r="G145">
        <v>1</v>
      </c>
      <c r="I145" s="8">
        <v>3</v>
      </c>
      <c r="N145" s="8">
        <v>3</v>
      </c>
      <c r="S145" s="8">
        <v>1</v>
      </c>
    </row>
    <row r="146" spans="2:19" x14ac:dyDescent="0.3">
      <c r="B146">
        <f t="shared" si="2"/>
        <v>144</v>
      </c>
      <c r="C146">
        <v>454</v>
      </c>
      <c r="D146">
        <v>187</v>
      </c>
      <c r="E146">
        <v>188</v>
      </c>
      <c r="F146">
        <v>3525</v>
      </c>
      <c r="G146">
        <v>0</v>
      </c>
      <c r="I146" s="8">
        <v>1</v>
      </c>
      <c r="N146" s="8">
        <v>1</v>
      </c>
      <c r="S146" s="8">
        <v>1</v>
      </c>
    </row>
    <row r="147" spans="2:19" x14ac:dyDescent="0.3">
      <c r="B147">
        <f t="shared" si="2"/>
        <v>145</v>
      </c>
      <c r="C147">
        <v>527</v>
      </c>
      <c r="D147">
        <v>198</v>
      </c>
      <c r="E147">
        <v>197</v>
      </c>
      <c r="F147">
        <v>3725</v>
      </c>
      <c r="G147">
        <v>1</v>
      </c>
      <c r="I147" s="8">
        <v>3</v>
      </c>
      <c r="N147" s="8">
        <v>3</v>
      </c>
      <c r="S147" s="8">
        <v>3</v>
      </c>
    </row>
    <row r="148" spans="2:19" x14ac:dyDescent="0.3">
      <c r="B148">
        <f t="shared" si="2"/>
        <v>146</v>
      </c>
      <c r="C148">
        <v>452</v>
      </c>
      <c r="D148">
        <v>178</v>
      </c>
      <c r="E148">
        <v>198</v>
      </c>
      <c r="F148">
        <v>3950</v>
      </c>
      <c r="G148">
        <v>0</v>
      </c>
      <c r="I148" s="8">
        <v>3</v>
      </c>
      <c r="N148" s="8">
        <v>3</v>
      </c>
      <c r="S148" s="8">
        <v>3</v>
      </c>
    </row>
    <row r="149" spans="2:19" x14ac:dyDescent="0.3">
      <c r="B149">
        <f t="shared" si="2"/>
        <v>147</v>
      </c>
      <c r="C149">
        <v>461</v>
      </c>
      <c r="D149">
        <v>182</v>
      </c>
      <c r="E149">
        <v>178</v>
      </c>
      <c r="F149">
        <v>3250</v>
      </c>
      <c r="G149">
        <v>0</v>
      </c>
      <c r="I149" s="8">
        <v>1</v>
      </c>
      <c r="N149" s="8">
        <v>1</v>
      </c>
      <c r="S149" s="8">
        <v>1</v>
      </c>
    </row>
    <row r="150" spans="2:19" x14ac:dyDescent="0.3">
      <c r="B150">
        <f t="shared" si="2"/>
        <v>148</v>
      </c>
      <c r="C150">
        <v>513</v>
      </c>
      <c r="D150">
        <v>182</v>
      </c>
      <c r="E150">
        <v>197</v>
      </c>
      <c r="F150">
        <v>3750</v>
      </c>
      <c r="G150">
        <v>1</v>
      </c>
      <c r="I150" s="8">
        <v>3</v>
      </c>
      <c r="N150" s="8">
        <v>3</v>
      </c>
      <c r="S150" s="8">
        <v>3</v>
      </c>
    </row>
    <row r="151" spans="2:19" x14ac:dyDescent="0.3">
      <c r="B151">
        <f t="shared" si="2"/>
        <v>149</v>
      </c>
      <c r="C151">
        <v>46</v>
      </c>
      <c r="D151">
        <v>189</v>
      </c>
      <c r="E151">
        <v>195</v>
      </c>
      <c r="F151">
        <v>4150</v>
      </c>
      <c r="G151">
        <v>0</v>
      </c>
      <c r="I151" s="8">
        <v>3</v>
      </c>
      <c r="N151" s="8">
        <v>3</v>
      </c>
      <c r="S151" s="8">
        <v>2</v>
      </c>
    </row>
    <row r="152" spans="2:19" x14ac:dyDescent="0.3">
      <c r="B152">
        <f t="shared" si="2"/>
        <v>150</v>
      </c>
      <c r="C152">
        <v>513</v>
      </c>
      <c r="D152">
        <v>199</v>
      </c>
      <c r="E152">
        <v>198</v>
      </c>
      <c r="F152">
        <v>3700</v>
      </c>
      <c r="G152">
        <v>1</v>
      </c>
      <c r="I152" s="8">
        <v>3</v>
      </c>
      <c r="N152" s="8">
        <v>3</v>
      </c>
      <c r="S152" s="8">
        <v>3</v>
      </c>
    </row>
    <row r="153" spans="2:19" x14ac:dyDescent="0.3">
      <c r="B153">
        <f t="shared" si="2"/>
        <v>151</v>
      </c>
      <c r="C153">
        <v>466</v>
      </c>
      <c r="D153">
        <v>178</v>
      </c>
      <c r="E153">
        <v>193</v>
      </c>
      <c r="F153">
        <v>3800</v>
      </c>
      <c r="G153">
        <v>0</v>
      </c>
      <c r="I153" s="8">
        <v>3</v>
      </c>
      <c r="N153" s="8">
        <v>3</v>
      </c>
      <c r="S153" s="8">
        <v>3</v>
      </c>
    </row>
    <row r="154" spans="2:19" x14ac:dyDescent="0.3">
      <c r="B154">
        <f t="shared" si="2"/>
        <v>152</v>
      </c>
      <c r="C154">
        <v>517</v>
      </c>
      <c r="D154">
        <v>203</v>
      </c>
      <c r="E154">
        <v>194</v>
      </c>
      <c r="F154">
        <v>3775</v>
      </c>
      <c r="G154">
        <v>1</v>
      </c>
      <c r="I154" s="8">
        <v>3</v>
      </c>
      <c r="N154" s="8">
        <v>3</v>
      </c>
      <c r="S154" s="8">
        <v>3</v>
      </c>
    </row>
    <row r="155" spans="2:19" x14ac:dyDescent="0.3">
      <c r="B155">
        <f t="shared" si="2"/>
        <v>153</v>
      </c>
      <c r="C155">
        <v>47</v>
      </c>
      <c r="D155">
        <v>173</v>
      </c>
      <c r="E155">
        <v>185</v>
      </c>
      <c r="F155">
        <v>3700</v>
      </c>
      <c r="G155">
        <v>0</v>
      </c>
      <c r="I155" s="8">
        <v>3</v>
      </c>
      <c r="N155" s="8">
        <v>3</v>
      </c>
      <c r="S155" s="8">
        <v>3</v>
      </c>
    </row>
    <row r="156" spans="2:19" x14ac:dyDescent="0.3">
      <c r="B156">
        <f t="shared" si="2"/>
        <v>154</v>
      </c>
      <c r="C156">
        <v>52</v>
      </c>
      <c r="D156">
        <v>181</v>
      </c>
      <c r="E156">
        <v>201</v>
      </c>
      <c r="F156">
        <v>4050</v>
      </c>
      <c r="G156">
        <v>1</v>
      </c>
      <c r="I156" s="8">
        <v>3</v>
      </c>
      <c r="N156" s="8">
        <v>3</v>
      </c>
      <c r="S156" s="8">
        <v>3</v>
      </c>
    </row>
    <row r="157" spans="2:19" x14ac:dyDescent="0.3">
      <c r="B157">
        <f t="shared" si="2"/>
        <v>155</v>
      </c>
      <c r="C157">
        <v>459</v>
      </c>
      <c r="D157">
        <v>171</v>
      </c>
      <c r="E157">
        <v>190</v>
      </c>
      <c r="F157">
        <v>3575</v>
      </c>
      <c r="G157">
        <v>0</v>
      </c>
      <c r="I157" s="8">
        <v>1</v>
      </c>
      <c r="N157" s="8">
        <v>1</v>
      </c>
      <c r="S157" s="8">
        <v>1</v>
      </c>
    </row>
    <row r="158" spans="2:19" x14ac:dyDescent="0.3">
      <c r="B158">
        <f t="shared" si="2"/>
        <v>156</v>
      </c>
      <c r="C158">
        <v>505</v>
      </c>
      <c r="D158">
        <v>196</v>
      </c>
      <c r="E158">
        <v>201</v>
      </c>
      <c r="F158">
        <v>4050</v>
      </c>
      <c r="G158">
        <v>1</v>
      </c>
      <c r="I158" s="8">
        <v>3</v>
      </c>
      <c r="N158" s="8">
        <v>3</v>
      </c>
      <c r="S158" s="8">
        <v>3</v>
      </c>
    </row>
    <row r="159" spans="2:19" x14ac:dyDescent="0.3">
      <c r="B159">
        <f t="shared" si="2"/>
        <v>157</v>
      </c>
      <c r="C159">
        <v>503</v>
      </c>
      <c r="D159">
        <v>20</v>
      </c>
      <c r="E159">
        <v>197</v>
      </c>
      <c r="F159">
        <v>3300</v>
      </c>
      <c r="G159">
        <v>1</v>
      </c>
      <c r="I159" s="8">
        <v>1</v>
      </c>
      <c r="N159" s="8">
        <v>1</v>
      </c>
      <c r="S159" s="8">
        <v>1</v>
      </c>
    </row>
    <row r="160" spans="2:19" x14ac:dyDescent="0.3">
      <c r="B160">
        <f t="shared" si="2"/>
        <v>158</v>
      </c>
      <c r="C160">
        <v>58</v>
      </c>
      <c r="D160">
        <v>178</v>
      </c>
      <c r="E160">
        <v>181</v>
      </c>
      <c r="F160">
        <v>3700</v>
      </c>
      <c r="G160">
        <v>0</v>
      </c>
      <c r="I160" s="8">
        <v>3</v>
      </c>
      <c r="N160" s="8">
        <v>3</v>
      </c>
      <c r="S160" s="8">
        <v>3</v>
      </c>
    </row>
    <row r="161" spans="2:19" x14ac:dyDescent="0.3">
      <c r="B161">
        <f t="shared" si="2"/>
        <v>159</v>
      </c>
      <c r="C161">
        <v>464</v>
      </c>
      <c r="D161">
        <v>186</v>
      </c>
      <c r="E161">
        <v>190</v>
      </c>
      <c r="F161">
        <v>3450</v>
      </c>
      <c r="G161">
        <v>0</v>
      </c>
      <c r="I161" s="8">
        <v>1</v>
      </c>
      <c r="N161" s="8">
        <v>1</v>
      </c>
      <c r="S161" s="8">
        <v>1</v>
      </c>
    </row>
    <row r="162" spans="2:19" x14ac:dyDescent="0.3">
      <c r="B162">
        <f t="shared" si="2"/>
        <v>160</v>
      </c>
      <c r="C162">
        <v>492</v>
      </c>
      <c r="D162">
        <v>182</v>
      </c>
      <c r="E162">
        <v>195</v>
      </c>
      <c r="F162">
        <v>4400</v>
      </c>
      <c r="G162">
        <v>1</v>
      </c>
      <c r="I162" s="8">
        <v>3</v>
      </c>
      <c r="N162" s="8">
        <v>2</v>
      </c>
      <c r="S162" s="8">
        <v>2</v>
      </c>
    </row>
    <row r="163" spans="2:19" x14ac:dyDescent="0.3">
      <c r="B163">
        <f t="shared" si="2"/>
        <v>161</v>
      </c>
      <c r="C163">
        <v>424</v>
      </c>
      <c r="D163">
        <v>173</v>
      </c>
      <c r="E163">
        <v>181</v>
      </c>
      <c r="F163">
        <v>3600</v>
      </c>
      <c r="G163">
        <v>0</v>
      </c>
      <c r="I163" s="8">
        <v>1</v>
      </c>
      <c r="N163" s="8">
        <v>1</v>
      </c>
      <c r="S163" s="8">
        <v>1</v>
      </c>
    </row>
    <row r="164" spans="2:19" x14ac:dyDescent="0.3">
      <c r="B164">
        <f t="shared" si="2"/>
        <v>162</v>
      </c>
      <c r="C164">
        <v>485</v>
      </c>
      <c r="D164">
        <v>175</v>
      </c>
      <c r="E164">
        <v>191</v>
      </c>
      <c r="F164">
        <v>3400</v>
      </c>
      <c r="G164">
        <v>1</v>
      </c>
      <c r="I164" s="8">
        <v>1</v>
      </c>
      <c r="N164" s="8">
        <v>1</v>
      </c>
      <c r="S164" s="8">
        <v>1</v>
      </c>
    </row>
    <row r="165" spans="2:19" x14ac:dyDescent="0.3">
      <c r="B165">
        <f t="shared" si="2"/>
        <v>163</v>
      </c>
      <c r="C165">
        <v>432</v>
      </c>
      <c r="D165">
        <v>166</v>
      </c>
      <c r="E165">
        <v>187</v>
      </c>
      <c r="F165">
        <v>2900</v>
      </c>
      <c r="G165">
        <v>0</v>
      </c>
      <c r="I165" s="8">
        <v>1</v>
      </c>
      <c r="N165" s="8">
        <v>1</v>
      </c>
      <c r="S165" s="8">
        <v>1</v>
      </c>
    </row>
    <row r="166" spans="2:19" x14ac:dyDescent="0.3">
      <c r="B166">
        <f t="shared" si="2"/>
        <v>164</v>
      </c>
      <c r="C166">
        <v>506</v>
      </c>
      <c r="D166">
        <v>194</v>
      </c>
      <c r="E166">
        <v>193</v>
      </c>
      <c r="F166">
        <v>3800</v>
      </c>
      <c r="G166">
        <v>1</v>
      </c>
      <c r="I166" s="8">
        <v>3</v>
      </c>
      <c r="N166" s="8">
        <v>3</v>
      </c>
      <c r="S166" s="8">
        <v>3</v>
      </c>
    </row>
    <row r="167" spans="2:19" x14ac:dyDescent="0.3">
      <c r="B167">
        <f t="shared" si="2"/>
        <v>165</v>
      </c>
      <c r="C167">
        <v>467</v>
      </c>
      <c r="D167">
        <v>179</v>
      </c>
      <c r="E167">
        <v>195</v>
      </c>
      <c r="F167">
        <v>3300</v>
      </c>
      <c r="G167">
        <v>0</v>
      </c>
      <c r="I167" s="8">
        <v>1</v>
      </c>
      <c r="N167" s="8">
        <v>1</v>
      </c>
      <c r="S167" s="8">
        <v>1</v>
      </c>
    </row>
    <row r="168" spans="2:19" x14ac:dyDescent="0.3">
      <c r="B168">
        <f t="shared" si="2"/>
        <v>166</v>
      </c>
      <c r="C168">
        <v>52</v>
      </c>
      <c r="D168">
        <v>19</v>
      </c>
      <c r="E168">
        <v>197</v>
      </c>
      <c r="F168">
        <v>4150</v>
      </c>
      <c r="G168">
        <v>1</v>
      </c>
      <c r="I168" s="8">
        <v>3</v>
      </c>
      <c r="N168" s="8">
        <v>3</v>
      </c>
      <c r="S168" s="8">
        <v>2</v>
      </c>
    </row>
    <row r="169" spans="2:19" x14ac:dyDescent="0.3">
      <c r="B169">
        <f t="shared" si="2"/>
        <v>167</v>
      </c>
      <c r="C169">
        <v>505</v>
      </c>
      <c r="D169">
        <v>184</v>
      </c>
      <c r="E169">
        <v>200</v>
      </c>
      <c r="F169">
        <v>3400</v>
      </c>
      <c r="G169">
        <v>0</v>
      </c>
      <c r="I169" s="8">
        <v>1</v>
      </c>
      <c r="N169" s="8">
        <v>1</v>
      </c>
      <c r="S169" s="8">
        <v>1</v>
      </c>
    </row>
    <row r="170" spans="2:19" x14ac:dyDescent="0.3">
      <c r="B170">
        <f t="shared" si="2"/>
        <v>168</v>
      </c>
      <c r="C170">
        <v>495</v>
      </c>
      <c r="D170">
        <v>19</v>
      </c>
      <c r="E170">
        <v>200</v>
      </c>
      <c r="F170">
        <v>3800</v>
      </c>
      <c r="G170">
        <v>1</v>
      </c>
      <c r="I170" s="8">
        <v>3</v>
      </c>
      <c r="N170" s="8">
        <v>3</v>
      </c>
      <c r="S170" s="8">
        <v>3</v>
      </c>
    </row>
    <row r="171" spans="2:19" x14ac:dyDescent="0.3">
      <c r="B171">
        <f t="shared" si="2"/>
        <v>169</v>
      </c>
      <c r="C171">
        <v>464</v>
      </c>
      <c r="D171">
        <v>178</v>
      </c>
      <c r="E171">
        <v>191</v>
      </c>
      <c r="F171">
        <v>3700</v>
      </c>
      <c r="G171">
        <v>0</v>
      </c>
      <c r="I171" s="8">
        <v>3</v>
      </c>
      <c r="N171" s="8">
        <v>3</v>
      </c>
      <c r="S171" s="8">
        <v>3</v>
      </c>
    </row>
    <row r="172" spans="2:19" x14ac:dyDescent="0.3">
      <c r="B172">
        <f t="shared" si="2"/>
        <v>170</v>
      </c>
      <c r="C172">
        <v>528</v>
      </c>
      <c r="D172">
        <v>20</v>
      </c>
      <c r="E172">
        <v>205</v>
      </c>
      <c r="F172">
        <v>4550</v>
      </c>
      <c r="G172">
        <v>1</v>
      </c>
      <c r="I172" s="8">
        <v>2</v>
      </c>
      <c r="N172" s="8">
        <v>2</v>
      </c>
      <c r="S172" s="8">
        <v>2</v>
      </c>
    </row>
    <row r="173" spans="2:19" x14ac:dyDescent="0.3">
      <c r="B173">
        <f t="shared" si="2"/>
        <v>171</v>
      </c>
      <c r="C173">
        <v>409</v>
      </c>
      <c r="D173">
        <v>166</v>
      </c>
      <c r="E173">
        <v>187</v>
      </c>
      <c r="F173">
        <v>3200</v>
      </c>
      <c r="G173">
        <v>0</v>
      </c>
      <c r="I173" s="8">
        <v>1</v>
      </c>
      <c r="N173" s="8">
        <v>1</v>
      </c>
      <c r="S173" s="8">
        <v>1</v>
      </c>
    </row>
    <row r="174" spans="2:19" x14ac:dyDescent="0.3">
      <c r="B174">
        <f t="shared" si="2"/>
        <v>172</v>
      </c>
      <c r="C174">
        <v>542</v>
      </c>
      <c r="D174">
        <v>208</v>
      </c>
      <c r="E174">
        <v>201</v>
      </c>
      <c r="F174">
        <v>4300</v>
      </c>
      <c r="G174">
        <v>1</v>
      </c>
      <c r="I174" s="8">
        <v>3</v>
      </c>
      <c r="N174" s="8">
        <v>3</v>
      </c>
      <c r="S174" s="8">
        <v>2</v>
      </c>
    </row>
    <row r="175" spans="2:19" x14ac:dyDescent="0.3">
      <c r="B175">
        <f t="shared" si="2"/>
        <v>173</v>
      </c>
      <c r="C175">
        <v>425</v>
      </c>
      <c r="D175">
        <v>167</v>
      </c>
      <c r="E175">
        <v>187</v>
      </c>
      <c r="F175">
        <v>3350</v>
      </c>
      <c r="G175">
        <v>0</v>
      </c>
      <c r="I175" s="8">
        <v>1</v>
      </c>
      <c r="N175" s="8">
        <v>1</v>
      </c>
      <c r="S175" s="8">
        <v>1</v>
      </c>
    </row>
    <row r="176" spans="2:19" x14ac:dyDescent="0.3">
      <c r="B176">
        <f t="shared" si="2"/>
        <v>174</v>
      </c>
      <c r="C176">
        <v>51</v>
      </c>
      <c r="D176">
        <v>188</v>
      </c>
      <c r="E176">
        <v>203</v>
      </c>
      <c r="F176">
        <v>4100</v>
      </c>
      <c r="G176">
        <v>1</v>
      </c>
      <c r="I176" s="8">
        <v>3</v>
      </c>
      <c r="N176" s="8">
        <v>3</v>
      </c>
      <c r="S176" s="8">
        <v>3</v>
      </c>
    </row>
    <row r="177" spans="2:19" x14ac:dyDescent="0.3">
      <c r="B177">
        <f t="shared" si="2"/>
        <v>175</v>
      </c>
      <c r="C177">
        <v>497</v>
      </c>
      <c r="D177">
        <v>186</v>
      </c>
      <c r="E177">
        <v>195</v>
      </c>
      <c r="F177">
        <v>3600</v>
      </c>
      <c r="G177">
        <v>1</v>
      </c>
      <c r="I177" s="8">
        <v>1</v>
      </c>
      <c r="N177" s="8">
        <v>1</v>
      </c>
      <c r="S177" s="8">
        <v>1</v>
      </c>
    </row>
    <row r="178" spans="2:19" x14ac:dyDescent="0.3">
      <c r="B178">
        <f t="shared" si="2"/>
        <v>176</v>
      </c>
      <c r="C178">
        <v>475</v>
      </c>
      <c r="D178">
        <v>168</v>
      </c>
      <c r="E178">
        <v>199</v>
      </c>
      <c r="F178">
        <v>3900</v>
      </c>
      <c r="G178">
        <v>0</v>
      </c>
      <c r="I178" s="8">
        <v>3</v>
      </c>
      <c r="N178" s="8">
        <v>3</v>
      </c>
      <c r="S178" s="8">
        <v>3</v>
      </c>
    </row>
    <row r="179" spans="2:19" x14ac:dyDescent="0.3">
      <c r="B179">
        <f t="shared" si="2"/>
        <v>177</v>
      </c>
      <c r="C179">
        <v>476</v>
      </c>
      <c r="D179">
        <v>183</v>
      </c>
      <c r="E179">
        <v>195</v>
      </c>
      <c r="F179">
        <v>3850</v>
      </c>
      <c r="G179">
        <v>0</v>
      </c>
      <c r="I179" s="8">
        <v>3</v>
      </c>
      <c r="N179" s="8">
        <v>3</v>
      </c>
      <c r="S179" s="8">
        <v>3</v>
      </c>
    </row>
    <row r="180" spans="2:19" x14ac:dyDescent="0.3">
      <c r="B180">
        <f t="shared" si="2"/>
        <v>178</v>
      </c>
      <c r="C180">
        <v>52</v>
      </c>
      <c r="D180">
        <v>207</v>
      </c>
      <c r="E180">
        <v>210</v>
      </c>
      <c r="F180">
        <v>4800</v>
      </c>
      <c r="G180">
        <v>1</v>
      </c>
      <c r="I180" s="8">
        <v>2</v>
      </c>
      <c r="N180" s="8">
        <v>2</v>
      </c>
      <c r="S180" s="8">
        <v>2</v>
      </c>
    </row>
    <row r="181" spans="2:19" x14ac:dyDescent="0.3">
      <c r="B181">
        <f t="shared" si="2"/>
        <v>179</v>
      </c>
      <c r="C181">
        <v>469</v>
      </c>
      <c r="D181">
        <v>166</v>
      </c>
      <c r="E181">
        <v>192</v>
      </c>
      <c r="F181">
        <v>2700</v>
      </c>
      <c r="G181">
        <v>0</v>
      </c>
      <c r="I181" s="8">
        <v>1</v>
      </c>
      <c r="N181" s="8">
        <v>1</v>
      </c>
      <c r="S181" s="8">
        <v>1</v>
      </c>
    </row>
    <row r="182" spans="2:19" x14ac:dyDescent="0.3">
      <c r="B182">
        <f t="shared" si="2"/>
        <v>180</v>
      </c>
      <c r="C182">
        <v>535</v>
      </c>
      <c r="D182">
        <v>199</v>
      </c>
      <c r="E182">
        <v>205</v>
      </c>
      <c r="F182">
        <v>4500</v>
      </c>
      <c r="G182">
        <v>1</v>
      </c>
      <c r="I182" s="8">
        <v>2</v>
      </c>
      <c r="N182" s="8">
        <v>2</v>
      </c>
      <c r="S182" s="8">
        <v>2</v>
      </c>
    </row>
    <row r="183" spans="2:19" x14ac:dyDescent="0.3">
      <c r="B183">
        <f t="shared" si="2"/>
        <v>181</v>
      </c>
      <c r="C183">
        <v>49</v>
      </c>
      <c r="D183">
        <v>195</v>
      </c>
      <c r="E183">
        <v>210</v>
      </c>
      <c r="F183">
        <v>3950</v>
      </c>
      <c r="G183">
        <v>1</v>
      </c>
      <c r="I183" s="8">
        <v>3</v>
      </c>
      <c r="N183" s="8">
        <v>3</v>
      </c>
      <c r="S183" s="8">
        <v>3</v>
      </c>
    </row>
    <row r="184" spans="2:19" x14ac:dyDescent="0.3">
      <c r="B184">
        <f t="shared" si="2"/>
        <v>182</v>
      </c>
      <c r="C184">
        <v>462</v>
      </c>
      <c r="D184">
        <v>175</v>
      </c>
      <c r="E184">
        <v>187</v>
      </c>
      <c r="F184">
        <v>3650</v>
      </c>
      <c r="G184">
        <v>0</v>
      </c>
      <c r="I184" s="8">
        <v>3</v>
      </c>
      <c r="N184" s="8">
        <v>3</v>
      </c>
      <c r="S184" s="8">
        <v>1</v>
      </c>
    </row>
    <row r="185" spans="2:19" x14ac:dyDescent="0.3">
      <c r="B185">
        <f t="shared" si="2"/>
        <v>183</v>
      </c>
      <c r="C185">
        <v>509</v>
      </c>
      <c r="D185">
        <v>191</v>
      </c>
      <c r="E185">
        <v>196</v>
      </c>
      <c r="F185">
        <v>3550</v>
      </c>
      <c r="G185">
        <v>1</v>
      </c>
      <c r="I185" s="8">
        <v>1</v>
      </c>
      <c r="N185" s="8">
        <v>1</v>
      </c>
      <c r="S185" s="8">
        <v>1</v>
      </c>
    </row>
    <row r="186" spans="2:19" x14ac:dyDescent="0.3">
      <c r="B186">
        <f t="shared" si="2"/>
        <v>184</v>
      </c>
      <c r="C186">
        <v>455</v>
      </c>
      <c r="D186">
        <v>17</v>
      </c>
      <c r="E186">
        <v>196</v>
      </c>
      <c r="F186">
        <v>3500</v>
      </c>
      <c r="G186">
        <v>0</v>
      </c>
      <c r="I186" s="8">
        <v>1</v>
      </c>
      <c r="N186" s="8">
        <v>1</v>
      </c>
      <c r="S186" s="8">
        <v>1</v>
      </c>
    </row>
    <row r="187" spans="2:19" x14ac:dyDescent="0.3">
      <c r="B187">
        <f t="shared" si="2"/>
        <v>185</v>
      </c>
      <c r="C187">
        <v>509</v>
      </c>
      <c r="D187">
        <v>179</v>
      </c>
      <c r="E187">
        <v>196</v>
      </c>
      <c r="F187">
        <v>3675</v>
      </c>
      <c r="G187">
        <v>0</v>
      </c>
      <c r="I187" s="8">
        <v>3</v>
      </c>
      <c r="N187" s="8">
        <v>3</v>
      </c>
      <c r="S187" s="8">
        <v>1</v>
      </c>
    </row>
    <row r="188" spans="2:19" x14ac:dyDescent="0.3">
      <c r="B188">
        <f t="shared" si="2"/>
        <v>186</v>
      </c>
      <c r="C188">
        <v>508</v>
      </c>
      <c r="D188">
        <v>185</v>
      </c>
      <c r="E188">
        <v>201</v>
      </c>
      <c r="F188">
        <v>4450</v>
      </c>
      <c r="G188">
        <v>1</v>
      </c>
      <c r="I188" s="8">
        <v>3</v>
      </c>
      <c r="N188" s="8">
        <v>2</v>
      </c>
      <c r="S188" s="8">
        <v>2</v>
      </c>
    </row>
    <row r="189" spans="2:19" x14ac:dyDescent="0.3">
      <c r="B189">
        <f t="shared" si="2"/>
        <v>187</v>
      </c>
      <c r="C189">
        <v>501</v>
      </c>
      <c r="D189">
        <v>179</v>
      </c>
      <c r="E189">
        <v>190</v>
      </c>
      <c r="F189">
        <v>3400</v>
      </c>
      <c r="G189">
        <v>0</v>
      </c>
      <c r="I189" s="8">
        <v>1</v>
      </c>
      <c r="N189" s="8">
        <v>1</v>
      </c>
      <c r="S189" s="8">
        <v>1</v>
      </c>
    </row>
    <row r="190" spans="2:19" x14ac:dyDescent="0.3">
      <c r="B190">
        <f t="shared" si="2"/>
        <v>188</v>
      </c>
      <c r="C190">
        <v>49</v>
      </c>
      <c r="D190">
        <v>196</v>
      </c>
      <c r="E190">
        <v>212</v>
      </c>
      <c r="F190">
        <v>4300</v>
      </c>
      <c r="G190">
        <v>1</v>
      </c>
      <c r="I190" s="8">
        <v>3</v>
      </c>
      <c r="N190" s="8">
        <v>3</v>
      </c>
      <c r="S190" s="8">
        <v>2</v>
      </c>
    </row>
    <row r="191" spans="2:19" x14ac:dyDescent="0.3">
      <c r="B191">
        <f t="shared" si="2"/>
        <v>189</v>
      </c>
      <c r="C191">
        <v>515</v>
      </c>
      <c r="D191">
        <v>187</v>
      </c>
      <c r="E191">
        <v>187</v>
      </c>
      <c r="F191">
        <v>3250</v>
      </c>
      <c r="G191">
        <v>1</v>
      </c>
      <c r="I191" s="8">
        <v>1</v>
      </c>
      <c r="N191" s="8">
        <v>1</v>
      </c>
      <c r="S191" s="8">
        <v>1</v>
      </c>
    </row>
    <row r="192" spans="2:19" x14ac:dyDescent="0.3">
      <c r="B192">
        <f t="shared" si="2"/>
        <v>190</v>
      </c>
      <c r="C192">
        <v>498</v>
      </c>
      <c r="D192">
        <v>173</v>
      </c>
      <c r="E192">
        <v>198</v>
      </c>
      <c r="F192">
        <v>3675</v>
      </c>
      <c r="G192">
        <v>0</v>
      </c>
      <c r="I192" s="8">
        <v>3</v>
      </c>
      <c r="N192" s="8">
        <v>3</v>
      </c>
      <c r="S192" s="8">
        <v>1</v>
      </c>
    </row>
    <row r="193" spans="2:19" x14ac:dyDescent="0.3">
      <c r="B193">
        <f t="shared" si="2"/>
        <v>191</v>
      </c>
      <c r="C193">
        <v>481</v>
      </c>
      <c r="D193">
        <v>164</v>
      </c>
      <c r="E193">
        <v>199</v>
      </c>
      <c r="F193">
        <v>3325</v>
      </c>
      <c r="G193">
        <v>0</v>
      </c>
      <c r="I193" s="8">
        <v>1</v>
      </c>
      <c r="N193" s="8">
        <v>1</v>
      </c>
      <c r="S193" s="8">
        <v>1</v>
      </c>
    </row>
    <row r="194" spans="2:19" x14ac:dyDescent="0.3">
      <c r="B194">
        <f t="shared" si="2"/>
        <v>192</v>
      </c>
      <c r="C194">
        <v>514</v>
      </c>
      <c r="D194">
        <v>19</v>
      </c>
      <c r="E194">
        <v>201</v>
      </c>
      <c r="F194">
        <v>3950</v>
      </c>
      <c r="G194">
        <v>1</v>
      </c>
      <c r="I194" s="8">
        <v>3</v>
      </c>
      <c r="N194" s="8">
        <v>3</v>
      </c>
      <c r="S194" s="8">
        <v>3</v>
      </c>
    </row>
    <row r="195" spans="2:19" x14ac:dyDescent="0.3">
      <c r="B195">
        <f t="shared" si="2"/>
        <v>193</v>
      </c>
      <c r="C195">
        <v>457</v>
      </c>
      <c r="D195">
        <v>173</v>
      </c>
      <c r="E195">
        <v>193</v>
      </c>
      <c r="F195">
        <v>3600</v>
      </c>
      <c r="G195">
        <v>0</v>
      </c>
      <c r="I195" s="8">
        <v>1</v>
      </c>
      <c r="N195" s="8">
        <v>1</v>
      </c>
      <c r="S195" s="8">
        <v>1</v>
      </c>
    </row>
    <row r="196" spans="2:19" x14ac:dyDescent="0.3">
      <c r="B196">
        <f t="shared" si="2"/>
        <v>194</v>
      </c>
      <c r="C196">
        <v>507</v>
      </c>
      <c r="D196">
        <v>197</v>
      </c>
      <c r="E196">
        <v>203</v>
      </c>
      <c r="F196">
        <v>4050</v>
      </c>
      <c r="G196">
        <v>1</v>
      </c>
      <c r="I196" s="8">
        <v>3</v>
      </c>
      <c r="N196" s="8">
        <v>3</v>
      </c>
      <c r="S196" s="8">
        <v>3</v>
      </c>
    </row>
    <row r="197" spans="2:19" x14ac:dyDescent="0.3">
      <c r="B197">
        <f t="shared" si="2"/>
        <v>195</v>
      </c>
      <c r="C197">
        <v>425</v>
      </c>
      <c r="D197">
        <v>173</v>
      </c>
      <c r="E197">
        <v>187</v>
      </c>
      <c r="F197">
        <v>3350</v>
      </c>
      <c r="G197">
        <v>0</v>
      </c>
      <c r="I197" s="8">
        <v>1</v>
      </c>
      <c r="N197" s="8">
        <v>1</v>
      </c>
      <c r="S197" s="8">
        <v>1</v>
      </c>
    </row>
    <row r="198" spans="2:19" x14ac:dyDescent="0.3">
      <c r="B198">
        <f t="shared" si="2"/>
        <v>196</v>
      </c>
      <c r="C198">
        <v>522</v>
      </c>
      <c r="D198">
        <v>188</v>
      </c>
      <c r="E198">
        <v>197</v>
      </c>
      <c r="F198">
        <v>3450</v>
      </c>
      <c r="G198">
        <v>1</v>
      </c>
      <c r="I198" s="8">
        <v>1</v>
      </c>
      <c r="N198" s="8">
        <v>1</v>
      </c>
      <c r="S198" s="8">
        <v>1</v>
      </c>
    </row>
    <row r="199" spans="2:19" x14ac:dyDescent="0.3">
      <c r="B199">
        <f t="shared" ref="B199:B262" si="3">1+B198</f>
        <v>197</v>
      </c>
      <c r="C199">
        <v>452</v>
      </c>
      <c r="D199">
        <v>166</v>
      </c>
      <c r="E199">
        <v>191</v>
      </c>
      <c r="F199">
        <v>3250</v>
      </c>
      <c r="G199">
        <v>0</v>
      </c>
      <c r="I199" s="8">
        <v>1</v>
      </c>
      <c r="N199" s="8">
        <v>1</v>
      </c>
      <c r="S199" s="8">
        <v>1</v>
      </c>
    </row>
    <row r="200" spans="2:19" x14ac:dyDescent="0.3">
      <c r="B200">
        <f t="shared" si="3"/>
        <v>198</v>
      </c>
      <c r="C200">
        <v>493</v>
      </c>
      <c r="D200">
        <v>199</v>
      </c>
      <c r="E200">
        <v>203</v>
      </c>
      <c r="F200">
        <v>4050</v>
      </c>
      <c r="G200">
        <v>1</v>
      </c>
      <c r="I200" s="8">
        <v>3</v>
      </c>
      <c r="N200" s="8">
        <v>3</v>
      </c>
      <c r="S200" s="8">
        <v>3</v>
      </c>
    </row>
    <row r="201" spans="2:19" x14ac:dyDescent="0.3">
      <c r="B201">
        <f t="shared" si="3"/>
        <v>199</v>
      </c>
      <c r="C201">
        <v>502</v>
      </c>
      <c r="D201">
        <v>188</v>
      </c>
      <c r="E201">
        <v>202</v>
      </c>
      <c r="F201">
        <v>3800</v>
      </c>
      <c r="G201">
        <v>1</v>
      </c>
      <c r="I201" s="8">
        <v>3</v>
      </c>
      <c r="N201" s="8">
        <v>3</v>
      </c>
      <c r="S201" s="8">
        <v>3</v>
      </c>
    </row>
    <row r="202" spans="2:19" x14ac:dyDescent="0.3">
      <c r="B202">
        <f t="shared" si="3"/>
        <v>200</v>
      </c>
      <c r="C202">
        <v>456</v>
      </c>
      <c r="D202">
        <v>194</v>
      </c>
      <c r="E202">
        <v>194</v>
      </c>
      <c r="F202">
        <v>3525</v>
      </c>
      <c r="G202">
        <v>0</v>
      </c>
      <c r="I202" s="8">
        <v>1</v>
      </c>
      <c r="N202" s="8">
        <v>1</v>
      </c>
      <c r="S202" s="8">
        <v>1</v>
      </c>
    </row>
    <row r="203" spans="2:19" x14ac:dyDescent="0.3">
      <c r="B203">
        <f t="shared" si="3"/>
        <v>201</v>
      </c>
      <c r="C203">
        <v>519</v>
      </c>
      <c r="D203">
        <v>195</v>
      </c>
      <c r="E203">
        <v>206</v>
      </c>
      <c r="F203">
        <v>3950</v>
      </c>
      <c r="G203">
        <v>1</v>
      </c>
      <c r="I203" s="8">
        <v>3</v>
      </c>
      <c r="N203" s="8">
        <v>3</v>
      </c>
      <c r="S203" s="8">
        <v>3</v>
      </c>
    </row>
    <row r="204" spans="2:19" x14ac:dyDescent="0.3">
      <c r="B204">
        <f t="shared" si="3"/>
        <v>202</v>
      </c>
      <c r="C204">
        <v>468</v>
      </c>
      <c r="D204">
        <v>165</v>
      </c>
      <c r="E204">
        <v>189</v>
      </c>
      <c r="F204">
        <v>3650</v>
      </c>
      <c r="G204">
        <v>0</v>
      </c>
      <c r="I204" s="8">
        <v>3</v>
      </c>
      <c r="N204" s="8">
        <v>3</v>
      </c>
      <c r="S204" s="8">
        <v>1</v>
      </c>
    </row>
    <row r="205" spans="2:19" x14ac:dyDescent="0.3">
      <c r="B205">
        <f t="shared" si="3"/>
        <v>203</v>
      </c>
      <c r="C205">
        <v>457</v>
      </c>
      <c r="D205">
        <v>17</v>
      </c>
      <c r="E205">
        <v>195</v>
      </c>
      <c r="F205">
        <v>3650</v>
      </c>
      <c r="G205">
        <v>0</v>
      </c>
      <c r="I205" s="8">
        <v>3</v>
      </c>
      <c r="N205" s="8">
        <v>3</v>
      </c>
      <c r="S205" s="8">
        <v>1</v>
      </c>
    </row>
    <row r="206" spans="2:19" x14ac:dyDescent="0.3">
      <c r="B206">
        <f t="shared" si="3"/>
        <v>204</v>
      </c>
      <c r="C206">
        <v>558</v>
      </c>
      <c r="D206">
        <v>198</v>
      </c>
      <c r="E206">
        <v>207</v>
      </c>
      <c r="F206">
        <v>4000</v>
      </c>
      <c r="G206">
        <v>1</v>
      </c>
      <c r="I206" s="8">
        <v>3</v>
      </c>
      <c r="N206" s="8">
        <v>3</v>
      </c>
      <c r="S206" s="8">
        <v>3</v>
      </c>
    </row>
    <row r="207" spans="2:19" x14ac:dyDescent="0.3">
      <c r="B207">
        <f t="shared" si="3"/>
        <v>205</v>
      </c>
      <c r="C207">
        <v>435</v>
      </c>
      <c r="D207">
        <v>181</v>
      </c>
      <c r="E207">
        <v>202</v>
      </c>
      <c r="F207">
        <v>3400</v>
      </c>
      <c r="G207">
        <v>0</v>
      </c>
      <c r="I207" s="8">
        <v>1</v>
      </c>
      <c r="N207" s="8">
        <v>1</v>
      </c>
      <c r="S207" s="8">
        <v>1</v>
      </c>
    </row>
    <row r="208" spans="2:19" x14ac:dyDescent="0.3">
      <c r="B208">
        <f t="shared" si="3"/>
        <v>206</v>
      </c>
      <c r="C208">
        <v>496</v>
      </c>
      <c r="D208">
        <v>182</v>
      </c>
      <c r="E208">
        <v>193</v>
      </c>
      <c r="F208">
        <v>3775</v>
      </c>
      <c r="G208">
        <v>1</v>
      </c>
      <c r="I208" s="8">
        <v>3</v>
      </c>
      <c r="N208" s="8">
        <v>3</v>
      </c>
      <c r="S208" s="8">
        <v>3</v>
      </c>
    </row>
    <row r="209" spans="2:19" x14ac:dyDescent="0.3">
      <c r="B209">
        <f t="shared" si="3"/>
        <v>207</v>
      </c>
      <c r="C209">
        <v>508</v>
      </c>
      <c r="D209">
        <v>19</v>
      </c>
      <c r="E209">
        <v>210</v>
      </c>
      <c r="F209">
        <v>4100</v>
      </c>
      <c r="G209">
        <v>1</v>
      </c>
      <c r="I209" s="8">
        <v>3</v>
      </c>
      <c r="N209" s="8">
        <v>3</v>
      </c>
      <c r="S209" s="8">
        <v>2</v>
      </c>
    </row>
    <row r="210" spans="2:19" x14ac:dyDescent="0.3">
      <c r="B210">
        <f t="shared" si="3"/>
        <v>208</v>
      </c>
      <c r="C210">
        <v>502</v>
      </c>
      <c r="D210">
        <v>187</v>
      </c>
      <c r="E210">
        <v>198</v>
      </c>
      <c r="F210">
        <v>3775</v>
      </c>
      <c r="G210">
        <v>0</v>
      </c>
      <c r="I210" s="8">
        <v>3</v>
      </c>
      <c r="N210" s="8">
        <v>3</v>
      </c>
      <c r="S210" s="8">
        <v>3</v>
      </c>
    </row>
    <row r="211" spans="2:19" x14ac:dyDescent="0.3">
      <c r="B211">
        <f t="shared" si="3"/>
        <v>209</v>
      </c>
      <c r="C211">
        <v>461</v>
      </c>
      <c r="D211">
        <v>132</v>
      </c>
      <c r="E211">
        <v>211</v>
      </c>
      <c r="F211">
        <v>4500</v>
      </c>
      <c r="G211">
        <v>0</v>
      </c>
      <c r="I211" s="8">
        <v>2</v>
      </c>
      <c r="N211" s="8">
        <v>2</v>
      </c>
      <c r="S211" s="8">
        <v>2</v>
      </c>
    </row>
    <row r="212" spans="2:19" x14ac:dyDescent="0.3">
      <c r="B212">
        <f t="shared" si="3"/>
        <v>210</v>
      </c>
      <c r="C212">
        <v>50</v>
      </c>
      <c r="D212">
        <v>163</v>
      </c>
      <c r="E212">
        <v>230</v>
      </c>
      <c r="F212">
        <v>5700</v>
      </c>
      <c r="G212">
        <v>1</v>
      </c>
      <c r="I212" s="8">
        <v>2</v>
      </c>
      <c r="N212" s="8">
        <v>2</v>
      </c>
      <c r="S212" s="8">
        <v>2</v>
      </c>
    </row>
    <row r="213" spans="2:19" x14ac:dyDescent="0.3">
      <c r="B213">
        <f t="shared" si="3"/>
        <v>211</v>
      </c>
      <c r="C213">
        <v>487</v>
      </c>
      <c r="D213">
        <v>141</v>
      </c>
      <c r="E213">
        <v>210</v>
      </c>
      <c r="F213">
        <v>4450</v>
      </c>
      <c r="G213">
        <v>0</v>
      </c>
      <c r="I213" s="8">
        <v>3</v>
      </c>
      <c r="N213" s="8">
        <v>2</v>
      </c>
      <c r="S213" s="8">
        <v>2</v>
      </c>
    </row>
    <row r="214" spans="2:19" x14ac:dyDescent="0.3">
      <c r="B214">
        <f t="shared" si="3"/>
        <v>212</v>
      </c>
      <c r="C214">
        <v>50</v>
      </c>
      <c r="D214">
        <v>152</v>
      </c>
      <c r="E214">
        <v>218</v>
      </c>
      <c r="F214">
        <v>5700</v>
      </c>
      <c r="G214">
        <v>1</v>
      </c>
      <c r="I214" s="8">
        <v>2</v>
      </c>
      <c r="N214" s="8">
        <v>2</v>
      </c>
      <c r="S214" s="8">
        <v>2</v>
      </c>
    </row>
    <row r="215" spans="2:19" x14ac:dyDescent="0.3">
      <c r="B215">
        <f t="shared" si="3"/>
        <v>213</v>
      </c>
      <c r="C215">
        <v>476</v>
      </c>
      <c r="D215">
        <v>145</v>
      </c>
      <c r="E215">
        <v>215</v>
      </c>
      <c r="F215">
        <v>5400</v>
      </c>
      <c r="G215">
        <v>1</v>
      </c>
      <c r="I215" s="8">
        <v>2</v>
      </c>
      <c r="N215" s="8">
        <v>2</v>
      </c>
      <c r="S215" s="8">
        <v>2</v>
      </c>
    </row>
    <row r="216" spans="2:19" x14ac:dyDescent="0.3">
      <c r="B216">
        <f t="shared" si="3"/>
        <v>214</v>
      </c>
      <c r="C216">
        <v>465</v>
      </c>
      <c r="D216">
        <v>135</v>
      </c>
      <c r="E216">
        <v>210</v>
      </c>
      <c r="F216">
        <v>4550</v>
      </c>
      <c r="G216">
        <v>0</v>
      </c>
      <c r="I216" s="8">
        <v>2</v>
      </c>
      <c r="N216" s="8">
        <v>2</v>
      </c>
      <c r="S216" s="8">
        <v>2</v>
      </c>
    </row>
    <row r="217" spans="2:19" x14ac:dyDescent="0.3">
      <c r="B217">
        <f t="shared" si="3"/>
        <v>215</v>
      </c>
      <c r="C217">
        <v>454</v>
      </c>
      <c r="D217">
        <v>146</v>
      </c>
      <c r="E217">
        <v>211</v>
      </c>
      <c r="F217">
        <v>4800</v>
      </c>
      <c r="G217">
        <v>0</v>
      </c>
      <c r="I217" s="8">
        <v>2</v>
      </c>
      <c r="N217" s="8">
        <v>2</v>
      </c>
      <c r="S217" s="8">
        <v>2</v>
      </c>
    </row>
    <row r="218" spans="2:19" x14ac:dyDescent="0.3">
      <c r="B218">
        <f t="shared" si="3"/>
        <v>216</v>
      </c>
      <c r="C218">
        <v>467</v>
      </c>
      <c r="D218">
        <v>153</v>
      </c>
      <c r="E218">
        <v>219</v>
      </c>
      <c r="F218">
        <v>5200</v>
      </c>
      <c r="G218">
        <v>1</v>
      </c>
      <c r="I218" s="8">
        <v>2</v>
      </c>
      <c r="N218" s="8">
        <v>2</v>
      </c>
      <c r="S218" s="8">
        <v>2</v>
      </c>
    </row>
    <row r="219" spans="2:19" x14ac:dyDescent="0.3">
      <c r="B219">
        <f t="shared" si="3"/>
        <v>217</v>
      </c>
      <c r="C219">
        <v>433</v>
      </c>
      <c r="D219">
        <v>134</v>
      </c>
      <c r="E219">
        <v>209</v>
      </c>
      <c r="F219">
        <v>4400</v>
      </c>
      <c r="G219">
        <v>0</v>
      </c>
      <c r="I219" s="8">
        <v>3</v>
      </c>
      <c r="N219" s="8">
        <v>2</v>
      </c>
      <c r="S219" s="8">
        <v>2</v>
      </c>
    </row>
    <row r="220" spans="2:19" x14ac:dyDescent="0.3">
      <c r="B220">
        <f t="shared" si="3"/>
        <v>218</v>
      </c>
      <c r="C220">
        <v>468</v>
      </c>
      <c r="D220">
        <v>154</v>
      </c>
      <c r="E220">
        <v>215</v>
      </c>
      <c r="F220">
        <v>5150</v>
      </c>
      <c r="G220">
        <v>1</v>
      </c>
      <c r="I220" s="8">
        <v>2</v>
      </c>
      <c r="N220" s="8">
        <v>2</v>
      </c>
      <c r="S220" s="8">
        <v>2</v>
      </c>
    </row>
    <row r="221" spans="2:19" x14ac:dyDescent="0.3">
      <c r="B221">
        <f t="shared" si="3"/>
        <v>219</v>
      </c>
      <c r="C221">
        <v>409</v>
      </c>
      <c r="D221">
        <v>137</v>
      </c>
      <c r="E221">
        <v>214</v>
      </c>
      <c r="F221">
        <v>4650</v>
      </c>
      <c r="G221">
        <v>0</v>
      </c>
      <c r="I221" s="8">
        <v>2</v>
      </c>
      <c r="N221" s="8">
        <v>2</v>
      </c>
      <c r="S221" s="8">
        <v>2</v>
      </c>
    </row>
    <row r="222" spans="2:19" x14ac:dyDescent="0.3">
      <c r="B222">
        <f t="shared" si="3"/>
        <v>220</v>
      </c>
      <c r="C222">
        <v>49</v>
      </c>
      <c r="D222">
        <v>161</v>
      </c>
      <c r="E222">
        <v>216</v>
      </c>
      <c r="F222">
        <v>5550</v>
      </c>
      <c r="G222">
        <v>1</v>
      </c>
      <c r="I222" s="8">
        <v>2</v>
      </c>
      <c r="N222" s="8">
        <v>2</v>
      </c>
      <c r="S222" s="8">
        <v>2</v>
      </c>
    </row>
    <row r="223" spans="2:19" x14ac:dyDescent="0.3">
      <c r="B223">
        <f t="shared" si="3"/>
        <v>221</v>
      </c>
      <c r="C223">
        <v>455</v>
      </c>
      <c r="D223">
        <v>137</v>
      </c>
      <c r="E223">
        <v>214</v>
      </c>
      <c r="F223">
        <v>4650</v>
      </c>
      <c r="G223">
        <v>0</v>
      </c>
      <c r="I223" s="8">
        <v>2</v>
      </c>
      <c r="N223" s="8">
        <v>2</v>
      </c>
      <c r="S223" s="8">
        <v>2</v>
      </c>
    </row>
    <row r="224" spans="2:19" x14ac:dyDescent="0.3">
      <c r="B224">
        <f t="shared" si="3"/>
        <v>222</v>
      </c>
      <c r="C224">
        <v>484</v>
      </c>
      <c r="D224">
        <v>146</v>
      </c>
      <c r="E224">
        <v>213</v>
      </c>
      <c r="F224">
        <v>5850</v>
      </c>
      <c r="G224">
        <v>1</v>
      </c>
      <c r="I224" s="8">
        <v>2</v>
      </c>
      <c r="N224" s="8">
        <v>2</v>
      </c>
      <c r="S224" s="8">
        <v>2</v>
      </c>
    </row>
    <row r="225" spans="2:19" x14ac:dyDescent="0.3">
      <c r="B225">
        <f t="shared" si="3"/>
        <v>223</v>
      </c>
      <c r="C225">
        <v>458</v>
      </c>
      <c r="D225">
        <v>146</v>
      </c>
      <c r="E225">
        <v>210</v>
      </c>
      <c r="F225">
        <v>4200</v>
      </c>
      <c r="G225">
        <v>0</v>
      </c>
      <c r="I225" s="8">
        <v>3</v>
      </c>
      <c r="N225" s="8">
        <v>3</v>
      </c>
      <c r="S225" s="8">
        <v>2</v>
      </c>
    </row>
    <row r="226" spans="2:19" x14ac:dyDescent="0.3">
      <c r="B226">
        <f t="shared" si="3"/>
        <v>224</v>
      </c>
      <c r="C226">
        <v>493</v>
      </c>
      <c r="D226">
        <v>157</v>
      </c>
      <c r="E226">
        <v>217</v>
      </c>
      <c r="F226">
        <v>5850</v>
      </c>
      <c r="G226">
        <v>1</v>
      </c>
      <c r="I226" s="8">
        <v>2</v>
      </c>
      <c r="N226" s="8">
        <v>2</v>
      </c>
      <c r="S226" s="8">
        <v>2</v>
      </c>
    </row>
    <row r="227" spans="2:19" x14ac:dyDescent="0.3">
      <c r="B227">
        <f t="shared" si="3"/>
        <v>225</v>
      </c>
      <c r="C227">
        <v>42</v>
      </c>
      <c r="D227">
        <v>135</v>
      </c>
      <c r="E227">
        <v>210</v>
      </c>
      <c r="F227">
        <v>4150</v>
      </c>
      <c r="G227">
        <v>0</v>
      </c>
      <c r="I227" s="8">
        <v>3</v>
      </c>
      <c r="N227" s="8">
        <v>3</v>
      </c>
      <c r="S227" s="8">
        <v>2</v>
      </c>
    </row>
    <row r="228" spans="2:19" x14ac:dyDescent="0.3">
      <c r="B228">
        <f t="shared" si="3"/>
        <v>226</v>
      </c>
      <c r="C228">
        <v>492</v>
      </c>
      <c r="D228">
        <v>152</v>
      </c>
      <c r="E228">
        <v>221</v>
      </c>
      <c r="F228">
        <v>6300</v>
      </c>
      <c r="G228">
        <v>1</v>
      </c>
      <c r="I228" s="8">
        <v>2</v>
      </c>
      <c r="N228" s="8">
        <v>2</v>
      </c>
      <c r="S228" s="8">
        <v>2</v>
      </c>
    </row>
    <row r="229" spans="2:19" x14ac:dyDescent="0.3">
      <c r="B229">
        <f t="shared" si="3"/>
        <v>227</v>
      </c>
      <c r="C229">
        <v>462</v>
      </c>
      <c r="D229">
        <v>145</v>
      </c>
      <c r="E229">
        <v>209</v>
      </c>
      <c r="F229">
        <v>4800</v>
      </c>
      <c r="G229">
        <v>0</v>
      </c>
      <c r="I229" s="8">
        <v>2</v>
      </c>
      <c r="N229" s="8">
        <v>2</v>
      </c>
      <c r="S229" s="8">
        <v>2</v>
      </c>
    </row>
    <row r="230" spans="2:19" x14ac:dyDescent="0.3">
      <c r="B230">
        <f t="shared" si="3"/>
        <v>228</v>
      </c>
      <c r="C230">
        <v>487</v>
      </c>
      <c r="D230">
        <v>151</v>
      </c>
      <c r="E230">
        <v>222</v>
      </c>
      <c r="F230">
        <v>5350</v>
      </c>
      <c r="G230">
        <v>1</v>
      </c>
      <c r="I230" s="8">
        <v>2</v>
      </c>
      <c r="N230" s="8">
        <v>2</v>
      </c>
      <c r="S230" s="8">
        <v>2</v>
      </c>
    </row>
    <row r="231" spans="2:19" x14ac:dyDescent="0.3">
      <c r="B231">
        <f t="shared" si="3"/>
        <v>229</v>
      </c>
      <c r="C231">
        <v>502</v>
      </c>
      <c r="D231">
        <v>143</v>
      </c>
      <c r="E231">
        <v>218</v>
      </c>
      <c r="F231">
        <v>5700</v>
      </c>
      <c r="G231">
        <v>1</v>
      </c>
      <c r="I231" s="8">
        <v>2</v>
      </c>
      <c r="N231" s="8">
        <v>2</v>
      </c>
      <c r="S231" s="8">
        <v>2</v>
      </c>
    </row>
    <row r="232" spans="2:19" x14ac:dyDescent="0.3">
      <c r="B232">
        <f t="shared" si="3"/>
        <v>230</v>
      </c>
      <c r="C232">
        <v>451</v>
      </c>
      <c r="D232">
        <v>145</v>
      </c>
      <c r="E232">
        <v>215</v>
      </c>
      <c r="F232">
        <v>5000</v>
      </c>
      <c r="G232">
        <v>0</v>
      </c>
      <c r="I232" s="8">
        <v>2</v>
      </c>
      <c r="N232" s="8">
        <v>2</v>
      </c>
      <c r="S232" s="8">
        <v>2</v>
      </c>
    </row>
    <row r="233" spans="2:19" x14ac:dyDescent="0.3">
      <c r="B233">
        <f t="shared" si="3"/>
        <v>231</v>
      </c>
      <c r="C233">
        <v>465</v>
      </c>
      <c r="D233">
        <v>145</v>
      </c>
      <c r="E233">
        <v>213</v>
      </c>
      <c r="F233">
        <v>4400</v>
      </c>
      <c r="G233">
        <v>0</v>
      </c>
      <c r="I233" s="8">
        <v>3</v>
      </c>
      <c r="N233" s="8">
        <v>2</v>
      </c>
      <c r="S233" s="8">
        <v>2</v>
      </c>
    </row>
    <row r="234" spans="2:19" x14ac:dyDescent="0.3">
      <c r="B234">
        <f t="shared" si="3"/>
        <v>232</v>
      </c>
      <c r="C234">
        <v>463</v>
      </c>
      <c r="D234">
        <v>158</v>
      </c>
      <c r="E234">
        <v>215</v>
      </c>
      <c r="F234">
        <v>5050</v>
      </c>
      <c r="G234">
        <v>1</v>
      </c>
      <c r="I234" s="8">
        <v>2</v>
      </c>
      <c r="N234" s="8">
        <v>2</v>
      </c>
      <c r="S234" s="8">
        <v>2</v>
      </c>
    </row>
    <row r="235" spans="2:19" x14ac:dyDescent="0.3">
      <c r="B235">
        <f t="shared" si="3"/>
        <v>233</v>
      </c>
      <c r="C235">
        <v>429</v>
      </c>
      <c r="D235">
        <v>131</v>
      </c>
      <c r="E235">
        <v>215</v>
      </c>
      <c r="F235">
        <v>5000</v>
      </c>
      <c r="G235">
        <v>0</v>
      </c>
      <c r="I235" s="8">
        <v>2</v>
      </c>
      <c r="N235" s="8">
        <v>2</v>
      </c>
      <c r="S235" s="8">
        <v>2</v>
      </c>
    </row>
    <row r="236" spans="2:19" x14ac:dyDescent="0.3">
      <c r="B236">
        <f t="shared" si="3"/>
        <v>234</v>
      </c>
      <c r="C236">
        <v>461</v>
      </c>
      <c r="D236">
        <v>151</v>
      </c>
      <c r="E236">
        <v>215</v>
      </c>
      <c r="F236">
        <v>5100</v>
      </c>
      <c r="G236">
        <v>1</v>
      </c>
      <c r="I236" s="8">
        <v>2</v>
      </c>
      <c r="N236" s="8">
        <v>2</v>
      </c>
      <c r="S236" s="8">
        <v>2</v>
      </c>
    </row>
    <row r="237" spans="2:19" x14ac:dyDescent="0.3">
      <c r="B237">
        <f t="shared" si="3"/>
        <v>235</v>
      </c>
      <c r="C237">
        <v>445</v>
      </c>
      <c r="D237">
        <v>143</v>
      </c>
      <c r="E237">
        <v>216</v>
      </c>
      <c r="F237">
        <v>4100</v>
      </c>
      <c r="G237">
        <v>1</v>
      </c>
      <c r="I237" s="8">
        <v>3</v>
      </c>
      <c r="N237" s="8">
        <v>3</v>
      </c>
      <c r="S237" s="8">
        <v>2</v>
      </c>
    </row>
    <row r="238" spans="2:19" x14ac:dyDescent="0.3">
      <c r="B238">
        <f t="shared" si="3"/>
        <v>236</v>
      </c>
      <c r="C238">
        <v>478</v>
      </c>
      <c r="D238">
        <v>15</v>
      </c>
      <c r="E238">
        <v>215</v>
      </c>
      <c r="F238">
        <v>5650</v>
      </c>
      <c r="G238">
        <v>1</v>
      </c>
      <c r="I238" s="8">
        <v>2</v>
      </c>
      <c r="N238" s="8">
        <v>2</v>
      </c>
      <c r="S238" s="8">
        <v>2</v>
      </c>
    </row>
    <row r="239" spans="2:19" x14ac:dyDescent="0.3">
      <c r="B239">
        <f t="shared" si="3"/>
        <v>237</v>
      </c>
      <c r="C239">
        <v>482</v>
      </c>
      <c r="D239">
        <v>143</v>
      </c>
      <c r="E239">
        <v>210</v>
      </c>
      <c r="F239">
        <v>4600</v>
      </c>
      <c r="G239">
        <v>0</v>
      </c>
      <c r="I239" s="8">
        <v>2</v>
      </c>
      <c r="N239" s="8">
        <v>2</v>
      </c>
      <c r="S239" s="8">
        <v>2</v>
      </c>
    </row>
    <row r="240" spans="2:19" x14ac:dyDescent="0.3">
      <c r="B240">
        <f t="shared" si="3"/>
        <v>238</v>
      </c>
      <c r="C240">
        <v>50</v>
      </c>
      <c r="D240">
        <v>153</v>
      </c>
      <c r="E240">
        <v>220</v>
      </c>
      <c r="F240">
        <v>5550</v>
      </c>
      <c r="G240">
        <v>1</v>
      </c>
      <c r="I240" s="8">
        <v>2</v>
      </c>
      <c r="N240" s="8">
        <v>2</v>
      </c>
      <c r="S240" s="8">
        <v>2</v>
      </c>
    </row>
    <row r="241" spans="2:19" x14ac:dyDescent="0.3">
      <c r="B241">
        <f t="shared" si="3"/>
        <v>239</v>
      </c>
      <c r="C241">
        <v>473</v>
      </c>
      <c r="D241">
        <v>153</v>
      </c>
      <c r="E241">
        <v>222</v>
      </c>
      <c r="F241">
        <v>5250</v>
      </c>
      <c r="G241">
        <v>1</v>
      </c>
      <c r="I241" s="8">
        <v>2</v>
      </c>
      <c r="N241" s="8">
        <v>2</v>
      </c>
      <c r="S241" s="8">
        <v>2</v>
      </c>
    </row>
    <row r="242" spans="2:19" x14ac:dyDescent="0.3">
      <c r="B242">
        <f t="shared" si="3"/>
        <v>240</v>
      </c>
      <c r="C242">
        <v>428</v>
      </c>
      <c r="D242">
        <v>142</v>
      </c>
      <c r="E242">
        <v>209</v>
      </c>
      <c r="F242">
        <v>4700</v>
      </c>
      <c r="G242">
        <v>0</v>
      </c>
      <c r="I242" s="8">
        <v>2</v>
      </c>
      <c r="N242" s="8">
        <v>2</v>
      </c>
      <c r="S242" s="8">
        <v>2</v>
      </c>
    </row>
    <row r="243" spans="2:19" x14ac:dyDescent="0.3">
      <c r="B243">
        <f t="shared" si="3"/>
        <v>241</v>
      </c>
      <c r="C243">
        <v>451</v>
      </c>
      <c r="D243">
        <v>145</v>
      </c>
      <c r="E243">
        <v>207</v>
      </c>
      <c r="F243">
        <v>5050</v>
      </c>
      <c r="G243">
        <v>0</v>
      </c>
      <c r="I243" s="8">
        <v>2</v>
      </c>
      <c r="N243" s="8">
        <v>2</v>
      </c>
      <c r="S243" s="8">
        <v>2</v>
      </c>
    </row>
    <row r="244" spans="2:19" x14ac:dyDescent="0.3">
      <c r="B244">
        <f t="shared" si="3"/>
        <v>242</v>
      </c>
      <c r="C244">
        <v>596</v>
      </c>
      <c r="D244">
        <v>17</v>
      </c>
      <c r="E244">
        <v>230</v>
      </c>
      <c r="F244">
        <v>6050</v>
      </c>
      <c r="G244">
        <v>1</v>
      </c>
      <c r="I244" s="8">
        <v>2</v>
      </c>
      <c r="N244" s="8">
        <v>2</v>
      </c>
      <c r="S244" s="8">
        <v>2</v>
      </c>
    </row>
    <row r="245" spans="2:19" x14ac:dyDescent="0.3">
      <c r="B245">
        <f t="shared" si="3"/>
        <v>243</v>
      </c>
      <c r="C245">
        <v>491</v>
      </c>
      <c r="D245">
        <v>148</v>
      </c>
      <c r="E245">
        <v>220</v>
      </c>
      <c r="F245">
        <v>5150</v>
      </c>
      <c r="G245">
        <v>0</v>
      </c>
      <c r="I245" s="8">
        <v>2</v>
      </c>
      <c r="N245" s="8">
        <v>2</v>
      </c>
      <c r="S245" s="8">
        <v>2</v>
      </c>
    </row>
    <row r="246" spans="2:19" x14ac:dyDescent="0.3">
      <c r="B246">
        <f t="shared" si="3"/>
        <v>244</v>
      </c>
      <c r="C246">
        <v>484</v>
      </c>
      <c r="D246">
        <v>163</v>
      </c>
      <c r="E246">
        <v>220</v>
      </c>
      <c r="F246">
        <v>5400</v>
      </c>
      <c r="G246">
        <v>1</v>
      </c>
      <c r="I246" s="8">
        <v>2</v>
      </c>
      <c r="N246" s="8">
        <v>2</v>
      </c>
      <c r="S246" s="8">
        <v>2</v>
      </c>
    </row>
    <row r="247" spans="2:19" x14ac:dyDescent="0.3">
      <c r="B247">
        <f t="shared" si="3"/>
        <v>245</v>
      </c>
      <c r="C247">
        <v>426</v>
      </c>
      <c r="D247">
        <v>137</v>
      </c>
      <c r="E247">
        <v>213</v>
      </c>
      <c r="F247">
        <v>4950</v>
      </c>
      <c r="G247">
        <v>0</v>
      </c>
      <c r="I247" s="8">
        <v>2</v>
      </c>
      <c r="N247" s="8">
        <v>2</v>
      </c>
      <c r="S247" s="8">
        <v>2</v>
      </c>
    </row>
    <row r="248" spans="2:19" x14ac:dyDescent="0.3">
      <c r="B248">
        <f t="shared" si="3"/>
        <v>246</v>
      </c>
      <c r="C248">
        <v>444</v>
      </c>
      <c r="D248">
        <v>173</v>
      </c>
      <c r="E248">
        <v>219</v>
      </c>
      <c r="F248">
        <v>5250</v>
      </c>
      <c r="G248">
        <v>1</v>
      </c>
      <c r="I248" s="8">
        <v>2</v>
      </c>
      <c r="N248" s="8">
        <v>2</v>
      </c>
      <c r="S248" s="8">
        <v>2</v>
      </c>
    </row>
    <row r="249" spans="2:19" x14ac:dyDescent="0.3">
      <c r="B249">
        <f t="shared" si="3"/>
        <v>247</v>
      </c>
      <c r="C249">
        <v>44</v>
      </c>
      <c r="D249">
        <v>136</v>
      </c>
      <c r="E249">
        <v>208</v>
      </c>
      <c r="F249">
        <v>4350</v>
      </c>
      <c r="G249">
        <v>0</v>
      </c>
      <c r="I249" s="8">
        <v>3</v>
      </c>
      <c r="N249" s="8">
        <v>2</v>
      </c>
      <c r="S249" s="8">
        <v>2</v>
      </c>
    </row>
    <row r="250" spans="2:19" x14ac:dyDescent="0.3">
      <c r="B250">
        <f t="shared" si="3"/>
        <v>248</v>
      </c>
      <c r="C250">
        <v>487</v>
      </c>
      <c r="D250">
        <v>157</v>
      </c>
      <c r="E250">
        <v>208</v>
      </c>
      <c r="F250">
        <v>5350</v>
      </c>
      <c r="G250">
        <v>1</v>
      </c>
      <c r="I250" s="8">
        <v>2</v>
      </c>
      <c r="N250" s="8">
        <v>2</v>
      </c>
      <c r="S250" s="8">
        <v>2</v>
      </c>
    </row>
    <row r="251" spans="2:19" x14ac:dyDescent="0.3">
      <c r="B251">
        <f t="shared" si="3"/>
        <v>249</v>
      </c>
      <c r="C251">
        <v>427</v>
      </c>
      <c r="D251">
        <v>137</v>
      </c>
      <c r="E251">
        <v>208</v>
      </c>
      <c r="F251">
        <v>3950</v>
      </c>
      <c r="G251">
        <v>0</v>
      </c>
      <c r="I251" s="8">
        <v>3</v>
      </c>
      <c r="N251" s="8">
        <v>3</v>
      </c>
      <c r="S251" s="8">
        <v>3</v>
      </c>
    </row>
    <row r="252" spans="2:19" x14ac:dyDescent="0.3">
      <c r="B252">
        <f t="shared" si="3"/>
        <v>250</v>
      </c>
      <c r="C252">
        <v>496</v>
      </c>
      <c r="D252">
        <v>16</v>
      </c>
      <c r="E252">
        <v>225</v>
      </c>
      <c r="F252">
        <v>5700</v>
      </c>
      <c r="G252">
        <v>1</v>
      </c>
      <c r="I252" s="8">
        <v>2</v>
      </c>
      <c r="N252" s="8">
        <v>2</v>
      </c>
      <c r="S252" s="8">
        <v>2</v>
      </c>
    </row>
    <row r="253" spans="2:19" x14ac:dyDescent="0.3">
      <c r="B253">
        <f t="shared" si="3"/>
        <v>251</v>
      </c>
      <c r="C253">
        <v>453</v>
      </c>
      <c r="D253">
        <v>137</v>
      </c>
      <c r="E253">
        <v>210</v>
      </c>
      <c r="F253">
        <v>4300</v>
      </c>
      <c r="G253">
        <v>0</v>
      </c>
      <c r="I253" s="8">
        <v>3</v>
      </c>
      <c r="N253" s="8">
        <v>3</v>
      </c>
      <c r="S253" s="8">
        <v>2</v>
      </c>
    </row>
    <row r="254" spans="2:19" x14ac:dyDescent="0.3">
      <c r="B254">
        <f t="shared" si="3"/>
        <v>252</v>
      </c>
      <c r="C254">
        <v>496</v>
      </c>
      <c r="D254">
        <v>15</v>
      </c>
      <c r="E254">
        <v>216</v>
      </c>
      <c r="F254">
        <v>4750</v>
      </c>
      <c r="G254">
        <v>1</v>
      </c>
      <c r="I254" s="8">
        <v>2</v>
      </c>
      <c r="N254" s="8">
        <v>2</v>
      </c>
      <c r="S254" s="8">
        <v>2</v>
      </c>
    </row>
    <row r="255" spans="2:19" x14ac:dyDescent="0.3">
      <c r="B255">
        <f t="shared" si="3"/>
        <v>253</v>
      </c>
      <c r="C255">
        <v>505</v>
      </c>
      <c r="D255">
        <v>159</v>
      </c>
      <c r="E255">
        <v>222</v>
      </c>
      <c r="F255">
        <v>5550</v>
      </c>
      <c r="G255">
        <v>1</v>
      </c>
      <c r="I255" s="8">
        <v>2</v>
      </c>
      <c r="N255" s="8">
        <v>2</v>
      </c>
      <c r="S255" s="8">
        <v>2</v>
      </c>
    </row>
    <row r="256" spans="2:19" x14ac:dyDescent="0.3">
      <c r="B256">
        <f t="shared" si="3"/>
        <v>254</v>
      </c>
      <c r="C256">
        <v>436</v>
      </c>
      <c r="D256">
        <v>139</v>
      </c>
      <c r="E256">
        <v>217</v>
      </c>
      <c r="F256">
        <v>4900</v>
      </c>
      <c r="G256">
        <v>0</v>
      </c>
      <c r="I256" s="8">
        <v>2</v>
      </c>
      <c r="N256" s="8">
        <v>2</v>
      </c>
      <c r="S256" s="8">
        <v>2</v>
      </c>
    </row>
    <row r="257" spans="2:19" x14ac:dyDescent="0.3">
      <c r="B257">
        <f t="shared" si="3"/>
        <v>255</v>
      </c>
      <c r="C257">
        <v>455</v>
      </c>
      <c r="D257">
        <v>139</v>
      </c>
      <c r="E257">
        <v>210</v>
      </c>
      <c r="F257">
        <v>4200</v>
      </c>
      <c r="G257">
        <v>0</v>
      </c>
      <c r="I257" s="8">
        <v>3</v>
      </c>
      <c r="N257" s="8">
        <v>3</v>
      </c>
      <c r="S257" s="8">
        <v>2</v>
      </c>
    </row>
    <row r="258" spans="2:19" x14ac:dyDescent="0.3">
      <c r="B258">
        <f t="shared" si="3"/>
        <v>256</v>
      </c>
      <c r="C258">
        <v>505</v>
      </c>
      <c r="D258">
        <v>159</v>
      </c>
      <c r="E258">
        <v>225</v>
      </c>
      <c r="F258">
        <v>5400</v>
      </c>
      <c r="G258">
        <v>1</v>
      </c>
      <c r="I258" s="8">
        <v>2</v>
      </c>
      <c r="N258" s="8">
        <v>2</v>
      </c>
      <c r="S258" s="8">
        <v>2</v>
      </c>
    </row>
    <row r="259" spans="2:19" x14ac:dyDescent="0.3">
      <c r="B259">
        <f t="shared" si="3"/>
        <v>257</v>
      </c>
      <c r="C259">
        <v>449</v>
      </c>
      <c r="D259">
        <v>133</v>
      </c>
      <c r="E259">
        <v>213</v>
      </c>
      <c r="F259">
        <v>5100</v>
      </c>
      <c r="G259">
        <v>0</v>
      </c>
      <c r="I259" s="8">
        <v>2</v>
      </c>
      <c r="N259" s="8">
        <v>2</v>
      </c>
      <c r="S259" s="8">
        <v>2</v>
      </c>
    </row>
    <row r="260" spans="2:19" x14ac:dyDescent="0.3">
      <c r="B260">
        <f t="shared" si="3"/>
        <v>258</v>
      </c>
      <c r="C260">
        <v>452</v>
      </c>
      <c r="D260">
        <v>158</v>
      </c>
      <c r="E260">
        <v>215</v>
      </c>
      <c r="F260">
        <v>5300</v>
      </c>
      <c r="G260">
        <v>1</v>
      </c>
      <c r="I260" s="8">
        <v>2</v>
      </c>
      <c r="N260" s="8">
        <v>2</v>
      </c>
      <c r="S260" s="8">
        <v>2</v>
      </c>
    </row>
    <row r="261" spans="2:19" x14ac:dyDescent="0.3">
      <c r="B261">
        <f t="shared" si="3"/>
        <v>259</v>
      </c>
      <c r="C261">
        <v>466</v>
      </c>
      <c r="D261">
        <v>142</v>
      </c>
      <c r="E261">
        <v>210</v>
      </c>
      <c r="F261">
        <v>4850</v>
      </c>
      <c r="G261">
        <v>0</v>
      </c>
      <c r="I261" s="8">
        <v>2</v>
      </c>
      <c r="N261" s="8">
        <v>2</v>
      </c>
      <c r="S261" s="8">
        <v>2</v>
      </c>
    </row>
    <row r="262" spans="2:19" x14ac:dyDescent="0.3">
      <c r="B262">
        <f t="shared" si="3"/>
        <v>260</v>
      </c>
      <c r="C262">
        <v>485</v>
      </c>
      <c r="D262">
        <v>141</v>
      </c>
      <c r="E262">
        <v>220</v>
      </c>
      <c r="F262">
        <v>5300</v>
      </c>
      <c r="G262">
        <v>1</v>
      </c>
      <c r="I262" s="8">
        <v>2</v>
      </c>
      <c r="N262" s="8">
        <v>2</v>
      </c>
      <c r="S262" s="8">
        <v>2</v>
      </c>
    </row>
    <row r="263" spans="2:19" x14ac:dyDescent="0.3">
      <c r="B263">
        <f t="shared" ref="B263:B272" si="4">1+B262</f>
        <v>261</v>
      </c>
      <c r="C263">
        <v>451</v>
      </c>
      <c r="D263">
        <v>144</v>
      </c>
      <c r="E263">
        <v>210</v>
      </c>
      <c r="F263">
        <v>4400</v>
      </c>
      <c r="G263">
        <v>0</v>
      </c>
      <c r="I263" s="8">
        <v>3</v>
      </c>
      <c r="N263" s="8">
        <v>2</v>
      </c>
      <c r="S263" s="8">
        <v>2</v>
      </c>
    </row>
    <row r="264" spans="2:19" x14ac:dyDescent="0.3">
      <c r="B264">
        <f t="shared" si="4"/>
        <v>262</v>
      </c>
      <c r="C264">
        <v>501</v>
      </c>
      <c r="D264">
        <v>15</v>
      </c>
      <c r="E264">
        <v>225</v>
      </c>
      <c r="F264">
        <v>5000</v>
      </c>
      <c r="G264">
        <v>1</v>
      </c>
      <c r="I264" s="8">
        <v>2</v>
      </c>
      <c r="N264" s="8">
        <v>2</v>
      </c>
      <c r="S264" s="8">
        <v>2</v>
      </c>
    </row>
    <row r="265" spans="2:19" x14ac:dyDescent="0.3">
      <c r="B265">
        <f t="shared" si="4"/>
        <v>263</v>
      </c>
      <c r="C265">
        <v>465</v>
      </c>
      <c r="D265">
        <v>144</v>
      </c>
      <c r="E265">
        <v>217</v>
      </c>
      <c r="F265">
        <v>4900</v>
      </c>
      <c r="G265">
        <v>0</v>
      </c>
      <c r="I265" s="8">
        <v>2</v>
      </c>
      <c r="N265" s="8">
        <v>2</v>
      </c>
      <c r="S265" s="8">
        <v>2</v>
      </c>
    </row>
    <row r="266" spans="2:19" x14ac:dyDescent="0.3">
      <c r="B266">
        <f t="shared" si="4"/>
        <v>264</v>
      </c>
      <c r="C266">
        <v>45</v>
      </c>
      <c r="D266">
        <v>154</v>
      </c>
      <c r="E266">
        <v>220</v>
      </c>
      <c r="F266">
        <v>5050</v>
      </c>
      <c r="G266">
        <v>1</v>
      </c>
      <c r="I266" s="8">
        <v>2</v>
      </c>
      <c r="N266" s="8">
        <v>2</v>
      </c>
      <c r="S266" s="8">
        <v>2</v>
      </c>
    </row>
    <row r="267" spans="2:19" x14ac:dyDescent="0.3">
      <c r="B267">
        <f t="shared" si="4"/>
        <v>265</v>
      </c>
      <c r="C267">
        <v>438</v>
      </c>
      <c r="D267">
        <v>139</v>
      </c>
      <c r="E267">
        <v>208</v>
      </c>
      <c r="F267">
        <v>4300</v>
      </c>
      <c r="G267">
        <v>0</v>
      </c>
      <c r="I267" s="8">
        <v>3</v>
      </c>
      <c r="N267" s="8">
        <v>3</v>
      </c>
      <c r="S267" s="8">
        <v>2</v>
      </c>
    </row>
    <row r="268" spans="2:19" x14ac:dyDescent="0.3">
      <c r="B268">
        <f t="shared" si="4"/>
        <v>266</v>
      </c>
      <c r="C268">
        <v>455</v>
      </c>
      <c r="D268">
        <v>15</v>
      </c>
      <c r="E268">
        <v>220</v>
      </c>
      <c r="F268">
        <v>5000</v>
      </c>
      <c r="G268">
        <v>1</v>
      </c>
      <c r="I268" s="8">
        <v>2</v>
      </c>
      <c r="N268" s="8">
        <v>2</v>
      </c>
      <c r="S268" s="8">
        <v>2</v>
      </c>
    </row>
    <row r="269" spans="2:19" x14ac:dyDescent="0.3">
      <c r="B269">
        <f t="shared" si="4"/>
        <v>267</v>
      </c>
      <c r="C269">
        <v>432</v>
      </c>
      <c r="D269">
        <v>145</v>
      </c>
      <c r="E269">
        <v>208</v>
      </c>
      <c r="F269">
        <v>4450</v>
      </c>
      <c r="G269">
        <v>0</v>
      </c>
      <c r="I269" s="8">
        <v>3</v>
      </c>
      <c r="N269" s="8">
        <v>2</v>
      </c>
      <c r="S269" s="8">
        <v>2</v>
      </c>
    </row>
    <row r="270" spans="2:19" x14ac:dyDescent="0.3">
      <c r="B270">
        <f t="shared" si="4"/>
        <v>268</v>
      </c>
      <c r="C270">
        <v>504</v>
      </c>
      <c r="D270">
        <v>153</v>
      </c>
      <c r="E270">
        <v>224</v>
      </c>
      <c r="F270">
        <v>5550</v>
      </c>
      <c r="G270">
        <v>1</v>
      </c>
      <c r="I270" s="8">
        <v>2</v>
      </c>
      <c r="N270" s="8">
        <v>2</v>
      </c>
      <c r="S270" s="8">
        <v>2</v>
      </c>
    </row>
    <row r="271" spans="2:19" x14ac:dyDescent="0.3">
      <c r="B271">
        <f t="shared" si="4"/>
        <v>269</v>
      </c>
      <c r="C271">
        <v>453</v>
      </c>
      <c r="D271">
        <v>138</v>
      </c>
      <c r="E271">
        <v>208</v>
      </c>
      <c r="F271">
        <v>4200</v>
      </c>
      <c r="G271">
        <v>0</v>
      </c>
      <c r="I271" s="8">
        <v>3</v>
      </c>
      <c r="N271" s="8">
        <v>3</v>
      </c>
      <c r="S271" s="8">
        <v>2</v>
      </c>
    </row>
    <row r="272" spans="2:19" x14ac:dyDescent="0.3">
      <c r="B272">
        <f t="shared" si="4"/>
        <v>270</v>
      </c>
      <c r="C272">
        <v>462</v>
      </c>
      <c r="D272">
        <v>149</v>
      </c>
      <c r="E272">
        <v>221</v>
      </c>
      <c r="F272">
        <v>5300</v>
      </c>
      <c r="G272">
        <v>1</v>
      </c>
      <c r="I272" s="8">
        <v>2</v>
      </c>
      <c r="N272" s="8">
        <v>2</v>
      </c>
      <c r="S272" s="8">
        <v>2</v>
      </c>
    </row>
  </sheetData>
  <mergeCells count="3">
    <mergeCell ref="K2:L2"/>
    <mergeCell ref="P2:Q2"/>
    <mergeCell ref="U2:V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23B15-D403-4A25-94F0-27EF581AFD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MainTable</vt:lpstr>
      <vt:lpstr>Iterasi1</vt:lpstr>
      <vt:lpstr>Iterasi2</vt:lpstr>
      <vt:lpstr>Penguin Species</vt:lpstr>
      <vt:lpstr>Conclusion (BONUS)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Budiman Wijaya</dc:creator>
  <cp:lastModifiedBy>STANLEY NATHANAEL WIJAYA</cp:lastModifiedBy>
  <dcterms:created xsi:type="dcterms:W3CDTF">2024-07-19T05:42:44Z</dcterms:created>
  <dcterms:modified xsi:type="dcterms:W3CDTF">2024-08-27T05:22:58Z</dcterms:modified>
</cp:coreProperties>
</file>