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Materi\template\"/>
    </mc:Choice>
  </mc:AlternateContent>
  <xr:revisionPtr revIDLastSave="0" documentId="13_ncr:1_{1C0407C6-7EB1-417A-834B-EF6B57C3540E}" xr6:coauthVersionLast="47" xr6:coauthVersionMax="47" xr10:uidLastSave="{00000000-0000-0000-0000-000000000000}"/>
  <bookViews>
    <workbookView xWindow="-108" yWindow="-108" windowWidth="23256" windowHeight="12456" xr2:uid="{05E36D89-C6A9-4D98-A701-C400C0F64DB1}"/>
  </bookViews>
  <sheets>
    <sheet name="Binomial" sheetId="3" r:id="rId1"/>
    <sheet name="Multi" sheetId="4" r:id="rId2"/>
  </sheets>
  <definedNames>
    <definedName name="solver_adj" localSheetId="0" hidden="1">Binomial!$P$4:$P$8</definedName>
    <definedName name="solver_adj" localSheetId="1" hidden="1">Multi!$V$5:$Z$7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Binomial!$O$9</definedName>
    <definedName name="solver_opt" localSheetId="1" hidden="1">Multi!$S$4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4" i="4"/>
  <c r="H3" i="4"/>
</calcChain>
</file>

<file path=xl/sharedStrings.xml><?xml version="1.0" encoding="utf-8"?>
<sst xmlns="http://schemas.openxmlformats.org/spreadsheetml/2006/main" count="198" uniqueCount="33">
  <si>
    <t>Glucose</t>
  </si>
  <si>
    <t>BloodPressure</t>
  </si>
  <si>
    <t>BMI</t>
  </si>
  <si>
    <t>Age</t>
  </si>
  <si>
    <t>Outcome</t>
  </si>
  <si>
    <t>b0</t>
  </si>
  <si>
    <t>b1</t>
  </si>
  <si>
    <t>b2</t>
  </si>
  <si>
    <t>Solver Decision Variables</t>
  </si>
  <si>
    <t>Case</t>
  </si>
  <si>
    <t>Logit</t>
  </si>
  <si>
    <t>Exponential of logit</t>
  </si>
  <si>
    <t>Probabiliity</t>
  </si>
  <si>
    <t>b3</t>
  </si>
  <si>
    <t>b4</t>
  </si>
  <si>
    <t>Log likelihood</t>
  </si>
  <si>
    <t>Total Log likelihood</t>
  </si>
  <si>
    <t>Species</t>
  </si>
  <si>
    <t>Logits</t>
  </si>
  <si>
    <t>Intercept</t>
  </si>
  <si>
    <t>Coefficient</t>
  </si>
  <si>
    <t>Probabilities / Likelihood</t>
  </si>
  <si>
    <t>Id</t>
  </si>
  <si>
    <t>SepalLengthCm</t>
  </si>
  <si>
    <t>SepalWidthCm</t>
  </si>
  <si>
    <t>PetalLengthCm</t>
  </si>
  <si>
    <t>PetalWidthCm</t>
  </si>
  <si>
    <t>Iris-setosa</t>
  </si>
  <si>
    <t>Iris-versicolor</t>
  </si>
  <si>
    <t>Iris-virginica</t>
  </si>
  <si>
    <t>Species_code</t>
  </si>
  <si>
    <t>probability / likelihood</t>
  </si>
  <si>
    <t>Total Loglikelihood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</si>
</sst>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10</xdr:row>
      <xdr:rowOff>28574</xdr:rowOff>
    </xdr:from>
    <xdr:to>
      <xdr:col>16</xdr:col>
      <xdr:colOff>248218</xdr:colOff>
      <xdr:row>12</xdr:row>
      <xdr:rowOff>38157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58B0A-A64C-4B40-84E1-D13EFB1CC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17" b="-1"/>
        <a:stretch/>
      </xdr:blipFill>
      <xdr:spPr>
        <a:xfrm>
          <a:off x="10267950" y="2124074"/>
          <a:ext cx="4067743" cy="39058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13</xdr:row>
      <xdr:rowOff>76200</xdr:rowOff>
    </xdr:from>
    <xdr:to>
      <xdr:col>16</xdr:col>
      <xdr:colOff>266700</xdr:colOff>
      <xdr:row>15</xdr:row>
      <xdr:rowOff>111304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9DCFD-CBDD-D1BE-55BA-2CA70723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1700" y="2552700"/>
          <a:ext cx="4114800" cy="416104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47625</xdr:colOff>
      <xdr:row>10</xdr:row>
      <xdr:rowOff>57150</xdr:rowOff>
    </xdr:from>
    <xdr:to>
      <xdr:col>19</xdr:col>
      <xdr:colOff>390743</xdr:colOff>
      <xdr:row>14</xdr:row>
      <xdr:rowOff>19151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D70C38-141C-4482-B567-F190EE24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92325" y="1962150"/>
          <a:ext cx="1562318" cy="724001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8</xdr:row>
      <xdr:rowOff>0</xdr:rowOff>
    </xdr:from>
    <xdr:to>
      <xdr:col>25</xdr:col>
      <xdr:colOff>724702</xdr:colOff>
      <xdr:row>10</xdr:row>
      <xdr:rowOff>85790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7B-68C2-4429-AC83-5F9A5811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2725" y="1524000"/>
          <a:ext cx="5744377" cy="46679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24</xdr:col>
      <xdr:colOff>48193</xdr:colOff>
      <xdr:row>14</xdr:row>
      <xdr:rowOff>9583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71A24B-DE71-461D-8FF9-E0F141022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817" b="-1"/>
        <a:stretch/>
      </xdr:blipFill>
      <xdr:spPr>
        <a:xfrm>
          <a:off x="14182725" y="2286000"/>
          <a:ext cx="4067743" cy="39058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EE6DC-3F99-46E4-839A-5B64CBCF3CCF}" name="Table13" displayName="Table13" ref="B4:J153" totalsRowShown="0">
  <autoFilter ref="B4:J153" xr:uid="{943EE6DC-3F99-46E4-839A-5B64CBCF3CCF}"/>
  <tableColumns count="9">
    <tableColumn id="1" xr3:uid="{3B709239-29B6-459E-A7B5-03BD9014488A}" name="Glucose"/>
    <tableColumn id="2" xr3:uid="{0D77CCBE-AC76-4580-8B14-CF9297F031F2}" name="BloodPressure"/>
    <tableColumn id="4" xr3:uid="{C7A080D2-65C4-43E2-9362-16B1CF594D21}" name="BMI"/>
    <tableColumn id="5" xr3:uid="{5459951B-3517-4485-9E2D-890CC1640924}" name="Age"/>
    <tableColumn id="6" xr3:uid="{30A4C744-61D2-4417-AFFF-EFE6008EA7B4}" name="Outcome"/>
    <tableColumn id="7" xr3:uid="{43B81211-0AA8-40AB-9093-494480BA4349}" name="Logit" dataDxfId="3"/>
    <tableColumn id="8" xr3:uid="{6072E7D1-47A2-4FEE-A2CD-364D4D1C72D9}" name="Exponential of logit" dataDxfId="2"/>
    <tableColumn id="9" xr3:uid="{C81D40B9-97EF-4EB5-B64F-6C41A726E28E}" name="probability / likelihood" dataDxfId="1"/>
    <tableColumn id="10" xr3:uid="{3449C0F2-8D1A-402E-83B3-61644AA793AE}" name="Log likeliho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A4B2-00D2-4C13-B0E4-90371D3DF06C}">
  <dimension ref="B4:P153"/>
  <sheetViews>
    <sheetView tabSelected="1" zoomScaleNormal="100" workbookViewId="0">
      <selection activeCell="K20" sqref="K20"/>
    </sheetView>
  </sheetViews>
  <sheetFormatPr defaultRowHeight="14.4" x14ac:dyDescent="0.3"/>
  <cols>
    <col min="6" max="6" width="11.5546875" bestFit="1" customWidth="1"/>
    <col min="7" max="7" width="11.6640625" customWidth="1"/>
    <col min="8" max="8" width="14.109375" customWidth="1"/>
    <col min="9" max="9" width="24" bestFit="1" customWidth="1"/>
    <col min="10" max="10" width="15.33203125" customWidth="1"/>
    <col min="11" max="11" width="13.5546875" customWidth="1"/>
    <col min="14" max="15" width="24.33203125" bestFit="1" customWidth="1"/>
  </cols>
  <sheetData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10</v>
      </c>
      <c r="H4" t="s">
        <v>11</v>
      </c>
      <c r="I4" t="s">
        <v>31</v>
      </c>
      <c r="J4" t="s">
        <v>15</v>
      </c>
      <c r="N4" s="11" t="s">
        <v>8</v>
      </c>
      <c r="O4" s="1" t="s">
        <v>5</v>
      </c>
      <c r="P4" s="2">
        <v>0.01</v>
      </c>
    </row>
    <row r="5" spans="2:16" x14ac:dyDescent="0.3">
      <c r="B5">
        <v>148</v>
      </c>
      <c r="C5">
        <v>72</v>
      </c>
      <c r="D5">
        <v>33.6</v>
      </c>
      <c r="E5">
        <v>50</v>
      </c>
      <c r="F5">
        <v>1</v>
      </c>
      <c r="G5" s="8"/>
      <c r="H5" s="8"/>
      <c r="I5" s="8"/>
      <c r="J5" s="8"/>
      <c r="N5" s="12"/>
      <c r="O5" s="1" t="s">
        <v>6</v>
      </c>
      <c r="P5" s="2">
        <v>0.01</v>
      </c>
    </row>
    <row r="6" spans="2:16" x14ac:dyDescent="0.3">
      <c r="B6">
        <v>85</v>
      </c>
      <c r="C6">
        <v>66</v>
      </c>
      <c r="D6">
        <v>26.6</v>
      </c>
      <c r="E6">
        <v>31</v>
      </c>
      <c r="F6">
        <v>0</v>
      </c>
      <c r="G6" s="8"/>
      <c r="H6" s="8"/>
      <c r="I6" s="8"/>
      <c r="J6" s="8"/>
      <c r="N6" s="12"/>
      <c r="O6" s="1" t="s">
        <v>7</v>
      </c>
      <c r="P6" s="2">
        <v>0.01</v>
      </c>
    </row>
    <row r="7" spans="2:16" x14ac:dyDescent="0.3">
      <c r="B7">
        <v>183</v>
      </c>
      <c r="C7">
        <v>64</v>
      </c>
      <c r="D7">
        <v>23.3</v>
      </c>
      <c r="E7">
        <v>32</v>
      </c>
      <c r="F7">
        <v>1</v>
      </c>
      <c r="G7" s="8"/>
      <c r="H7" s="8"/>
      <c r="I7" s="8"/>
      <c r="J7" s="8"/>
      <c r="N7" s="12"/>
      <c r="O7" s="1" t="s">
        <v>13</v>
      </c>
      <c r="P7" s="2">
        <v>0.01</v>
      </c>
    </row>
    <row r="8" spans="2:16" x14ac:dyDescent="0.3">
      <c r="B8">
        <v>89</v>
      </c>
      <c r="C8">
        <v>66</v>
      </c>
      <c r="D8">
        <v>28.1</v>
      </c>
      <c r="E8">
        <v>21</v>
      </c>
      <c r="F8">
        <v>0</v>
      </c>
      <c r="G8" s="8"/>
      <c r="H8" s="8"/>
      <c r="I8" s="8"/>
      <c r="J8" s="8"/>
      <c r="N8" s="12"/>
      <c r="O8" s="1" t="s">
        <v>14</v>
      </c>
      <c r="P8" s="2">
        <v>0.01</v>
      </c>
    </row>
    <row r="9" spans="2:16" x14ac:dyDescent="0.3">
      <c r="B9">
        <v>137</v>
      </c>
      <c r="C9">
        <v>40</v>
      </c>
      <c r="D9">
        <v>43.1</v>
      </c>
      <c r="E9">
        <v>33</v>
      </c>
      <c r="F9">
        <v>1</v>
      </c>
      <c r="G9" s="8"/>
      <c r="H9" s="8"/>
      <c r="I9" s="8"/>
      <c r="J9" s="8"/>
      <c r="N9" s="3" t="s">
        <v>16</v>
      </c>
      <c r="O9" s="9"/>
      <c r="P9" s="10"/>
    </row>
    <row r="10" spans="2:16" x14ac:dyDescent="0.3">
      <c r="B10">
        <v>116</v>
      </c>
      <c r="C10">
        <v>74</v>
      </c>
      <c r="D10">
        <v>25.6</v>
      </c>
      <c r="E10">
        <v>30</v>
      </c>
      <c r="F10">
        <v>0</v>
      </c>
      <c r="G10" s="8"/>
      <c r="H10" s="8"/>
      <c r="I10" s="8"/>
      <c r="J10" s="8"/>
    </row>
    <row r="11" spans="2:16" x14ac:dyDescent="0.3">
      <c r="B11">
        <v>78</v>
      </c>
      <c r="C11">
        <v>50</v>
      </c>
      <c r="D11">
        <v>31</v>
      </c>
      <c r="E11">
        <v>26</v>
      </c>
      <c r="F11">
        <v>1</v>
      </c>
      <c r="G11" s="8"/>
      <c r="H11" s="8"/>
      <c r="I11" s="8"/>
      <c r="J11" s="8"/>
    </row>
    <row r="12" spans="2:16" x14ac:dyDescent="0.3">
      <c r="B12">
        <v>115</v>
      </c>
      <c r="C12">
        <v>0</v>
      </c>
      <c r="D12">
        <v>35.299999999999997</v>
      </c>
      <c r="E12">
        <v>29</v>
      </c>
      <c r="F12">
        <v>0</v>
      </c>
      <c r="G12" s="8"/>
      <c r="H12" s="8"/>
      <c r="I12" s="8"/>
      <c r="J12" s="8"/>
    </row>
    <row r="13" spans="2:16" x14ac:dyDescent="0.3">
      <c r="B13">
        <v>197</v>
      </c>
      <c r="C13">
        <v>70</v>
      </c>
      <c r="D13">
        <v>30.5</v>
      </c>
      <c r="E13">
        <v>53</v>
      </c>
      <c r="F13">
        <v>1</v>
      </c>
      <c r="G13" s="8"/>
      <c r="H13" s="8"/>
      <c r="I13" s="8"/>
      <c r="J13" s="8"/>
    </row>
    <row r="14" spans="2:16" x14ac:dyDescent="0.3">
      <c r="B14">
        <v>125</v>
      </c>
      <c r="C14">
        <v>96</v>
      </c>
      <c r="D14">
        <v>0</v>
      </c>
      <c r="E14">
        <v>54</v>
      </c>
      <c r="F14">
        <v>1</v>
      </c>
      <c r="G14" s="8"/>
      <c r="H14" s="8"/>
      <c r="I14" s="8"/>
      <c r="J14" s="8"/>
    </row>
    <row r="15" spans="2:16" x14ac:dyDescent="0.3">
      <c r="B15">
        <v>110</v>
      </c>
      <c r="C15">
        <v>92</v>
      </c>
      <c r="D15">
        <v>37.6</v>
      </c>
      <c r="E15">
        <v>30</v>
      </c>
      <c r="F15">
        <v>0</v>
      </c>
      <c r="G15" s="8"/>
      <c r="H15" s="8"/>
      <c r="I15" s="8"/>
      <c r="J15" s="8"/>
    </row>
    <row r="16" spans="2:16" x14ac:dyDescent="0.3">
      <c r="B16">
        <v>168</v>
      </c>
      <c r="C16">
        <v>74</v>
      </c>
      <c r="D16">
        <v>38</v>
      </c>
      <c r="E16">
        <v>34</v>
      </c>
      <c r="F16">
        <v>1</v>
      </c>
      <c r="G16" s="8"/>
      <c r="H16" s="8"/>
      <c r="I16" s="8"/>
      <c r="J16" s="8"/>
    </row>
    <row r="17" spans="2:15" x14ac:dyDescent="0.3">
      <c r="B17">
        <v>139</v>
      </c>
      <c r="C17">
        <v>80</v>
      </c>
      <c r="D17">
        <v>27.1</v>
      </c>
      <c r="E17">
        <v>57</v>
      </c>
      <c r="F17">
        <v>0</v>
      </c>
      <c r="G17" s="8"/>
      <c r="H17" s="8"/>
      <c r="I17" s="8"/>
      <c r="J17" s="8"/>
    </row>
    <row r="18" spans="2:15" x14ac:dyDescent="0.3">
      <c r="B18">
        <v>166</v>
      </c>
      <c r="C18">
        <v>72</v>
      </c>
      <c r="D18">
        <v>25.8</v>
      </c>
      <c r="E18">
        <v>51</v>
      </c>
      <c r="F18">
        <v>1</v>
      </c>
      <c r="G18" s="8"/>
      <c r="H18" s="8"/>
      <c r="I18" s="8"/>
      <c r="J18" s="8"/>
      <c r="N18" s="3" t="s">
        <v>9</v>
      </c>
      <c r="O18" s="3"/>
    </row>
    <row r="19" spans="2:15" x14ac:dyDescent="0.3">
      <c r="B19">
        <v>100</v>
      </c>
      <c r="C19">
        <v>0</v>
      </c>
      <c r="D19">
        <v>30</v>
      </c>
      <c r="E19">
        <v>32</v>
      </c>
      <c r="F19">
        <v>1</v>
      </c>
      <c r="G19" s="8"/>
      <c r="H19" s="8"/>
      <c r="I19" s="8"/>
      <c r="J19" s="8"/>
      <c r="N19" s="1" t="s">
        <v>0</v>
      </c>
      <c r="O19" s="2">
        <v>170</v>
      </c>
    </row>
    <row r="20" spans="2:15" x14ac:dyDescent="0.3">
      <c r="B20">
        <v>118</v>
      </c>
      <c r="C20">
        <v>84</v>
      </c>
      <c r="D20">
        <v>45.8</v>
      </c>
      <c r="E20">
        <v>31</v>
      </c>
      <c r="F20">
        <v>1</v>
      </c>
      <c r="G20" s="8"/>
      <c r="H20" s="8"/>
      <c r="I20" s="8"/>
      <c r="J20" s="8"/>
      <c r="N20" s="1" t="s">
        <v>1</v>
      </c>
      <c r="O20" s="2">
        <v>180</v>
      </c>
    </row>
    <row r="21" spans="2:15" x14ac:dyDescent="0.3">
      <c r="B21">
        <v>107</v>
      </c>
      <c r="C21">
        <v>74</v>
      </c>
      <c r="D21">
        <v>29.6</v>
      </c>
      <c r="E21">
        <v>31</v>
      </c>
      <c r="F21">
        <v>1</v>
      </c>
      <c r="G21" s="8"/>
      <c r="H21" s="8"/>
      <c r="I21" s="8"/>
      <c r="J21" s="8"/>
      <c r="N21" s="1" t="s">
        <v>2</v>
      </c>
      <c r="O21" s="2">
        <v>40</v>
      </c>
    </row>
    <row r="22" spans="2:15" x14ac:dyDescent="0.3">
      <c r="B22">
        <v>103</v>
      </c>
      <c r="C22">
        <v>30</v>
      </c>
      <c r="D22">
        <v>43.3</v>
      </c>
      <c r="E22">
        <v>33</v>
      </c>
      <c r="F22">
        <v>0</v>
      </c>
      <c r="G22" s="8"/>
      <c r="H22" s="8"/>
      <c r="I22" s="8"/>
      <c r="J22" s="8"/>
      <c r="N22" s="1" t="s">
        <v>3</v>
      </c>
      <c r="O22" s="2">
        <v>52</v>
      </c>
    </row>
    <row r="23" spans="2:15" x14ac:dyDescent="0.3">
      <c r="B23">
        <v>115</v>
      </c>
      <c r="C23">
        <v>70</v>
      </c>
      <c r="D23">
        <v>34.6</v>
      </c>
      <c r="E23">
        <v>32</v>
      </c>
      <c r="F23">
        <v>1</v>
      </c>
      <c r="G23" s="8"/>
      <c r="H23" s="8"/>
      <c r="I23" s="8"/>
      <c r="J23" s="8"/>
      <c r="N23" s="1" t="s">
        <v>10</v>
      </c>
      <c r="O23" s="4"/>
    </row>
    <row r="24" spans="2:15" x14ac:dyDescent="0.3">
      <c r="B24">
        <v>126</v>
      </c>
      <c r="C24">
        <v>88</v>
      </c>
      <c r="D24">
        <v>39.299999999999997</v>
      </c>
      <c r="E24">
        <v>27</v>
      </c>
      <c r="F24">
        <v>0</v>
      </c>
      <c r="G24" s="8"/>
      <c r="H24" s="8"/>
      <c r="I24" s="8"/>
      <c r="J24" s="8"/>
      <c r="N24" s="1" t="s">
        <v>11</v>
      </c>
      <c r="O24" s="4"/>
    </row>
    <row r="25" spans="2:15" x14ac:dyDescent="0.3">
      <c r="B25">
        <v>99</v>
      </c>
      <c r="C25">
        <v>84</v>
      </c>
      <c r="D25">
        <v>35.4</v>
      </c>
      <c r="E25">
        <v>50</v>
      </c>
      <c r="F25">
        <v>0</v>
      </c>
      <c r="G25" s="8"/>
      <c r="H25" s="8"/>
      <c r="I25" s="8"/>
      <c r="J25" s="8"/>
      <c r="N25" s="1" t="s">
        <v>12</v>
      </c>
      <c r="O25" s="4"/>
    </row>
    <row r="26" spans="2:15" x14ac:dyDescent="0.3">
      <c r="B26">
        <v>196</v>
      </c>
      <c r="C26">
        <v>90</v>
      </c>
      <c r="D26">
        <v>39.799999999999997</v>
      </c>
      <c r="E26">
        <v>41</v>
      </c>
      <c r="F26">
        <v>1</v>
      </c>
      <c r="G26" s="8"/>
      <c r="H26" s="8"/>
      <c r="I26" s="8"/>
      <c r="J26" s="8"/>
    </row>
    <row r="27" spans="2:15" x14ac:dyDescent="0.3">
      <c r="B27">
        <v>119</v>
      </c>
      <c r="C27">
        <v>80</v>
      </c>
      <c r="D27">
        <v>29</v>
      </c>
      <c r="E27">
        <v>29</v>
      </c>
      <c r="F27">
        <v>1</v>
      </c>
      <c r="G27" s="8"/>
      <c r="H27" s="8"/>
      <c r="I27" s="8"/>
      <c r="J27" s="8"/>
    </row>
    <row r="28" spans="2:15" x14ac:dyDescent="0.3">
      <c r="B28">
        <v>143</v>
      </c>
      <c r="C28">
        <v>94</v>
      </c>
      <c r="D28">
        <v>36.6</v>
      </c>
      <c r="E28">
        <v>51</v>
      </c>
      <c r="F28">
        <v>1</v>
      </c>
      <c r="G28" s="8"/>
      <c r="H28" s="8"/>
      <c r="I28" s="8"/>
      <c r="J28" s="8"/>
    </row>
    <row r="29" spans="2:15" x14ac:dyDescent="0.3">
      <c r="B29">
        <v>125</v>
      </c>
      <c r="C29">
        <v>70</v>
      </c>
      <c r="D29">
        <v>31.1</v>
      </c>
      <c r="E29">
        <v>41</v>
      </c>
      <c r="F29">
        <v>1</v>
      </c>
      <c r="G29" s="8"/>
      <c r="H29" s="8"/>
      <c r="I29" s="8"/>
      <c r="J29" s="8"/>
    </row>
    <row r="30" spans="2:15" x14ac:dyDescent="0.3">
      <c r="B30">
        <v>147</v>
      </c>
      <c r="C30">
        <v>76</v>
      </c>
      <c r="D30">
        <v>39.4</v>
      </c>
      <c r="E30">
        <v>43</v>
      </c>
      <c r="F30">
        <v>1</v>
      </c>
      <c r="G30" s="8"/>
      <c r="H30" s="8"/>
      <c r="I30" s="8"/>
      <c r="J30" s="8"/>
    </row>
    <row r="31" spans="2:15" x14ac:dyDescent="0.3">
      <c r="B31">
        <v>97</v>
      </c>
      <c r="C31">
        <v>66</v>
      </c>
      <c r="D31">
        <v>23.2</v>
      </c>
      <c r="E31">
        <v>22</v>
      </c>
      <c r="F31">
        <v>0</v>
      </c>
      <c r="G31" s="8"/>
      <c r="H31" s="8"/>
      <c r="I31" s="8"/>
      <c r="J31" s="8"/>
    </row>
    <row r="32" spans="2:15" x14ac:dyDescent="0.3">
      <c r="B32">
        <v>145</v>
      </c>
      <c r="C32">
        <v>82</v>
      </c>
      <c r="D32">
        <v>22.2</v>
      </c>
      <c r="E32">
        <v>57</v>
      </c>
      <c r="F32">
        <v>0</v>
      </c>
      <c r="G32" s="8"/>
      <c r="H32" s="8"/>
      <c r="I32" s="8"/>
      <c r="J32" s="8"/>
    </row>
    <row r="33" spans="2:10" x14ac:dyDescent="0.3">
      <c r="B33">
        <v>117</v>
      </c>
      <c r="C33">
        <v>92</v>
      </c>
      <c r="D33">
        <v>34.1</v>
      </c>
      <c r="E33">
        <v>38</v>
      </c>
      <c r="F33">
        <v>0</v>
      </c>
      <c r="G33" s="8"/>
      <c r="H33" s="8"/>
      <c r="I33" s="8"/>
      <c r="J33" s="8"/>
    </row>
    <row r="34" spans="2:10" x14ac:dyDescent="0.3">
      <c r="B34">
        <v>109</v>
      </c>
      <c r="C34">
        <v>75</v>
      </c>
      <c r="D34">
        <v>36</v>
      </c>
      <c r="E34">
        <v>60</v>
      </c>
      <c r="F34">
        <v>0</v>
      </c>
      <c r="G34" s="8"/>
      <c r="H34" s="8"/>
      <c r="I34" s="8"/>
      <c r="J34" s="8"/>
    </row>
    <row r="35" spans="2:10" x14ac:dyDescent="0.3">
      <c r="B35">
        <v>158</v>
      </c>
      <c r="C35">
        <v>76</v>
      </c>
      <c r="D35">
        <v>31.6</v>
      </c>
      <c r="E35">
        <v>28</v>
      </c>
      <c r="F35">
        <v>1</v>
      </c>
      <c r="G35" s="8"/>
      <c r="H35" s="8"/>
      <c r="I35" s="8"/>
      <c r="J35" s="8"/>
    </row>
    <row r="36" spans="2:10" x14ac:dyDescent="0.3">
      <c r="B36">
        <v>88</v>
      </c>
      <c r="C36">
        <v>58</v>
      </c>
      <c r="D36">
        <v>24.8</v>
      </c>
      <c r="E36">
        <v>22</v>
      </c>
      <c r="F36">
        <v>0</v>
      </c>
      <c r="G36" s="8"/>
      <c r="H36" s="8"/>
      <c r="I36" s="8"/>
      <c r="J36" s="8"/>
    </row>
    <row r="37" spans="2:10" x14ac:dyDescent="0.3">
      <c r="B37">
        <v>92</v>
      </c>
      <c r="C37">
        <v>92</v>
      </c>
      <c r="D37">
        <v>19.899999999999999</v>
      </c>
      <c r="E37">
        <v>28</v>
      </c>
      <c r="F37">
        <v>0</v>
      </c>
      <c r="G37" s="8"/>
      <c r="H37" s="8"/>
      <c r="I37" s="8"/>
      <c r="J37" s="8"/>
    </row>
    <row r="38" spans="2:10" x14ac:dyDescent="0.3">
      <c r="B38">
        <v>122</v>
      </c>
      <c r="C38">
        <v>78</v>
      </c>
      <c r="D38">
        <v>27.6</v>
      </c>
      <c r="E38">
        <v>45</v>
      </c>
      <c r="F38">
        <v>0</v>
      </c>
      <c r="G38" s="8"/>
      <c r="H38" s="8"/>
      <c r="I38" s="8"/>
      <c r="J38" s="8"/>
    </row>
    <row r="39" spans="2:10" x14ac:dyDescent="0.3">
      <c r="B39">
        <v>103</v>
      </c>
      <c r="C39">
        <v>60</v>
      </c>
      <c r="D39">
        <v>24</v>
      </c>
      <c r="E39">
        <v>33</v>
      </c>
      <c r="F39">
        <v>0</v>
      </c>
      <c r="G39" s="8"/>
      <c r="H39" s="8"/>
      <c r="I39" s="8"/>
      <c r="J39" s="8"/>
    </row>
    <row r="40" spans="2:10" x14ac:dyDescent="0.3">
      <c r="B40">
        <v>138</v>
      </c>
      <c r="C40">
        <v>76</v>
      </c>
      <c r="D40">
        <v>33.200000000000003</v>
      </c>
      <c r="E40">
        <v>35</v>
      </c>
      <c r="F40">
        <v>0</v>
      </c>
      <c r="G40" s="8"/>
      <c r="H40" s="8"/>
      <c r="I40" s="8"/>
      <c r="J40" s="8"/>
    </row>
    <row r="41" spans="2:10" x14ac:dyDescent="0.3">
      <c r="B41">
        <v>102</v>
      </c>
      <c r="C41">
        <v>76</v>
      </c>
      <c r="D41">
        <v>32.9</v>
      </c>
      <c r="E41">
        <v>46</v>
      </c>
      <c r="F41">
        <v>1</v>
      </c>
      <c r="G41" s="8"/>
      <c r="H41" s="8"/>
      <c r="I41" s="8"/>
      <c r="J41" s="8"/>
    </row>
    <row r="42" spans="2:10" x14ac:dyDescent="0.3">
      <c r="B42">
        <v>90</v>
      </c>
      <c r="C42">
        <v>68</v>
      </c>
      <c r="D42">
        <v>38.200000000000003</v>
      </c>
      <c r="E42">
        <v>27</v>
      </c>
      <c r="F42">
        <v>1</v>
      </c>
      <c r="G42" s="8"/>
      <c r="H42" s="8"/>
      <c r="I42" s="8"/>
      <c r="J42" s="8"/>
    </row>
    <row r="43" spans="2:10" x14ac:dyDescent="0.3">
      <c r="B43">
        <v>111</v>
      </c>
      <c r="C43">
        <v>72</v>
      </c>
      <c r="D43">
        <v>37.1</v>
      </c>
      <c r="E43">
        <v>56</v>
      </c>
      <c r="F43">
        <v>1</v>
      </c>
      <c r="G43" s="8"/>
      <c r="H43" s="8"/>
      <c r="I43" s="8"/>
      <c r="J43" s="8"/>
    </row>
    <row r="44" spans="2:10" x14ac:dyDescent="0.3">
      <c r="B44">
        <v>180</v>
      </c>
      <c r="C44">
        <v>64</v>
      </c>
      <c r="D44">
        <v>34</v>
      </c>
      <c r="E44">
        <v>26</v>
      </c>
      <c r="F44">
        <v>0</v>
      </c>
      <c r="G44" s="8"/>
      <c r="H44" s="8"/>
      <c r="I44" s="8"/>
      <c r="J44" s="8"/>
    </row>
    <row r="45" spans="2:10" x14ac:dyDescent="0.3">
      <c r="B45">
        <v>133</v>
      </c>
      <c r="C45">
        <v>84</v>
      </c>
      <c r="D45">
        <v>40.200000000000003</v>
      </c>
      <c r="E45">
        <v>37</v>
      </c>
      <c r="F45">
        <v>0</v>
      </c>
      <c r="G45" s="8"/>
      <c r="H45" s="8"/>
      <c r="I45" s="8"/>
      <c r="J45" s="8"/>
    </row>
    <row r="46" spans="2:10" x14ac:dyDescent="0.3">
      <c r="B46">
        <v>106</v>
      </c>
      <c r="C46">
        <v>92</v>
      </c>
      <c r="D46">
        <v>22.7</v>
      </c>
      <c r="E46">
        <v>48</v>
      </c>
      <c r="F46">
        <v>0</v>
      </c>
      <c r="G46" s="8"/>
      <c r="H46" s="8"/>
      <c r="I46" s="8"/>
      <c r="J46" s="8"/>
    </row>
    <row r="47" spans="2:10" x14ac:dyDescent="0.3">
      <c r="B47">
        <v>171</v>
      </c>
      <c r="C47">
        <v>110</v>
      </c>
      <c r="D47">
        <v>45.4</v>
      </c>
      <c r="E47">
        <v>54</v>
      </c>
      <c r="F47">
        <v>1</v>
      </c>
      <c r="G47" s="8"/>
      <c r="H47" s="8"/>
      <c r="I47" s="8"/>
      <c r="J47" s="8"/>
    </row>
    <row r="48" spans="2:10" x14ac:dyDescent="0.3">
      <c r="B48">
        <v>159</v>
      </c>
      <c r="C48">
        <v>64</v>
      </c>
      <c r="D48">
        <v>27.4</v>
      </c>
      <c r="E48">
        <v>40</v>
      </c>
      <c r="F48">
        <v>0</v>
      </c>
      <c r="G48" s="8"/>
      <c r="H48" s="8"/>
      <c r="I48" s="8"/>
      <c r="J48" s="8"/>
    </row>
    <row r="49" spans="2:10" x14ac:dyDescent="0.3">
      <c r="B49">
        <v>180</v>
      </c>
      <c r="C49">
        <v>66</v>
      </c>
      <c r="D49">
        <v>42</v>
      </c>
      <c r="E49">
        <v>25</v>
      </c>
      <c r="F49">
        <v>1</v>
      </c>
      <c r="G49" s="8"/>
      <c r="H49" s="8"/>
      <c r="I49" s="8"/>
      <c r="J49" s="8"/>
    </row>
    <row r="50" spans="2:10" x14ac:dyDescent="0.3">
      <c r="B50">
        <v>146</v>
      </c>
      <c r="C50">
        <v>56</v>
      </c>
      <c r="D50">
        <v>29.7</v>
      </c>
      <c r="E50">
        <v>29</v>
      </c>
      <c r="F50">
        <v>0</v>
      </c>
      <c r="G50" s="8"/>
      <c r="H50" s="8"/>
      <c r="I50" s="8"/>
      <c r="J50" s="8"/>
    </row>
    <row r="51" spans="2:10" x14ac:dyDescent="0.3">
      <c r="B51">
        <v>71</v>
      </c>
      <c r="C51">
        <v>70</v>
      </c>
      <c r="D51">
        <v>28</v>
      </c>
      <c r="E51">
        <v>22</v>
      </c>
      <c r="F51">
        <v>0</v>
      </c>
      <c r="G51" s="8"/>
      <c r="H51" s="8"/>
      <c r="I51" s="8"/>
      <c r="J51" s="8"/>
    </row>
    <row r="52" spans="2:10" x14ac:dyDescent="0.3">
      <c r="B52">
        <v>103</v>
      </c>
      <c r="C52">
        <v>66</v>
      </c>
      <c r="D52">
        <v>39.1</v>
      </c>
      <c r="E52">
        <v>31</v>
      </c>
      <c r="F52">
        <v>1</v>
      </c>
      <c r="G52" s="8"/>
      <c r="H52" s="8"/>
      <c r="I52" s="8"/>
      <c r="J52" s="8"/>
    </row>
    <row r="53" spans="2:10" x14ac:dyDescent="0.3">
      <c r="B53">
        <v>105</v>
      </c>
      <c r="C53">
        <v>0</v>
      </c>
      <c r="D53">
        <v>0</v>
      </c>
      <c r="E53">
        <v>24</v>
      </c>
      <c r="F53">
        <v>0</v>
      </c>
      <c r="G53" s="8"/>
      <c r="H53" s="8"/>
      <c r="I53" s="8"/>
      <c r="J53" s="8"/>
    </row>
    <row r="54" spans="2:10" x14ac:dyDescent="0.3">
      <c r="B54">
        <v>103</v>
      </c>
      <c r="C54">
        <v>80</v>
      </c>
      <c r="D54">
        <v>19.399999999999999</v>
      </c>
      <c r="E54">
        <v>22</v>
      </c>
      <c r="F54">
        <v>0</v>
      </c>
      <c r="G54" s="8"/>
      <c r="H54" s="8"/>
      <c r="I54" s="8"/>
      <c r="J54" s="8"/>
    </row>
    <row r="55" spans="2:10" x14ac:dyDescent="0.3">
      <c r="B55">
        <v>101</v>
      </c>
      <c r="C55">
        <v>50</v>
      </c>
      <c r="D55">
        <v>24.2</v>
      </c>
      <c r="E55">
        <v>26</v>
      </c>
      <c r="F55">
        <v>0</v>
      </c>
      <c r="G55" s="8"/>
      <c r="H55" s="8"/>
      <c r="I55" s="8"/>
      <c r="J55" s="8"/>
    </row>
    <row r="56" spans="2:10" x14ac:dyDescent="0.3">
      <c r="B56">
        <v>88</v>
      </c>
      <c r="C56">
        <v>66</v>
      </c>
      <c r="D56">
        <v>24.4</v>
      </c>
      <c r="E56">
        <v>30</v>
      </c>
      <c r="F56">
        <v>0</v>
      </c>
      <c r="G56" s="8"/>
      <c r="H56" s="8"/>
      <c r="I56" s="8"/>
      <c r="J56" s="8"/>
    </row>
    <row r="57" spans="2:10" x14ac:dyDescent="0.3">
      <c r="B57">
        <v>176</v>
      </c>
      <c r="C57">
        <v>90</v>
      </c>
      <c r="D57">
        <v>33.700000000000003</v>
      </c>
      <c r="E57">
        <v>58</v>
      </c>
      <c r="F57">
        <v>1</v>
      </c>
      <c r="G57" s="8"/>
      <c r="H57" s="8"/>
      <c r="I57" s="8"/>
      <c r="J57" s="8"/>
    </row>
    <row r="58" spans="2:10" x14ac:dyDescent="0.3">
      <c r="B58">
        <v>150</v>
      </c>
      <c r="C58">
        <v>66</v>
      </c>
      <c r="D58">
        <v>34.700000000000003</v>
      </c>
      <c r="E58">
        <v>42</v>
      </c>
      <c r="F58">
        <v>0</v>
      </c>
      <c r="G58" s="8"/>
      <c r="H58" s="8"/>
      <c r="I58" s="8"/>
      <c r="J58" s="8"/>
    </row>
    <row r="59" spans="2:10" x14ac:dyDescent="0.3">
      <c r="B59">
        <v>73</v>
      </c>
      <c r="C59">
        <v>50</v>
      </c>
      <c r="D59">
        <v>23</v>
      </c>
      <c r="E59">
        <v>21</v>
      </c>
      <c r="F59">
        <v>0</v>
      </c>
      <c r="G59" s="8"/>
      <c r="H59" s="8"/>
      <c r="I59" s="8"/>
      <c r="J59" s="8"/>
    </row>
    <row r="60" spans="2:10" x14ac:dyDescent="0.3">
      <c r="B60">
        <v>187</v>
      </c>
      <c r="C60">
        <v>68</v>
      </c>
      <c r="D60">
        <v>37.700000000000003</v>
      </c>
      <c r="E60">
        <v>41</v>
      </c>
      <c r="F60">
        <v>1</v>
      </c>
      <c r="G60" s="8"/>
      <c r="H60" s="8"/>
      <c r="I60" s="8"/>
      <c r="J60" s="8"/>
    </row>
    <row r="61" spans="2:10" x14ac:dyDescent="0.3">
      <c r="B61">
        <v>100</v>
      </c>
      <c r="C61">
        <v>88</v>
      </c>
      <c r="D61">
        <v>46.8</v>
      </c>
      <c r="E61">
        <v>31</v>
      </c>
      <c r="F61">
        <v>0</v>
      </c>
      <c r="G61" s="8"/>
      <c r="H61" s="8"/>
      <c r="I61" s="8"/>
      <c r="J61" s="8"/>
    </row>
    <row r="62" spans="2:10" x14ac:dyDescent="0.3">
      <c r="B62">
        <v>146</v>
      </c>
      <c r="C62">
        <v>82</v>
      </c>
      <c r="D62">
        <v>40.5</v>
      </c>
      <c r="E62">
        <v>44</v>
      </c>
      <c r="F62">
        <v>0</v>
      </c>
      <c r="G62" s="8"/>
      <c r="H62" s="8"/>
      <c r="I62" s="8"/>
      <c r="J62" s="8"/>
    </row>
    <row r="63" spans="2:10" x14ac:dyDescent="0.3">
      <c r="B63">
        <v>105</v>
      </c>
      <c r="C63">
        <v>64</v>
      </c>
      <c r="D63">
        <v>41.5</v>
      </c>
      <c r="E63">
        <v>22</v>
      </c>
      <c r="F63">
        <v>0</v>
      </c>
      <c r="G63" s="8"/>
      <c r="H63" s="8"/>
      <c r="I63" s="8"/>
      <c r="J63" s="8"/>
    </row>
    <row r="64" spans="2:10" x14ac:dyDescent="0.3">
      <c r="B64">
        <v>84</v>
      </c>
      <c r="C64">
        <v>0</v>
      </c>
      <c r="D64">
        <v>0</v>
      </c>
      <c r="E64">
        <v>21</v>
      </c>
      <c r="F64">
        <v>0</v>
      </c>
      <c r="G64" s="8"/>
      <c r="H64" s="8"/>
      <c r="I64" s="8"/>
      <c r="J64" s="8"/>
    </row>
    <row r="65" spans="2:10" x14ac:dyDescent="0.3">
      <c r="B65">
        <v>133</v>
      </c>
      <c r="C65">
        <v>72</v>
      </c>
      <c r="D65">
        <v>32.9</v>
      </c>
      <c r="E65">
        <v>39</v>
      </c>
      <c r="F65">
        <v>1</v>
      </c>
      <c r="G65" s="8"/>
      <c r="H65" s="8"/>
      <c r="I65" s="8"/>
      <c r="J65" s="8"/>
    </row>
    <row r="66" spans="2:10" x14ac:dyDescent="0.3">
      <c r="B66">
        <v>44</v>
      </c>
      <c r="C66">
        <v>62</v>
      </c>
      <c r="D66">
        <v>25</v>
      </c>
      <c r="E66">
        <v>36</v>
      </c>
      <c r="F66">
        <v>0</v>
      </c>
      <c r="G66" s="8"/>
      <c r="H66" s="8"/>
      <c r="I66" s="8"/>
      <c r="J66" s="8"/>
    </row>
    <row r="67" spans="2:10" x14ac:dyDescent="0.3">
      <c r="B67">
        <v>141</v>
      </c>
      <c r="C67">
        <v>58</v>
      </c>
      <c r="D67">
        <v>25.4</v>
      </c>
      <c r="E67">
        <v>24</v>
      </c>
      <c r="F67">
        <v>0</v>
      </c>
      <c r="G67" s="8"/>
      <c r="H67" s="8"/>
      <c r="I67" s="8"/>
      <c r="J67" s="8"/>
    </row>
    <row r="68" spans="2:10" x14ac:dyDescent="0.3">
      <c r="B68">
        <v>114</v>
      </c>
      <c r="C68">
        <v>66</v>
      </c>
      <c r="D68">
        <v>32.799999999999997</v>
      </c>
      <c r="E68">
        <v>42</v>
      </c>
      <c r="F68">
        <v>1</v>
      </c>
      <c r="G68" s="8"/>
      <c r="H68" s="8"/>
      <c r="I68" s="8"/>
      <c r="J68" s="8"/>
    </row>
    <row r="69" spans="2:10" x14ac:dyDescent="0.3">
      <c r="B69">
        <v>99</v>
      </c>
      <c r="C69">
        <v>74</v>
      </c>
      <c r="D69">
        <v>29</v>
      </c>
      <c r="E69">
        <v>32</v>
      </c>
      <c r="F69">
        <v>0</v>
      </c>
      <c r="G69" s="8"/>
      <c r="H69" s="8"/>
      <c r="I69" s="8"/>
      <c r="J69" s="8"/>
    </row>
    <row r="70" spans="2:10" x14ac:dyDescent="0.3">
      <c r="B70">
        <v>109</v>
      </c>
      <c r="C70">
        <v>88</v>
      </c>
      <c r="D70">
        <v>32.5</v>
      </c>
      <c r="E70">
        <v>38</v>
      </c>
      <c r="F70">
        <v>1</v>
      </c>
      <c r="G70" s="8"/>
      <c r="H70" s="8"/>
      <c r="I70" s="8"/>
      <c r="J70" s="8"/>
    </row>
    <row r="71" spans="2:10" x14ac:dyDescent="0.3">
      <c r="B71">
        <v>109</v>
      </c>
      <c r="C71">
        <v>92</v>
      </c>
      <c r="D71">
        <v>42.7</v>
      </c>
      <c r="E71">
        <v>54</v>
      </c>
      <c r="F71">
        <v>0</v>
      </c>
      <c r="G71" s="8"/>
      <c r="H71" s="8"/>
      <c r="I71" s="8"/>
      <c r="J71" s="8"/>
    </row>
    <row r="72" spans="2:10" x14ac:dyDescent="0.3">
      <c r="B72">
        <v>95</v>
      </c>
      <c r="C72">
        <v>66</v>
      </c>
      <c r="D72">
        <v>19.600000000000001</v>
      </c>
      <c r="E72">
        <v>25</v>
      </c>
      <c r="F72">
        <v>0</v>
      </c>
      <c r="G72" s="8"/>
      <c r="H72" s="8"/>
      <c r="I72" s="8"/>
      <c r="J72" s="8"/>
    </row>
    <row r="73" spans="2:10" x14ac:dyDescent="0.3">
      <c r="B73">
        <v>146</v>
      </c>
      <c r="C73">
        <v>85</v>
      </c>
      <c r="D73">
        <v>28.9</v>
      </c>
      <c r="E73">
        <v>27</v>
      </c>
      <c r="F73">
        <v>0</v>
      </c>
      <c r="G73" s="8"/>
      <c r="H73" s="8"/>
      <c r="I73" s="8"/>
      <c r="J73" s="8"/>
    </row>
    <row r="74" spans="2:10" x14ac:dyDescent="0.3">
      <c r="B74">
        <v>100</v>
      </c>
      <c r="C74">
        <v>66</v>
      </c>
      <c r="D74">
        <v>32.9</v>
      </c>
      <c r="E74">
        <v>28</v>
      </c>
      <c r="F74">
        <v>1</v>
      </c>
      <c r="G74" s="8"/>
      <c r="H74" s="8"/>
      <c r="I74" s="8"/>
      <c r="J74" s="8"/>
    </row>
    <row r="75" spans="2:10" x14ac:dyDescent="0.3">
      <c r="B75">
        <v>139</v>
      </c>
      <c r="C75">
        <v>64</v>
      </c>
      <c r="D75">
        <v>28.6</v>
      </c>
      <c r="E75">
        <v>26</v>
      </c>
      <c r="F75">
        <v>0</v>
      </c>
      <c r="G75" s="8"/>
      <c r="H75" s="8"/>
      <c r="I75" s="8"/>
      <c r="J75" s="8"/>
    </row>
    <row r="76" spans="2:10" x14ac:dyDescent="0.3">
      <c r="B76">
        <v>126</v>
      </c>
      <c r="C76">
        <v>90</v>
      </c>
      <c r="D76">
        <v>43.4</v>
      </c>
      <c r="E76">
        <v>42</v>
      </c>
      <c r="F76">
        <v>1</v>
      </c>
      <c r="G76" s="8"/>
      <c r="H76" s="8"/>
      <c r="I76" s="8"/>
      <c r="J76" s="8"/>
    </row>
    <row r="77" spans="2:10" x14ac:dyDescent="0.3">
      <c r="B77">
        <v>129</v>
      </c>
      <c r="C77">
        <v>86</v>
      </c>
      <c r="D77">
        <v>35.1</v>
      </c>
      <c r="E77">
        <v>23</v>
      </c>
      <c r="F77">
        <v>0</v>
      </c>
      <c r="G77" s="8"/>
      <c r="H77" s="8"/>
      <c r="I77" s="8"/>
      <c r="J77" s="8"/>
    </row>
    <row r="78" spans="2:10" x14ac:dyDescent="0.3">
      <c r="B78">
        <v>79</v>
      </c>
      <c r="C78">
        <v>75</v>
      </c>
      <c r="D78">
        <v>32</v>
      </c>
      <c r="E78">
        <v>22</v>
      </c>
      <c r="F78">
        <v>0</v>
      </c>
      <c r="G78" s="8"/>
      <c r="H78" s="8"/>
      <c r="I78" s="8"/>
      <c r="J78" s="8"/>
    </row>
    <row r="79" spans="2:10" x14ac:dyDescent="0.3">
      <c r="B79">
        <v>0</v>
      </c>
      <c r="C79">
        <v>48</v>
      </c>
      <c r="D79">
        <v>24.7</v>
      </c>
      <c r="E79">
        <v>22</v>
      </c>
      <c r="F79">
        <v>0</v>
      </c>
      <c r="G79" s="8"/>
      <c r="H79" s="8"/>
      <c r="I79" s="8"/>
      <c r="J79" s="8"/>
    </row>
    <row r="80" spans="2:10" x14ac:dyDescent="0.3">
      <c r="B80">
        <v>62</v>
      </c>
      <c r="C80">
        <v>78</v>
      </c>
      <c r="D80">
        <v>32.6</v>
      </c>
      <c r="E80">
        <v>41</v>
      </c>
      <c r="F80">
        <v>0</v>
      </c>
      <c r="G80" s="8"/>
      <c r="H80" s="8"/>
      <c r="I80" s="8"/>
      <c r="J80" s="8"/>
    </row>
    <row r="81" spans="2:10" x14ac:dyDescent="0.3">
      <c r="B81">
        <v>95</v>
      </c>
      <c r="C81">
        <v>72</v>
      </c>
      <c r="D81">
        <v>37.700000000000003</v>
      </c>
      <c r="E81">
        <v>27</v>
      </c>
      <c r="F81">
        <v>0</v>
      </c>
      <c r="G81" s="8"/>
      <c r="H81" s="8"/>
      <c r="I81" s="8"/>
      <c r="J81" s="8"/>
    </row>
    <row r="82" spans="2:10" x14ac:dyDescent="0.3">
      <c r="B82">
        <v>131</v>
      </c>
      <c r="C82">
        <v>0</v>
      </c>
      <c r="D82">
        <v>43.2</v>
      </c>
      <c r="E82">
        <v>26</v>
      </c>
      <c r="F82">
        <v>1</v>
      </c>
      <c r="G82" s="8"/>
      <c r="H82" s="8"/>
      <c r="I82" s="8"/>
      <c r="J82" s="8"/>
    </row>
    <row r="83" spans="2:10" x14ac:dyDescent="0.3">
      <c r="B83">
        <v>112</v>
      </c>
      <c r="C83">
        <v>66</v>
      </c>
      <c r="D83">
        <v>25</v>
      </c>
      <c r="E83">
        <v>24</v>
      </c>
      <c r="F83">
        <v>0</v>
      </c>
      <c r="G83" s="8"/>
      <c r="H83" s="8"/>
      <c r="I83" s="8"/>
      <c r="J83" s="8"/>
    </row>
    <row r="84" spans="2:10" x14ac:dyDescent="0.3">
      <c r="B84">
        <v>113</v>
      </c>
      <c r="C84">
        <v>44</v>
      </c>
      <c r="D84">
        <v>22.4</v>
      </c>
      <c r="E84">
        <v>22</v>
      </c>
      <c r="F84">
        <v>0</v>
      </c>
      <c r="G84" s="8"/>
      <c r="H84" s="8"/>
      <c r="I84" s="8"/>
      <c r="J84" s="8"/>
    </row>
    <row r="85" spans="2:10" x14ac:dyDescent="0.3">
      <c r="B85">
        <v>74</v>
      </c>
      <c r="C85">
        <v>0</v>
      </c>
      <c r="D85">
        <v>0</v>
      </c>
      <c r="E85">
        <v>22</v>
      </c>
      <c r="F85">
        <v>0</v>
      </c>
      <c r="G85" s="8"/>
      <c r="H85" s="8"/>
      <c r="I85" s="8"/>
      <c r="J85" s="8"/>
    </row>
    <row r="86" spans="2:10" x14ac:dyDescent="0.3">
      <c r="B86">
        <v>83</v>
      </c>
      <c r="C86">
        <v>78</v>
      </c>
      <c r="D86">
        <v>29.3</v>
      </c>
      <c r="E86">
        <v>36</v>
      </c>
      <c r="F86">
        <v>0</v>
      </c>
      <c r="G86" s="8"/>
      <c r="H86" s="8"/>
      <c r="I86" s="8"/>
      <c r="J86" s="8"/>
    </row>
    <row r="87" spans="2:10" x14ac:dyDescent="0.3">
      <c r="B87">
        <v>101</v>
      </c>
      <c r="C87">
        <v>65</v>
      </c>
      <c r="D87">
        <v>24.6</v>
      </c>
      <c r="E87">
        <v>22</v>
      </c>
      <c r="F87">
        <v>0</v>
      </c>
      <c r="G87" s="8"/>
      <c r="H87" s="8"/>
      <c r="I87" s="8"/>
      <c r="J87" s="8"/>
    </row>
    <row r="88" spans="2:10" x14ac:dyDescent="0.3">
      <c r="B88">
        <v>137</v>
      </c>
      <c r="C88">
        <v>108</v>
      </c>
      <c r="D88">
        <v>48.8</v>
      </c>
      <c r="E88">
        <v>37</v>
      </c>
      <c r="F88">
        <v>1</v>
      </c>
      <c r="G88" s="8"/>
      <c r="H88" s="8"/>
      <c r="I88" s="8"/>
      <c r="J88" s="8"/>
    </row>
    <row r="89" spans="2:10" x14ac:dyDescent="0.3">
      <c r="B89">
        <v>110</v>
      </c>
      <c r="C89">
        <v>74</v>
      </c>
      <c r="D89">
        <v>32.4</v>
      </c>
      <c r="E89">
        <v>27</v>
      </c>
      <c r="F89">
        <v>0</v>
      </c>
      <c r="G89" s="8"/>
      <c r="H89" s="8"/>
      <c r="I89" s="8"/>
      <c r="J89" s="8"/>
    </row>
    <row r="90" spans="2:10" x14ac:dyDescent="0.3">
      <c r="B90">
        <v>106</v>
      </c>
      <c r="C90">
        <v>72</v>
      </c>
      <c r="D90">
        <v>36.6</v>
      </c>
      <c r="E90">
        <v>45</v>
      </c>
      <c r="F90">
        <v>0</v>
      </c>
      <c r="G90" s="8"/>
      <c r="H90" s="8"/>
      <c r="I90" s="8"/>
      <c r="J90" s="8"/>
    </row>
    <row r="91" spans="2:10" x14ac:dyDescent="0.3">
      <c r="B91">
        <v>100</v>
      </c>
      <c r="C91">
        <v>68</v>
      </c>
      <c r="D91">
        <v>38.5</v>
      </c>
      <c r="E91">
        <v>26</v>
      </c>
      <c r="F91">
        <v>0</v>
      </c>
      <c r="G91" s="8"/>
      <c r="H91" s="8"/>
      <c r="I91" s="8"/>
      <c r="J91" s="8"/>
    </row>
    <row r="92" spans="2:10" x14ac:dyDescent="0.3">
      <c r="B92">
        <v>136</v>
      </c>
      <c r="C92">
        <v>70</v>
      </c>
      <c r="D92">
        <v>37.1</v>
      </c>
      <c r="E92">
        <v>43</v>
      </c>
      <c r="F92">
        <v>1</v>
      </c>
      <c r="G92" s="8"/>
      <c r="H92" s="8"/>
      <c r="I92" s="8"/>
      <c r="J92" s="8"/>
    </row>
    <row r="93" spans="2:10" x14ac:dyDescent="0.3">
      <c r="B93">
        <v>107</v>
      </c>
      <c r="C93">
        <v>68</v>
      </c>
      <c r="D93">
        <v>26.5</v>
      </c>
      <c r="E93">
        <v>24</v>
      </c>
      <c r="F93">
        <v>0</v>
      </c>
      <c r="G93" s="8"/>
      <c r="H93" s="8"/>
      <c r="I93" s="8"/>
      <c r="J93" s="8"/>
    </row>
    <row r="94" spans="2:10" x14ac:dyDescent="0.3">
      <c r="B94">
        <v>80</v>
      </c>
      <c r="C94">
        <v>55</v>
      </c>
      <c r="D94">
        <v>19.100000000000001</v>
      </c>
      <c r="E94">
        <v>21</v>
      </c>
      <c r="F94">
        <v>0</v>
      </c>
      <c r="G94" s="8"/>
      <c r="H94" s="8"/>
      <c r="I94" s="8"/>
      <c r="J94" s="8"/>
    </row>
    <row r="95" spans="2:10" x14ac:dyDescent="0.3">
      <c r="B95">
        <v>123</v>
      </c>
      <c r="C95">
        <v>80</v>
      </c>
      <c r="D95">
        <v>32</v>
      </c>
      <c r="E95">
        <v>34</v>
      </c>
      <c r="F95">
        <v>0</v>
      </c>
      <c r="G95" s="8"/>
      <c r="H95" s="8"/>
      <c r="I95" s="8"/>
      <c r="J95" s="8"/>
    </row>
    <row r="96" spans="2:10" x14ac:dyDescent="0.3">
      <c r="B96">
        <v>81</v>
      </c>
      <c r="C96">
        <v>78</v>
      </c>
      <c r="D96">
        <v>46.7</v>
      </c>
      <c r="E96">
        <v>42</v>
      </c>
      <c r="F96">
        <v>0</v>
      </c>
      <c r="G96" s="8"/>
      <c r="H96" s="8"/>
      <c r="I96" s="8"/>
      <c r="J96" s="8"/>
    </row>
    <row r="97" spans="2:10" x14ac:dyDescent="0.3">
      <c r="B97">
        <v>134</v>
      </c>
      <c r="C97">
        <v>72</v>
      </c>
      <c r="D97">
        <v>23.8</v>
      </c>
      <c r="E97">
        <v>60</v>
      </c>
      <c r="F97">
        <v>1</v>
      </c>
      <c r="G97" s="8"/>
      <c r="H97" s="8"/>
      <c r="I97" s="8"/>
      <c r="J97" s="8"/>
    </row>
    <row r="98" spans="2:10" x14ac:dyDescent="0.3">
      <c r="B98">
        <v>142</v>
      </c>
      <c r="C98">
        <v>82</v>
      </c>
      <c r="D98">
        <v>24.7</v>
      </c>
      <c r="E98">
        <v>21</v>
      </c>
      <c r="F98">
        <v>0</v>
      </c>
      <c r="G98" s="8"/>
      <c r="H98" s="8"/>
      <c r="I98" s="8"/>
      <c r="J98" s="8"/>
    </row>
    <row r="99" spans="2:10" x14ac:dyDescent="0.3">
      <c r="B99">
        <v>144</v>
      </c>
      <c r="C99">
        <v>72</v>
      </c>
      <c r="D99">
        <v>33.9</v>
      </c>
      <c r="E99">
        <v>40</v>
      </c>
      <c r="F99">
        <v>0</v>
      </c>
      <c r="G99" s="8"/>
      <c r="H99" s="8"/>
      <c r="I99" s="8"/>
      <c r="J99" s="8"/>
    </row>
    <row r="100" spans="2:10" x14ac:dyDescent="0.3">
      <c r="B100">
        <v>92</v>
      </c>
      <c r="C100">
        <v>62</v>
      </c>
      <c r="D100">
        <v>31.6</v>
      </c>
      <c r="E100">
        <v>24</v>
      </c>
      <c r="F100">
        <v>0</v>
      </c>
      <c r="G100" s="8"/>
      <c r="H100" s="8"/>
      <c r="I100" s="8"/>
      <c r="J100" s="8"/>
    </row>
    <row r="101" spans="2:10" x14ac:dyDescent="0.3">
      <c r="B101">
        <v>71</v>
      </c>
      <c r="C101">
        <v>48</v>
      </c>
      <c r="D101">
        <v>20.399999999999999</v>
      </c>
      <c r="E101">
        <v>22</v>
      </c>
      <c r="F101">
        <v>0</v>
      </c>
      <c r="G101" s="8"/>
      <c r="H101" s="8"/>
      <c r="I101" s="8"/>
      <c r="J101" s="8"/>
    </row>
    <row r="102" spans="2:10" x14ac:dyDescent="0.3">
      <c r="B102">
        <v>93</v>
      </c>
      <c r="C102">
        <v>50</v>
      </c>
      <c r="D102">
        <v>28.7</v>
      </c>
      <c r="E102">
        <v>23</v>
      </c>
      <c r="F102">
        <v>0</v>
      </c>
      <c r="G102" s="8"/>
      <c r="H102" s="8"/>
      <c r="I102" s="8"/>
      <c r="J102" s="8"/>
    </row>
    <row r="103" spans="2:10" x14ac:dyDescent="0.3">
      <c r="B103">
        <v>122</v>
      </c>
      <c r="C103">
        <v>90</v>
      </c>
      <c r="D103">
        <v>49.7</v>
      </c>
      <c r="E103">
        <v>31</v>
      </c>
      <c r="F103">
        <v>1</v>
      </c>
      <c r="G103" s="8"/>
      <c r="H103" s="8"/>
      <c r="I103" s="8"/>
      <c r="J103" s="8"/>
    </row>
    <row r="104" spans="2:10" x14ac:dyDescent="0.3">
      <c r="B104">
        <v>163</v>
      </c>
      <c r="C104">
        <v>72</v>
      </c>
      <c r="D104">
        <v>39</v>
      </c>
      <c r="E104">
        <v>33</v>
      </c>
      <c r="F104">
        <v>1</v>
      </c>
      <c r="G104" s="8"/>
      <c r="H104" s="8"/>
      <c r="I104" s="8"/>
      <c r="J104" s="8"/>
    </row>
    <row r="105" spans="2:10" x14ac:dyDescent="0.3">
      <c r="B105">
        <v>151</v>
      </c>
      <c r="C105">
        <v>60</v>
      </c>
      <c r="D105">
        <v>26.1</v>
      </c>
      <c r="E105">
        <v>22</v>
      </c>
      <c r="F105">
        <v>0</v>
      </c>
      <c r="G105" s="8"/>
      <c r="H105" s="8"/>
      <c r="I105" s="8"/>
      <c r="J105" s="8"/>
    </row>
    <row r="106" spans="2:10" x14ac:dyDescent="0.3">
      <c r="B106">
        <v>125</v>
      </c>
      <c r="C106">
        <v>96</v>
      </c>
      <c r="D106">
        <v>22.5</v>
      </c>
      <c r="E106">
        <v>21</v>
      </c>
      <c r="F106">
        <v>0</v>
      </c>
      <c r="G106" s="8"/>
      <c r="H106" s="8"/>
      <c r="I106" s="8"/>
      <c r="J106" s="8"/>
    </row>
    <row r="107" spans="2:10" x14ac:dyDescent="0.3">
      <c r="B107">
        <v>81</v>
      </c>
      <c r="C107">
        <v>72</v>
      </c>
      <c r="D107">
        <v>26.6</v>
      </c>
      <c r="E107">
        <v>24</v>
      </c>
      <c r="F107">
        <v>0</v>
      </c>
      <c r="G107" s="8"/>
      <c r="H107" s="8"/>
      <c r="I107" s="8"/>
      <c r="J107" s="8"/>
    </row>
    <row r="108" spans="2:10" x14ac:dyDescent="0.3">
      <c r="B108">
        <v>85</v>
      </c>
      <c r="C108">
        <v>65</v>
      </c>
      <c r="D108">
        <v>39.6</v>
      </c>
      <c r="E108">
        <v>27</v>
      </c>
      <c r="F108">
        <v>0</v>
      </c>
      <c r="G108" s="8"/>
      <c r="H108" s="8"/>
      <c r="I108" s="8"/>
      <c r="J108" s="8"/>
    </row>
    <row r="109" spans="2:10" x14ac:dyDescent="0.3">
      <c r="B109">
        <v>126</v>
      </c>
      <c r="C109">
        <v>56</v>
      </c>
      <c r="D109">
        <v>28.7</v>
      </c>
      <c r="E109">
        <v>21</v>
      </c>
      <c r="F109">
        <v>0</v>
      </c>
      <c r="G109" s="8"/>
      <c r="H109" s="8"/>
      <c r="I109" s="8"/>
      <c r="J109" s="8"/>
    </row>
    <row r="110" spans="2:10" x14ac:dyDescent="0.3">
      <c r="B110">
        <v>96</v>
      </c>
      <c r="C110">
        <v>122</v>
      </c>
      <c r="D110">
        <v>22.4</v>
      </c>
      <c r="E110">
        <v>27</v>
      </c>
      <c r="F110">
        <v>0</v>
      </c>
      <c r="G110" s="8"/>
      <c r="H110" s="8"/>
      <c r="I110" s="8"/>
      <c r="J110" s="8"/>
    </row>
    <row r="111" spans="2:10" x14ac:dyDescent="0.3">
      <c r="B111">
        <v>144</v>
      </c>
      <c r="C111">
        <v>58</v>
      </c>
      <c r="D111">
        <v>29.5</v>
      </c>
      <c r="E111">
        <v>37</v>
      </c>
      <c r="F111">
        <v>0</v>
      </c>
      <c r="G111" s="8"/>
      <c r="H111" s="8"/>
      <c r="I111" s="8"/>
      <c r="J111" s="8"/>
    </row>
    <row r="112" spans="2:10" x14ac:dyDescent="0.3">
      <c r="B112">
        <v>83</v>
      </c>
      <c r="C112">
        <v>58</v>
      </c>
      <c r="D112">
        <v>34.299999999999997</v>
      </c>
      <c r="E112">
        <v>25</v>
      </c>
      <c r="F112">
        <v>0</v>
      </c>
      <c r="G112" s="8"/>
      <c r="H112" s="8"/>
      <c r="I112" s="8"/>
      <c r="J112" s="8"/>
    </row>
    <row r="113" spans="2:10" x14ac:dyDescent="0.3">
      <c r="B113">
        <v>95</v>
      </c>
      <c r="C113">
        <v>85</v>
      </c>
      <c r="D113">
        <v>37.4</v>
      </c>
      <c r="E113">
        <v>24</v>
      </c>
      <c r="F113">
        <v>1</v>
      </c>
      <c r="G113" s="8"/>
      <c r="H113" s="8"/>
      <c r="I113" s="8"/>
      <c r="J113" s="8"/>
    </row>
    <row r="114" spans="2:10" x14ac:dyDescent="0.3">
      <c r="B114">
        <v>171</v>
      </c>
      <c r="C114">
        <v>72</v>
      </c>
      <c r="D114">
        <v>33.299999999999997</v>
      </c>
      <c r="E114">
        <v>24</v>
      </c>
      <c r="F114">
        <v>1</v>
      </c>
      <c r="G114" s="8"/>
      <c r="H114" s="8"/>
      <c r="I114" s="8"/>
      <c r="J114" s="8"/>
    </row>
    <row r="115" spans="2:10" x14ac:dyDescent="0.3">
      <c r="B115">
        <v>155</v>
      </c>
      <c r="C115">
        <v>62</v>
      </c>
      <c r="D115">
        <v>34</v>
      </c>
      <c r="E115">
        <v>46</v>
      </c>
      <c r="F115">
        <v>1</v>
      </c>
      <c r="G115" s="8"/>
      <c r="H115" s="8"/>
      <c r="I115" s="8"/>
      <c r="J115" s="8"/>
    </row>
    <row r="116" spans="2:10" x14ac:dyDescent="0.3">
      <c r="B116">
        <v>89</v>
      </c>
      <c r="C116">
        <v>76</v>
      </c>
      <c r="D116">
        <v>31.2</v>
      </c>
      <c r="E116">
        <v>23</v>
      </c>
      <c r="F116">
        <v>0</v>
      </c>
      <c r="G116" s="8"/>
      <c r="H116" s="8"/>
      <c r="I116" s="8"/>
      <c r="J116" s="8"/>
    </row>
    <row r="117" spans="2:10" x14ac:dyDescent="0.3">
      <c r="B117">
        <v>76</v>
      </c>
      <c r="C117">
        <v>62</v>
      </c>
      <c r="D117">
        <v>34</v>
      </c>
      <c r="E117">
        <v>25</v>
      </c>
      <c r="F117">
        <v>0</v>
      </c>
      <c r="G117" s="8"/>
      <c r="H117" s="8"/>
      <c r="I117" s="8"/>
      <c r="J117" s="8"/>
    </row>
    <row r="118" spans="2:10" x14ac:dyDescent="0.3">
      <c r="B118">
        <v>160</v>
      </c>
      <c r="C118">
        <v>54</v>
      </c>
      <c r="D118">
        <v>30.5</v>
      </c>
      <c r="E118">
        <v>39</v>
      </c>
      <c r="F118">
        <v>1</v>
      </c>
      <c r="G118" s="8"/>
      <c r="H118" s="8"/>
      <c r="I118" s="8"/>
      <c r="J118" s="8"/>
    </row>
    <row r="119" spans="2:10" x14ac:dyDescent="0.3">
      <c r="B119">
        <v>146</v>
      </c>
      <c r="C119">
        <v>92</v>
      </c>
      <c r="D119">
        <v>31.2</v>
      </c>
      <c r="E119">
        <v>61</v>
      </c>
      <c r="F119">
        <v>1</v>
      </c>
      <c r="G119" s="8"/>
      <c r="H119" s="8"/>
      <c r="I119" s="8"/>
      <c r="J119" s="8"/>
    </row>
    <row r="120" spans="2:10" x14ac:dyDescent="0.3">
      <c r="B120">
        <v>124</v>
      </c>
      <c r="C120">
        <v>74</v>
      </c>
      <c r="D120">
        <v>34</v>
      </c>
      <c r="E120">
        <v>38</v>
      </c>
      <c r="F120">
        <v>1</v>
      </c>
      <c r="G120" s="8"/>
      <c r="H120" s="8"/>
      <c r="I120" s="8"/>
      <c r="J120" s="8"/>
    </row>
    <row r="121" spans="2:10" x14ac:dyDescent="0.3">
      <c r="B121">
        <v>78</v>
      </c>
      <c r="C121">
        <v>48</v>
      </c>
      <c r="D121">
        <v>33.700000000000003</v>
      </c>
      <c r="E121">
        <v>25</v>
      </c>
      <c r="F121">
        <v>0</v>
      </c>
      <c r="G121" s="8"/>
      <c r="H121" s="8"/>
      <c r="I121" s="8"/>
      <c r="J121" s="8"/>
    </row>
    <row r="122" spans="2:10" x14ac:dyDescent="0.3">
      <c r="B122">
        <v>97</v>
      </c>
      <c r="C122">
        <v>60</v>
      </c>
      <c r="D122">
        <v>28.2</v>
      </c>
      <c r="E122">
        <v>22</v>
      </c>
      <c r="F122">
        <v>0</v>
      </c>
      <c r="G122" s="8"/>
      <c r="H122" s="8"/>
      <c r="I122" s="8"/>
      <c r="J122" s="8"/>
    </row>
    <row r="123" spans="2:10" x14ac:dyDescent="0.3">
      <c r="B123">
        <v>99</v>
      </c>
      <c r="C123">
        <v>76</v>
      </c>
      <c r="D123">
        <v>23.2</v>
      </c>
      <c r="E123">
        <v>21</v>
      </c>
      <c r="F123">
        <v>0</v>
      </c>
      <c r="G123" s="8"/>
      <c r="H123" s="8"/>
      <c r="I123" s="8"/>
      <c r="J123" s="8"/>
    </row>
    <row r="124" spans="2:10" x14ac:dyDescent="0.3">
      <c r="B124">
        <v>162</v>
      </c>
      <c r="C124">
        <v>76</v>
      </c>
      <c r="D124">
        <v>53.2</v>
      </c>
      <c r="E124">
        <v>25</v>
      </c>
      <c r="F124">
        <v>1</v>
      </c>
      <c r="G124" s="8"/>
      <c r="H124" s="8"/>
      <c r="I124" s="8"/>
      <c r="J124" s="8"/>
    </row>
    <row r="125" spans="2:10" x14ac:dyDescent="0.3">
      <c r="B125">
        <v>111</v>
      </c>
      <c r="C125">
        <v>64</v>
      </c>
      <c r="D125">
        <v>34.200000000000003</v>
      </c>
      <c r="E125">
        <v>24</v>
      </c>
      <c r="F125">
        <v>0</v>
      </c>
      <c r="G125" s="8"/>
      <c r="H125" s="8"/>
      <c r="I125" s="8"/>
      <c r="J125" s="8"/>
    </row>
    <row r="126" spans="2:10" x14ac:dyDescent="0.3">
      <c r="B126">
        <v>107</v>
      </c>
      <c r="C126">
        <v>74</v>
      </c>
      <c r="D126">
        <v>33.6</v>
      </c>
      <c r="E126">
        <v>23</v>
      </c>
      <c r="F126">
        <v>0</v>
      </c>
      <c r="G126" s="8"/>
      <c r="H126" s="8"/>
      <c r="I126" s="8"/>
      <c r="J126" s="8"/>
    </row>
    <row r="127" spans="2:10" x14ac:dyDescent="0.3">
      <c r="B127">
        <v>132</v>
      </c>
      <c r="C127">
        <v>80</v>
      </c>
      <c r="D127">
        <v>26.8</v>
      </c>
      <c r="E127">
        <v>69</v>
      </c>
      <c r="F127">
        <v>0</v>
      </c>
      <c r="G127" s="8"/>
      <c r="H127" s="8"/>
      <c r="I127" s="8"/>
      <c r="J127" s="8"/>
    </row>
    <row r="128" spans="2:10" x14ac:dyDescent="0.3">
      <c r="B128">
        <v>113</v>
      </c>
      <c r="C128">
        <v>76</v>
      </c>
      <c r="D128">
        <v>33.299999999999997</v>
      </c>
      <c r="E128">
        <v>23</v>
      </c>
      <c r="F128">
        <v>1</v>
      </c>
      <c r="G128" s="8"/>
      <c r="H128" s="8"/>
      <c r="I128" s="8"/>
      <c r="J128" s="8"/>
    </row>
    <row r="129" spans="2:10" x14ac:dyDescent="0.3">
      <c r="B129">
        <v>88</v>
      </c>
      <c r="C129">
        <v>30</v>
      </c>
      <c r="D129">
        <v>55</v>
      </c>
      <c r="E129">
        <v>26</v>
      </c>
      <c r="F129">
        <v>1</v>
      </c>
      <c r="G129" s="8"/>
      <c r="H129" s="8"/>
      <c r="I129" s="8"/>
      <c r="J129" s="8"/>
    </row>
    <row r="130" spans="2:10" x14ac:dyDescent="0.3">
      <c r="B130">
        <v>120</v>
      </c>
      <c r="C130">
        <v>70</v>
      </c>
      <c r="D130">
        <v>42.9</v>
      </c>
      <c r="E130">
        <v>30</v>
      </c>
      <c r="F130">
        <v>0</v>
      </c>
      <c r="G130" s="8"/>
      <c r="H130" s="8"/>
      <c r="I130" s="8"/>
      <c r="J130" s="8"/>
    </row>
    <row r="131" spans="2:10" x14ac:dyDescent="0.3">
      <c r="B131">
        <v>118</v>
      </c>
      <c r="C131">
        <v>58</v>
      </c>
      <c r="D131">
        <v>33.299999999999997</v>
      </c>
      <c r="E131">
        <v>23</v>
      </c>
      <c r="F131">
        <v>0</v>
      </c>
      <c r="G131" s="8"/>
      <c r="H131" s="8"/>
      <c r="I131" s="8"/>
      <c r="J131" s="8"/>
    </row>
    <row r="132" spans="2:10" x14ac:dyDescent="0.3">
      <c r="B132">
        <v>117</v>
      </c>
      <c r="C132">
        <v>88</v>
      </c>
      <c r="D132">
        <v>34.5</v>
      </c>
      <c r="E132">
        <v>40</v>
      </c>
      <c r="F132">
        <v>1</v>
      </c>
      <c r="G132" s="8"/>
      <c r="H132" s="8"/>
      <c r="I132" s="8"/>
      <c r="J132" s="8"/>
    </row>
    <row r="133" spans="2:10" x14ac:dyDescent="0.3">
      <c r="B133">
        <v>105</v>
      </c>
      <c r="C133">
        <v>84</v>
      </c>
      <c r="D133">
        <v>27.9</v>
      </c>
      <c r="E133">
        <v>62</v>
      </c>
      <c r="F133">
        <v>1</v>
      </c>
      <c r="G133" s="8"/>
      <c r="H133" s="8"/>
      <c r="I133" s="8"/>
      <c r="J133" s="8"/>
    </row>
    <row r="134" spans="2:10" x14ac:dyDescent="0.3">
      <c r="B134">
        <v>173</v>
      </c>
      <c r="C134">
        <v>70</v>
      </c>
      <c r="D134">
        <v>29.7</v>
      </c>
      <c r="E134">
        <v>33</v>
      </c>
      <c r="F134">
        <v>1</v>
      </c>
      <c r="G134" s="8"/>
      <c r="H134" s="8"/>
      <c r="I134" s="8"/>
      <c r="J134" s="8"/>
    </row>
    <row r="135" spans="2:10" x14ac:dyDescent="0.3">
      <c r="B135">
        <v>122</v>
      </c>
      <c r="C135">
        <v>56</v>
      </c>
      <c r="D135">
        <v>33.299999999999997</v>
      </c>
      <c r="E135">
        <v>33</v>
      </c>
      <c r="F135">
        <v>1</v>
      </c>
      <c r="G135" s="8"/>
      <c r="H135" s="8"/>
      <c r="I135" s="8"/>
      <c r="J135" s="8"/>
    </row>
    <row r="136" spans="2:10" x14ac:dyDescent="0.3">
      <c r="B136">
        <v>170</v>
      </c>
      <c r="C136">
        <v>64</v>
      </c>
      <c r="D136">
        <v>34.5</v>
      </c>
      <c r="E136">
        <v>30</v>
      </c>
      <c r="F136">
        <v>1</v>
      </c>
      <c r="G136" s="8"/>
      <c r="H136" s="8"/>
      <c r="I136" s="8"/>
      <c r="J136" s="8"/>
    </row>
    <row r="137" spans="2:10" x14ac:dyDescent="0.3">
      <c r="B137">
        <v>84</v>
      </c>
      <c r="C137">
        <v>74</v>
      </c>
      <c r="D137">
        <v>38.299999999999997</v>
      </c>
      <c r="E137">
        <v>39</v>
      </c>
      <c r="F137">
        <v>0</v>
      </c>
      <c r="G137" s="8"/>
      <c r="H137" s="8"/>
      <c r="I137" s="8"/>
      <c r="J137" s="8"/>
    </row>
    <row r="138" spans="2:10" x14ac:dyDescent="0.3">
      <c r="B138">
        <v>96</v>
      </c>
      <c r="C138">
        <v>68</v>
      </c>
      <c r="D138">
        <v>21.1</v>
      </c>
      <c r="E138">
        <v>26</v>
      </c>
      <c r="F138">
        <v>0</v>
      </c>
      <c r="G138" s="8"/>
      <c r="H138" s="8"/>
      <c r="I138" s="8"/>
      <c r="J138" s="8"/>
    </row>
    <row r="139" spans="2:10" x14ac:dyDescent="0.3">
      <c r="B139">
        <v>125</v>
      </c>
      <c r="C139">
        <v>60</v>
      </c>
      <c r="D139">
        <v>33.799999999999997</v>
      </c>
      <c r="E139">
        <v>31</v>
      </c>
      <c r="F139">
        <v>0</v>
      </c>
      <c r="G139" s="8"/>
      <c r="H139" s="8"/>
      <c r="I139" s="8"/>
      <c r="J139" s="8"/>
    </row>
    <row r="140" spans="2:10" x14ac:dyDescent="0.3">
      <c r="B140">
        <v>100</v>
      </c>
      <c r="C140">
        <v>70</v>
      </c>
      <c r="D140">
        <v>30.8</v>
      </c>
      <c r="E140">
        <v>21</v>
      </c>
      <c r="F140">
        <v>0</v>
      </c>
      <c r="G140" s="8"/>
      <c r="H140" s="8"/>
      <c r="I140" s="8"/>
      <c r="J140" s="8"/>
    </row>
    <row r="141" spans="2:10" x14ac:dyDescent="0.3">
      <c r="B141">
        <v>93</v>
      </c>
      <c r="C141">
        <v>60</v>
      </c>
      <c r="D141">
        <v>28.7</v>
      </c>
      <c r="E141">
        <v>22</v>
      </c>
      <c r="F141">
        <v>0</v>
      </c>
      <c r="G141" s="8"/>
      <c r="H141" s="8"/>
      <c r="I141" s="8"/>
      <c r="J141" s="8"/>
    </row>
    <row r="142" spans="2:10" x14ac:dyDescent="0.3">
      <c r="B142">
        <v>129</v>
      </c>
      <c r="C142">
        <v>80</v>
      </c>
      <c r="D142">
        <v>31.2</v>
      </c>
      <c r="E142">
        <v>29</v>
      </c>
      <c r="F142">
        <v>0</v>
      </c>
      <c r="G142" s="8"/>
      <c r="H142" s="8"/>
      <c r="I142" s="8"/>
      <c r="J142" s="8"/>
    </row>
    <row r="143" spans="2:10" x14ac:dyDescent="0.3">
      <c r="B143">
        <v>105</v>
      </c>
      <c r="C143">
        <v>72</v>
      </c>
      <c r="D143">
        <v>36.9</v>
      </c>
      <c r="E143">
        <v>28</v>
      </c>
      <c r="F143">
        <v>0</v>
      </c>
      <c r="G143" s="8"/>
      <c r="H143" s="8"/>
      <c r="I143" s="8"/>
      <c r="J143" s="8"/>
    </row>
    <row r="144" spans="2:10" x14ac:dyDescent="0.3">
      <c r="B144">
        <v>128</v>
      </c>
      <c r="C144">
        <v>78</v>
      </c>
      <c r="D144">
        <v>21.1</v>
      </c>
      <c r="E144">
        <v>55</v>
      </c>
      <c r="F144">
        <v>0</v>
      </c>
      <c r="G144" s="8"/>
      <c r="H144" s="8"/>
      <c r="I144" s="8"/>
      <c r="J144" s="8"/>
    </row>
    <row r="145" spans="2:10" x14ac:dyDescent="0.3">
      <c r="B145">
        <v>106</v>
      </c>
      <c r="C145">
        <v>82</v>
      </c>
      <c r="D145">
        <v>39.5</v>
      </c>
      <c r="E145">
        <v>38</v>
      </c>
      <c r="F145">
        <v>0</v>
      </c>
      <c r="G145" s="8"/>
      <c r="H145" s="8"/>
      <c r="I145" s="8"/>
      <c r="J145" s="8"/>
    </row>
    <row r="146" spans="2:10" x14ac:dyDescent="0.3">
      <c r="B146">
        <v>108</v>
      </c>
      <c r="C146">
        <v>52</v>
      </c>
      <c r="D146">
        <v>32.5</v>
      </c>
      <c r="E146">
        <v>22</v>
      </c>
      <c r="F146">
        <v>0</v>
      </c>
      <c r="G146" s="8"/>
      <c r="H146" s="8"/>
      <c r="I146" s="8"/>
      <c r="J146" s="8"/>
    </row>
    <row r="147" spans="2:10" x14ac:dyDescent="0.3">
      <c r="B147">
        <v>108</v>
      </c>
      <c r="C147">
        <v>66</v>
      </c>
      <c r="D147">
        <v>32.4</v>
      </c>
      <c r="E147">
        <v>42</v>
      </c>
      <c r="F147">
        <v>1</v>
      </c>
      <c r="G147" s="8"/>
      <c r="H147" s="8"/>
      <c r="I147" s="8"/>
      <c r="J147" s="8"/>
    </row>
    <row r="148" spans="2:10" x14ac:dyDescent="0.3">
      <c r="B148">
        <v>154</v>
      </c>
      <c r="C148">
        <v>62</v>
      </c>
      <c r="D148">
        <v>32.799999999999997</v>
      </c>
      <c r="E148">
        <v>23</v>
      </c>
      <c r="F148">
        <v>0</v>
      </c>
      <c r="G148" s="8"/>
      <c r="H148" s="8"/>
      <c r="I148" s="8"/>
      <c r="J148" s="8"/>
    </row>
    <row r="149" spans="2:10" x14ac:dyDescent="0.3">
      <c r="B149">
        <v>102</v>
      </c>
      <c r="C149">
        <v>75</v>
      </c>
      <c r="D149">
        <v>0</v>
      </c>
      <c r="E149">
        <v>21</v>
      </c>
      <c r="F149">
        <v>0</v>
      </c>
      <c r="G149" s="8"/>
      <c r="H149" s="8"/>
      <c r="I149" s="8"/>
      <c r="J149" s="8"/>
    </row>
    <row r="150" spans="2:10" x14ac:dyDescent="0.3">
      <c r="B150">
        <v>57</v>
      </c>
      <c r="C150">
        <v>80</v>
      </c>
      <c r="D150">
        <v>32.799999999999997</v>
      </c>
      <c r="E150">
        <v>41</v>
      </c>
      <c r="F150">
        <v>0</v>
      </c>
      <c r="G150" s="8"/>
      <c r="H150" s="8"/>
      <c r="I150" s="8"/>
      <c r="J150" s="8"/>
    </row>
    <row r="151" spans="2:10" x14ac:dyDescent="0.3">
      <c r="B151">
        <v>106</v>
      </c>
      <c r="C151">
        <v>64</v>
      </c>
      <c r="D151">
        <v>30.5</v>
      </c>
      <c r="E151">
        <v>34</v>
      </c>
      <c r="F151">
        <v>0</v>
      </c>
      <c r="G151" s="8"/>
      <c r="H151" s="8"/>
      <c r="I151" s="8"/>
      <c r="J151" s="8"/>
    </row>
    <row r="152" spans="2:10" x14ac:dyDescent="0.3">
      <c r="B152">
        <v>147</v>
      </c>
      <c r="C152">
        <v>78</v>
      </c>
      <c r="D152">
        <v>33.700000000000003</v>
      </c>
      <c r="E152">
        <v>65</v>
      </c>
      <c r="F152">
        <v>0</v>
      </c>
      <c r="G152" s="8"/>
      <c r="H152" s="8"/>
      <c r="I152" s="8"/>
      <c r="J152" s="8"/>
    </row>
    <row r="153" spans="2:10" x14ac:dyDescent="0.3">
      <c r="B153">
        <v>90</v>
      </c>
      <c r="C153">
        <v>70</v>
      </c>
      <c r="D153">
        <v>27.3</v>
      </c>
      <c r="E153">
        <v>22</v>
      </c>
      <c r="F153">
        <v>0</v>
      </c>
      <c r="G153" s="8"/>
      <c r="H153" s="8"/>
      <c r="I153" s="8"/>
      <c r="J153" s="8"/>
    </row>
  </sheetData>
  <mergeCells count="2">
    <mergeCell ref="O9:P9"/>
    <mergeCell ref="N4:N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AE66-ABA7-49BB-AD03-D027B5BC5F73}">
  <dimension ref="B2:AD153"/>
  <sheetViews>
    <sheetView workbookViewId="0">
      <selection activeCell="Z27" sqref="Z27"/>
    </sheetView>
  </sheetViews>
  <sheetFormatPr defaultRowHeight="14.4" x14ac:dyDescent="0.3"/>
  <cols>
    <col min="3" max="3" width="15.44140625" bestFit="1" customWidth="1"/>
    <col min="4" max="4" width="14.6640625" bestFit="1" customWidth="1"/>
    <col min="5" max="5" width="15" bestFit="1" customWidth="1"/>
    <col min="6" max="6" width="13.5546875" bestFit="1" customWidth="1"/>
    <col min="7" max="7" width="13.44140625" bestFit="1" customWidth="1"/>
    <col min="16" max="16" width="8.44140625" customWidth="1"/>
    <col min="17" max="17" width="13.33203125" bestFit="1" customWidth="1"/>
    <col min="19" max="19" width="18" bestFit="1" customWidth="1"/>
    <col min="21" max="21" width="15.44140625" bestFit="1" customWidth="1"/>
    <col min="22" max="22" width="14.6640625" bestFit="1" customWidth="1"/>
    <col min="23" max="23" width="15.44140625" bestFit="1" customWidth="1"/>
    <col min="24" max="24" width="14.6640625" bestFit="1" customWidth="1"/>
    <col min="25" max="25" width="15" bestFit="1" customWidth="1"/>
    <col min="26" max="26" width="14.33203125" bestFit="1" customWidth="1"/>
  </cols>
  <sheetData>
    <row r="2" spans="2:26" x14ac:dyDescent="0.3"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17</v>
      </c>
      <c r="H2" s="15" t="s">
        <v>30</v>
      </c>
      <c r="I2" s="15"/>
      <c r="J2" s="15"/>
      <c r="K2" s="14" t="s">
        <v>18</v>
      </c>
      <c r="L2" s="14"/>
      <c r="M2" s="14"/>
      <c r="N2" s="14" t="s">
        <v>21</v>
      </c>
      <c r="O2" s="14"/>
      <c r="P2" s="14"/>
      <c r="Q2" s="14" t="s">
        <v>15</v>
      </c>
    </row>
    <row r="3" spans="2:26" x14ac:dyDescent="0.3">
      <c r="B3" s="13"/>
      <c r="C3" s="13"/>
      <c r="D3" s="13"/>
      <c r="E3" s="13"/>
      <c r="F3" s="13"/>
      <c r="G3" s="13"/>
      <c r="H3" s="1">
        <f>IF(G4="Iris-setosa", 1,0)</f>
        <v>1</v>
      </c>
      <c r="I3" s="1">
        <v>2</v>
      </c>
      <c r="J3" s="1">
        <v>3</v>
      </c>
      <c r="K3" s="6">
        <v>1</v>
      </c>
      <c r="L3" s="6">
        <v>2</v>
      </c>
      <c r="M3" s="6">
        <v>3</v>
      </c>
      <c r="N3" s="6">
        <v>1</v>
      </c>
      <c r="O3" s="6">
        <v>2</v>
      </c>
      <c r="P3" s="6">
        <v>3</v>
      </c>
      <c r="Q3" s="14"/>
      <c r="S3" s="1" t="s">
        <v>32</v>
      </c>
      <c r="U3" s="14" t="s">
        <v>17</v>
      </c>
      <c r="V3" s="14" t="s">
        <v>19</v>
      </c>
      <c r="W3" s="15" t="s">
        <v>20</v>
      </c>
      <c r="X3" s="15"/>
      <c r="Y3" s="15"/>
      <c r="Z3" s="15"/>
    </row>
    <row r="4" spans="2:26" x14ac:dyDescent="0.3">
      <c r="B4" s="2">
        <v>1</v>
      </c>
      <c r="C4" s="2">
        <v>5.0999999999999996</v>
      </c>
      <c r="D4" s="2">
        <v>3.5</v>
      </c>
      <c r="E4" s="2">
        <v>1.4</v>
      </c>
      <c r="F4" s="2">
        <v>0.2</v>
      </c>
      <c r="G4" s="2" t="s">
        <v>27</v>
      </c>
      <c r="H4" s="2">
        <f>IF(G4="Iris-setosa",1,0)</f>
        <v>1</v>
      </c>
      <c r="I4" s="2">
        <f>IF(G4="Iris-versicolor",1,0)</f>
        <v>0</v>
      </c>
      <c r="J4" s="2">
        <f>IF(G4="Iris-virginica",1,0)</f>
        <v>0</v>
      </c>
      <c r="K4" s="5"/>
      <c r="L4" s="5"/>
      <c r="M4" s="5"/>
      <c r="N4" s="5"/>
      <c r="O4" s="5"/>
      <c r="P4" s="5"/>
      <c r="Q4" s="5"/>
      <c r="S4" s="5"/>
      <c r="U4" s="14"/>
      <c r="V4" s="14"/>
      <c r="W4" s="1" t="s">
        <v>23</v>
      </c>
      <c r="X4" s="1" t="s">
        <v>24</v>
      </c>
      <c r="Y4" s="1" t="s">
        <v>25</v>
      </c>
      <c r="Z4" s="1" t="s">
        <v>26</v>
      </c>
    </row>
    <row r="5" spans="2:26" x14ac:dyDescent="0.3">
      <c r="B5" s="2">
        <v>2</v>
      </c>
      <c r="C5" s="2">
        <v>4.9000000000000004</v>
      </c>
      <c r="D5" s="2">
        <v>3</v>
      </c>
      <c r="E5" s="2">
        <v>1.4</v>
      </c>
      <c r="F5" s="2">
        <v>0.2</v>
      </c>
      <c r="G5" s="2" t="s">
        <v>27</v>
      </c>
      <c r="H5" s="2">
        <f t="shared" ref="H5:H68" si="0">IF(G5="Iris-setosa",1,0)</f>
        <v>1</v>
      </c>
      <c r="I5" s="2">
        <f t="shared" ref="I5:I68" si="1">IF(G5="Iris-versicolor",1,0)</f>
        <v>0</v>
      </c>
      <c r="J5" s="2">
        <f t="shared" ref="J5:J68" si="2">IF(G5="Iris-virginica",1,0)</f>
        <v>0</v>
      </c>
      <c r="K5" s="5"/>
      <c r="L5" s="5"/>
      <c r="M5" s="5"/>
      <c r="N5" s="5"/>
      <c r="O5" s="5"/>
      <c r="P5" s="5"/>
      <c r="Q5" s="5"/>
      <c r="U5" s="7">
        <v>1</v>
      </c>
      <c r="V5" s="2">
        <v>0.01</v>
      </c>
      <c r="W5" s="2">
        <v>0.01</v>
      </c>
      <c r="X5" s="2">
        <v>0.01</v>
      </c>
      <c r="Y5" s="2">
        <v>0.01</v>
      </c>
      <c r="Z5" s="2">
        <v>0.01</v>
      </c>
    </row>
    <row r="6" spans="2:26" x14ac:dyDescent="0.3">
      <c r="B6" s="2">
        <v>3</v>
      </c>
      <c r="C6" s="2">
        <v>4.7</v>
      </c>
      <c r="D6" s="2">
        <v>3.2</v>
      </c>
      <c r="E6" s="2">
        <v>1.3</v>
      </c>
      <c r="F6" s="2">
        <v>0.2</v>
      </c>
      <c r="G6" s="2" t="s">
        <v>27</v>
      </c>
      <c r="H6" s="2">
        <f t="shared" si="0"/>
        <v>1</v>
      </c>
      <c r="I6" s="2">
        <f t="shared" si="1"/>
        <v>0</v>
      </c>
      <c r="J6" s="2">
        <f t="shared" si="2"/>
        <v>0</v>
      </c>
      <c r="K6" s="5"/>
      <c r="L6" s="5"/>
      <c r="M6" s="5"/>
      <c r="N6" s="5"/>
      <c r="O6" s="5"/>
      <c r="P6" s="5"/>
      <c r="Q6" s="5"/>
      <c r="U6" s="7">
        <v>2</v>
      </c>
      <c r="V6" s="2">
        <v>0.01</v>
      </c>
      <c r="W6" s="2">
        <v>0.01</v>
      </c>
      <c r="X6" s="2">
        <v>0.01</v>
      </c>
      <c r="Y6" s="2">
        <v>0.01</v>
      </c>
      <c r="Z6" s="2">
        <v>0.01</v>
      </c>
    </row>
    <row r="7" spans="2:26" x14ac:dyDescent="0.3">
      <c r="B7" s="2">
        <v>4</v>
      </c>
      <c r="C7" s="2">
        <v>4.5999999999999996</v>
      </c>
      <c r="D7" s="2">
        <v>3.1</v>
      </c>
      <c r="E7" s="2">
        <v>1.5</v>
      </c>
      <c r="F7" s="2">
        <v>0.2</v>
      </c>
      <c r="G7" s="2" t="s">
        <v>27</v>
      </c>
      <c r="H7" s="2">
        <f t="shared" si="0"/>
        <v>1</v>
      </c>
      <c r="I7" s="2">
        <f t="shared" si="1"/>
        <v>0</v>
      </c>
      <c r="J7" s="2">
        <f t="shared" si="2"/>
        <v>0</v>
      </c>
      <c r="K7" s="5"/>
      <c r="L7" s="5"/>
      <c r="M7" s="5"/>
      <c r="N7" s="5"/>
      <c r="O7" s="5"/>
      <c r="P7" s="5"/>
      <c r="Q7" s="5"/>
      <c r="U7" s="7">
        <v>3</v>
      </c>
      <c r="V7" s="2">
        <v>0.01</v>
      </c>
      <c r="W7" s="2">
        <v>0.01</v>
      </c>
      <c r="X7" s="2">
        <v>0.01</v>
      </c>
      <c r="Y7" s="2">
        <v>0.01</v>
      </c>
      <c r="Z7" s="2">
        <v>0.01</v>
      </c>
    </row>
    <row r="8" spans="2:26" x14ac:dyDescent="0.3">
      <c r="B8" s="2">
        <v>5</v>
      </c>
      <c r="C8" s="2">
        <v>5</v>
      </c>
      <c r="D8" s="2">
        <v>3.6</v>
      </c>
      <c r="E8" s="2">
        <v>1.4</v>
      </c>
      <c r="F8" s="2">
        <v>0.2</v>
      </c>
      <c r="G8" s="2" t="s">
        <v>27</v>
      </c>
      <c r="H8" s="2">
        <f t="shared" si="0"/>
        <v>1</v>
      </c>
      <c r="I8" s="2">
        <f t="shared" si="1"/>
        <v>0</v>
      </c>
      <c r="J8" s="2">
        <f t="shared" si="2"/>
        <v>0</v>
      </c>
      <c r="K8" s="5"/>
      <c r="L8" s="5"/>
      <c r="M8" s="5"/>
      <c r="N8" s="5"/>
      <c r="O8" s="5"/>
      <c r="P8" s="5"/>
      <c r="Q8" s="5"/>
    </row>
    <row r="9" spans="2:26" x14ac:dyDescent="0.3">
      <c r="B9" s="2">
        <v>6</v>
      </c>
      <c r="C9" s="2">
        <v>5.4</v>
      </c>
      <c r="D9" s="2">
        <v>3.9</v>
      </c>
      <c r="E9" s="2">
        <v>1.7</v>
      </c>
      <c r="F9" s="2">
        <v>0.4</v>
      </c>
      <c r="G9" s="2" t="s">
        <v>27</v>
      </c>
      <c r="H9" s="2">
        <f t="shared" si="0"/>
        <v>1</v>
      </c>
      <c r="I9" s="2">
        <f t="shared" si="1"/>
        <v>0</v>
      </c>
      <c r="J9" s="2">
        <f t="shared" si="2"/>
        <v>0</v>
      </c>
      <c r="K9" s="5"/>
      <c r="L9" s="5"/>
      <c r="M9" s="5"/>
      <c r="N9" s="5"/>
      <c r="O9" s="5"/>
      <c r="P9" s="5"/>
      <c r="Q9" s="5"/>
    </row>
    <row r="10" spans="2:26" x14ac:dyDescent="0.3">
      <c r="B10" s="2">
        <v>7</v>
      </c>
      <c r="C10" s="2">
        <v>4.5999999999999996</v>
      </c>
      <c r="D10" s="2">
        <v>3.4</v>
      </c>
      <c r="E10" s="2">
        <v>1.4</v>
      </c>
      <c r="F10" s="2">
        <v>0.3</v>
      </c>
      <c r="G10" s="2" t="s">
        <v>27</v>
      </c>
      <c r="H10" s="2">
        <f t="shared" si="0"/>
        <v>1</v>
      </c>
      <c r="I10" s="2">
        <f t="shared" si="1"/>
        <v>0</v>
      </c>
      <c r="J10" s="2">
        <f t="shared" si="2"/>
        <v>0</v>
      </c>
      <c r="K10" s="5"/>
      <c r="L10" s="5"/>
      <c r="M10" s="5"/>
      <c r="N10" s="5"/>
      <c r="O10" s="5"/>
      <c r="P10" s="5"/>
      <c r="Q10" s="5"/>
    </row>
    <row r="11" spans="2:26" x14ac:dyDescent="0.3">
      <c r="B11" s="2">
        <v>8</v>
      </c>
      <c r="C11" s="2">
        <v>5</v>
      </c>
      <c r="D11" s="2">
        <v>3.4</v>
      </c>
      <c r="E11" s="2">
        <v>1.5</v>
      </c>
      <c r="F11" s="2">
        <v>0.2</v>
      </c>
      <c r="G11" s="2" t="s">
        <v>27</v>
      </c>
      <c r="H11" s="2">
        <f t="shared" si="0"/>
        <v>1</v>
      </c>
      <c r="I11" s="2">
        <f t="shared" si="1"/>
        <v>0</v>
      </c>
      <c r="J11" s="2">
        <f t="shared" si="2"/>
        <v>0</v>
      </c>
      <c r="K11" s="5"/>
      <c r="L11" s="5"/>
      <c r="M11" s="5"/>
      <c r="N11" s="5"/>
      <c r="O11" s="5"/>
      <c r="P11" s="5"/>
      <c r="Q11" s="5"/>
    </row>
    <row r="12" spans="2:26" x14ac:dyDescent="0.3">
      <c r="B12" s="2">
        <v>9</v>
      </c>
      <c r="C12" s="2">
        <v>4.4000000000000004</v>
      </c>
      <c r="D12" s="2">
        <v>2.9</v>
      </c>
      <c r="E12" s="2">
        <v>1.4</v>
      </c>
      <c r="F12" s="2">
        <v>0.2</v>
      </c>
      <c r="G12" s="2" t="s">
        <v>27</v>
      </c>
      <c r="H12" s="2">
        <f t="shared" si="0"/>
        <v>1</v>
      </c>
      <c r="I12" s="2">
        <f t="shared" si="1"/>
        <v>0</v>
      </c>
      <c r="J12" s="2">
        <f t="shared" si="2"/>
        <v>0</v>
      </c>
      <c r="K12" s="5"/>
      <c r="L12" s="5"/>
      <c r="M12" s="5"/>
      <c r="N12" s="5"/>
      <c r="O12" s="5"/>
      <c r="P12" s="5"/>
      <c r="Q12" s="5"/>
    </row>
    <row r="13" spans="2:26" x14ac:dyDescent="0.3">
      <c r="B13" s="2">
        <v>10</v>
      </c>
      <c r="C13" s="2">
        <v>4.9000000000000004</v>
      </c>
      <c r="D13" s="2">
        <v>3.1</v>
      </c>
      <c r="E13" s="2">
        <v>1.5</v>
      </c>
      <c r="F13" s="2">
        <v>0.1</v>
      </c>
      <c r="G13" s="2" t="s">
        <v>27</v>
      </c>
      <c r="H13" s="2">
        <f t="shared" si="0"/>
        <v>1</v>
      </c>
      <c r="I13" s="2">
        <f t="shared" si="1"/>
        <v>0</v>
      </c>
      <c r="J13" s="2">
        <f t="shared" si="2"/>
        <v>0</v>
      </c>
      <c r="K13" s="5"/>
      <c r="L13" s="5"/>
      <c r="M13" s="5"/>
      <c r="N13" s="5"/>
      <c r="O13" s="5"/>
      <c r="P13" s="5"/>
      <c r="Q13" s="5"/>
    </row>
    <row r="14" spans="2:26" x14ac:dyDescent="0.3">
      <c r="B14" s="2">
        <v>11</v>
      </c>
      <c r="C14" s="2">
        <v>5.4</v>
      </c>
      <c r="D14" s="2">
        <v>3.7</v>
      </c>
      <c r="E14" s="2">
        <v>1.5</v>
      </c>
      <c r="F14" s="2">
        <v>0.2</v>
      </c>
      <c r="G14" s="2" t="s">
        <v>27</v>
      </c>
      <c r="H14" s="2">
        <f t="shared" si="0"/>
        <v>1</v>
      </c>
      <c r="I14" s="2">
        <f t="shared" si="1"/>
        <v>0</v>
      </c>
      <c r="J14" s="2">
        <f t="shared" si="2"/>
        <v>0</v>
      </c>
      <c r="K14" s="5"/>
      <c r="L14" s="5"/>
      <c r="M14" s="5"/>
      <c r="N14" s="5"/>
      <c r="O14" s="5"/>
      <c r="P14" s="5"/>
      <c r="Q14" s="5"/>
    </row>
    <row r="15" spans="2:26" x14ac:dyDescent="0.3">
      <c r="B15" s="2">
        <v>12</v>
      </c>
      <c r="C15" s="2">
        <v>4.8</v>
      </c>
      <c r="D15" s="2">
        <v>3.4</v>
      </c>
      <c r="E15" s="2">
        <v>1.6</v>
      </c>
      <c r="F15" s="2">
        <v>0.2</v>
      </c>
      <c r="G15" s="2" t="s">
        <v>27</v>
      </c>
      <c r="H15" s="2">
        <f t="shared" si="0"/>
        <v>1</v>
      </c>
      <c r="I15" s="2">
        <f t="shared" si="1"/>
        <v>0</v>
      </c>
      <c r="J15" s="2">
        <f t="shared" si="2"/>
        <v>0</v>
      </c>
      <c r="K15" s="5"/>
      <c r="L15" s="5"/>
      <c r="M15" s="5"/>
      <c r="N15" s="5"/>
      <c r="O15" s="5"/>
      <c r="P15" s="5"/>
      <c r="Q15" s="5"/>
    </row>
    <row r="16" spans="2:26" x14ac:dyDescent="0.3">
      <c r="B16" s="2">
        <v>13</v>
      </c>
      <c r="C16" s="2">
        <v>4.8</v>
      </c>
      <c r="D16" s="2">
        <v>3</v>
      </c>
      <c r="E16" s="2">
        <v>1.4</v>
      </c>
      <c r="F16" s="2">
        <v>0.1</v>
      </c>
      <c r="G16" s="2" t="s">
        <v>27</v>
      </c>
      <c r="H16" s="2">
        <f t="shared" si="0"/>
        <v>1</v>
      </c>
      <c r="I16" s="2">
        <f t="shared" si="1"/>
        <v>0</v>
      </c>
      <c r="J16" s="2">
        <f t="shared" si="2"/>
        <v>0</v>
      </c>
      <c r="K16" s="5"/>
      <c r="L16" s="5"/>
      <c r="M16" s="5"/>
      <c r="N16" s="5"/>
      <c r="O16" s="5"/>
      <c r="P16" s="5"/>
      <c r="Q16" s="5"/>
    </row>
    <row r="17" spans="2:30" x14ac:dyDescent="0.3">
      <c r="B17" s="2">
        <v>14</v>
      </c>
      <c r="C17" s="2">
        <v>4.3</v>
      </c>
      <c r="D17" s="2">
        <v>3</v>
      </c>
      <c r="E17" s="2">
        <v>1.1000000000000001</v>
      </c>
      <c r="F17" s="2">
        <v>0.1</v>
      </c>
      <c r="G17" s="2" t="s">
        <v>27</v>
      </c>
      <c r="H17" s="2">
        <f t="shared" si="0"/>
        <v>1</v>
      </c>
      <c r="I17" s="2">
        <f t="shared" si="1"/>
        <v>0</v>
      </c>
      <c r="J17" s="2">
        <f t="shared" si="2"/>
        <v>0</v>
      </c>
      <c r="K17" s="5"/>
      <c r="L17" s="5"/>
      <c r="M17" s="5"/>
      <c r="N17" s="5"/>
      <c r="O17" s="5"/>
      <c r="P17" s="5"/>
      <c r="Q17" s="5"/>
    </row>
    <row r="18" spans="2:30" x14ac:dyDescent="0.3">
      <c r="B18" s="2">
        <v>15</v>
      </c>
      <c r="C18" s="2">
        <v>5.8</v>
      </c>
      <c r="D18" s="2">
        <v>4</v>
      </c>
      <c r="E18" s="2">
        <v>1.2</v>
      </c>
      <c r="F18" s="2">
        <v>0.2</v>
      </c>
      <c r="G18" s="2" t="s">
        <v>27</v>
      </c>
      <c r="H18" s="2">
        <f t="shared" si="0"/>
        <v>1</v>
      </c>
      <c r="I18" s="2">
        <f t="shared" si="1"/>
        <v>0</v>
      </c>
      <c r="J18" s="2">
        <f t="shared" si="2"/>
        <v>0</v>
      </c>
      <c r="K18" s="5"/>
      <c r="L18" s="5"/>
      <c r="M18" s="5"/>
      <c r="N18" s="5"/>
      <c r="O18" s="5"/>
      <c r="P18" s="5"/>
      <c r="Q18" s="5"/>
      <c r="U18" s="11" t="s">
        <v>23</v>
      </c>
      <c r="V18" s="11" t="s">
        <v>24</v>
      </c>
      <c r="W18" s="11" t="s">
        <v>25</v>
      </c>
      <c r="X18" s="11" t="s">
        <v>26</v>
      </c>
      <c r="Y18" s="14" t="s">
        <v>18</v>
      </c>
      <c r="Z18" s="14"/>
      <c r="AA18" s="14"/>
      <c r="AB18" s="14" t="s">
        <v>21</v>
      </c>
      <c r="AC18" s="14"/>
      <c r="AD18" s="14"/>
    </row>
    <row r="19" spans="2:30" x14ac:dyDescent="0.3">
      <c r="B19" s="2">
        <v>16</v>
      </c>
      <c r="C19" s="2">
        <v>5.7</v>
      </c>
      <c r="D19" s="2">
        <v>4.4000000000000004</v>
      </c>
      <c r="E19" s="2">
        <v>1.5</v>
      </c>
      <c r="F19" s="2">
        <v>0.4</v>
      </c>
      <c r="G19" s="2" t="s">
        <v>27</v>
      </c>
      <c r="H19" s="2">
        <f t="shared" si="0"/>
        <v>1</v>
      </c>
      <c r="I19" s="2">
        <f t="shared" si="1"/>
        <v>0</v>
      </c>
      <c r="J19" s="2">
        <f t="shared" si="2"/>
        <v>0</v>
      </c>
      <c r="K19" s="5"/>
      <c r="L19" s="5"/>
      <c r="M19" s="5"/>
      <c r="N19" s="5"/>
      <c r="O19" s="5"/>
      <c r="P19" s="5"/>
      <c r="Q19" s="5"/>
      <c r="U19" s="13"/>
      <c r="V19" s="13"/>
      <c r="W19" s="13"/>
      <c r="X19" s="13"/>
      <c r="Y19" s="6">
        <v>1</v>
      </c>
      <c r="Z19" s="6">
        <v>2</v>
      </c>
      <c r="AA19" s="6">
        <v>3</v>
      </c>
      <c r="AB19" s="6">
        <v>1</v>
      </c>
      <c r="AC19" s="6">
        <v>2</v>
      </c>
      <c r="AD19" s="6">
        <v>3</v>
      </c>
    </row>
    <row r="20" spans="2:30" x14ac:dyDescent="0.3">
      <c r="B20" s="2">
        <v>17</v>
      </c>
      <c r="C20" s="2">
        <v>5.4</v>
      </c>
      <c r="D20" s="2">
        <v>3.9</v>
      </c>
      <c r="E20" s="2">
        <v>1.3</v>
      </c>
      <c r="F20" s="2">
        <v>0.4</v>
      </c>
      <c r="G20" s="2" t="s">
        <v>27</v>
      </c>
      <c r="H20" s="2">
        <f t="shared" si="0"/>
        <v>1</v>
      </c>
      <c r="I20" s="2">
        <f t="shared" si="1"/>
        <v>0</v>
      </c>
      <c r="J20" s="2">
        <f t="shared" si="2"/>
        <v>0</v>
      </c>
      <c r="K20" s="5"/>
      <c r="L20" s="5"/>
      <c r="M20" s="5"/>
      <c r="N20" s="5"/>
      <c r="O20" s="5"/>
      <c r="P20" s="5"/>
      <c r="Q20" s="5"/>
      <c r="U20" s="2">
        <v>4.2</v>
      </c>
      <c r="V20" s="2">
        <v>3.3</v>
      </c>
      <c r="W20" s="2">
        <v>1.6</v>
      </c>
      <c r="X20" s="2">
        <v>0.4</v>
      </c>
      <c r="Y20" s="2"/>
      <c r="Z20" s="2"/>
      <c r="AA20" s="2"/>
      <c r="AB20" s="5"/>
      <c r="AC20" s="5"/>
      <c r="AD20" s="5"/>
    </row>
    <row r="21" spans="2:30" x14ac:dyDescent="0.3">
      <c r="B21" s="2">
        <v>18</v>
      </c>
      <c r="C21" s="2">
        <v>5.0999999999999996</v>
      </c>
      <c r="D21" s="2">
        <v>3.5</v>
      </c>
      <c r="E21" s="2">
        <v>1.4</v>
      </c>
      <c r="F21" s="2">
        <v>0.3</v>
      </c>
      <c r="G21" s="2" t="s">
        <v>27</v>
      </c>
      <c r="H21" s="2">
        <f t="shared" si="0"/>
        <v>1</v>
      </c>
      <c r="I21" s="2">
        <f t="shared" si="1"/>
        <v>0</v>
      </c>
      <c r="J21" s="2">
        <f t="shared" si="2"/>
        <v>0</v>
      </c>
      <c r="K21" s="5"/>
      <c r="L21" s="5"/>
      <c r="M21" s="5"/>
      <c r="N21" s="5"/>
      <c r="O21" s="5"/>
      <c r="P21" s="5"/>
      <c r="Q21" s="5"/>
      <c r="U21" s="2">
        <v>3.9</v>
      </c>
      <c r="V21" s="2">
        <v>3.1</v>
      </c>
      <c r="W21" s="2">
        <v>1.6</v>
      </c>
      <c r="X21" s="2">
        <v>0.3</v>
      </c>
      <c r="Y21" s="2"/>
      <c r="Z21" s="2"/>
      <c r="AA21" s="2"/>
      <c r="AB21" s="5"/>
      <c r="AC21" s="5"/>
      <c r="AD21" s="5"/>
    </row>
    <row r="22" spans="2:30" x14ac:dyDescent="0.3">
      <c r="B22" s="2">
        <v>19</v>
      </c>
      <c r="C22" s="2">
        <v>5.7</v>
      </c>
      <c r="D22" s="2">
        <v>3.8</v>
      </c>
      <c r="E22" s="2">
        <v>1.7</v>
      </c>
      <c r="F22" s="2">
        <v>0.3</v>
      </c>
      <c r="G22" s="2" t="s">
        <v>27</v>
      </c>
      <c r="H22" s="2">
        <f t="shared" si="0"/>
        <v>1</v>
      </c>
      <c r="I22" s="2">
        <f t="shared" si="1"/>
        <v>0</v>
      </c>
      <c r="J22" s="2">
        <f t="shared" si="2"/>
        <v>0</v>
      </c>
      <c r="K22" s="5"/>
      <c r="L22" s="5"/>
      <c r="M22" s="5"/>
      <c r="N22" s="5"/>
      <c r="O22" s="5"/>
      <c r="P22" s="5"/>
      <c r="Q22" s="5"/>
      <c r="U22" s="2">
        <v>5</v>
      </c>
      <c r="V22" s="2">
        <v>3.2</v>
      </c>
      <c r="W22" s="2">
        <v>1.5</v>
      </c>
      <c r="X22" s="2">
        <v>0.5</v>
      </c>
      <c r="Y22" s="2"/>
      <c r="Z22" s="2"/>
      <c r="AA22" s="2"/>
      <c r="AB22" s="5"/>
      <c r="AC22" s="5"/>
      <c r="AD22" s="5"/>
    </row>
    <row r="23" spans="2:30" x14ac:dyDescent="0.3">
      <c r="B23" s="2">
        <v>20</v>
      </c>
      <c r="C23" s="2">
        <v>5.0999999999999996</v>
      </c>
      <c r="D23" s="2">
        <v>3.8</v>
      </c>
      <c r="E23" s="2">
        <v>1.5</v>
      </c>
      <c r="F23" s="2">
        <v>0.3</v>
      </c>
      <c r="G23" s="2" t="s">
        <v>27</v>
      </c>
      <c r="H23" s="2">
        <f t="shared" si="0"/>
        <v>1</v>
      </c>
      <c r="I23" s="2">
        <f t="shared" si="1"/>
        <v>0</v>
      </c>
      <c r="J23" s="2">
        <f t="shared" si="2"/>
        <v>0</v>
      </c>
      <c r="K23" s="5"/>
      <c r="L23" s="5"/>
      <c r="M23" s="5"/>
      <c r="N23" s="5"/>
      <c r="O23" s="5"/>
      <c r="P23" s="5"/>
      <c r="Q23" s="5"/>
    </row>
    <row r="24" spans="2:30" x14ac:dyDescent="0.3">
      <c r="B24" s="2">
        <v>21</v>
      </c>
      <c r="C24" s="2">
        <v>5.4</v>
      </c>
      <c r="D24" s="2">
        <v>3.4</v>
      </c>
      <c r="E24" s="2">
        <v>1.7</v>
      </c>
      <c r="F24" s="2">
        <v>0.2</v>
      </c>
      <c r="G24" s="2" t="s">
        <v>27</v>
      </c>
      <c r="H24" s="2">
        <f t="shared" si="0"/>
        <v>1</v>
      </c>
      <c r="I24" s="2">
        <f t="shared" si="1"/>
        <v>0</v>
      </c>
      <c r="J24" s="2">
        <f t="shared" si="2"/>
        <v>0</v>
      </c>
      <c r="K24" s="5"/>
      <c r="L24" s="5"/>
      <c r="M24" s="5"/>
      <c r="N24" s="5"/>
      <c r="O24" s="5"/>
      <c r="P24" s="5"/>
      <c r="Q24" s="5"/>
    </row>
    <row r="25" spans="2:30" x14ac:dyDescent="0.3">
      <c r="B25" s="2">
        <v>22</v>
      </c>
      <c r="C25" s="2">
        <v>5.0999999999999996</v>
      </c>
      <c r="D25" s="2">
        <v>3.7</v>
      </c>
      <c r="E25" s="2">
        <v>1.5</v>
      </c>
      <c r="F25" s="2">
        <v>0.4</v>
      </c>
      <c r="G25" s="2" t="s">
        <v>27</v>
      </c>
      <c r="H25" s="2">
        <f t="shared" si="0"/>
        <v>1</v>
      </c>
      <c r="I25" s="2">
        <f t="shared" si="1"/>
        <v>0</v>
      </c>
      <c r="J25" s="2">
        <f t="shared" si="2"/>
        <v>0</v>
      </c>
      <c r="K25" s="5"/>
      <c r="L25" s="5"/>
      <c r="M25" s="5"/>
      <c r="N25" s="5"/>
      <c r="O25" s="5"/>
      <c r="P25" s="5"/>
      <c r="Q25" s="5"/>
    </row>
    <row r="26" spans="2:30" x14ac:dyDescent="0.3">
      <c r="B26" s="2">
        <v>23</v>
      </c>
      <c r="C26" s="2">
        <v>4.5999999999999996</v>
      </c>
      <c r="D26" s="2">
        <v>3.6</v>
      </c>
      <c r="E26" s="2">
        <v>1</v>
      </c>
      <c r="F26" s="2">
        <v>0.2</v>
      </c>
      <c r="G26" s="2" t="s">
        <v>27</v>
      </c>
      <c r="H26" s="2">
        <f t="shared" si="0"/>
        <v>1</v>
      </c>
      <c r="I26" s="2">
        <f t="shared" si="1"/>
        <v>0</v>
      </c>
      <c r="J26" s="2">
        <f t="shared" si="2"/>
        <v>0</v>
      </c>
      <c r="K26" s="5"/>
      <c r="L26" s="5"/>
      <c r="M26" s="5"/>
      <c r="N26" s="5"/>
      <c r="O26" s="5"/>
      <c r="P26" s="5"/>
      <c r="Q26" s="5"/>
    </row>
    <row r="27" spans="2:30" x14ac:dyDescent="0.3">
      <c r="B27" s="2">
        <v>24</v>
      </c>
      <c r="C27" s="2">
        <v>5.0999999999999996</v>
      </c>
      <c r="D27" s="2">
        <v>3.3</v>
      </c>
      <c r="E27" s="2">
        <v>1.7</v>
      </c>
      <c r="F27" s="2">
        <v>0.5</v>
      </c>
      <c r="G27" s="2" t="s">
        <v>27</v>
      </c>
      <c r="H27" s="2">
        <f t="shared" si="0"/>
        <v>1</v>
      </c>
      <c r="I27" s="2">
        <f t="shared" si="1"/>
        <v>0</v>
      </c>
      <c r="J27" s="2">
        <f t="shared" si="2"/>
        <v>0</v>
      </c>
      <c r="K27" s="5"/>
      <c r="L27" s="5"/>
      <c r="M27" s="5"/>
      <c r="N27" s="5"/>
      <c r="O27" s="5"/>
      <c r="P27" s="5"/>
      <c r="Q27" s="5"/>
    </row>
    <row r="28" spans="2:30" x14ac:dyDescent="0.3">
      <c r="B28" s="2">
        <v>25</v>
      </c>
      <c r="C28" s="2">
        <v>4.8</v>
      </c>
      <c r="D28" s="2">
        <v>3.4</v>
      </c>
      <c r="E28" s="2">
        <v>1.9</v>
      </c>
      <c r="F28" s="2">
        <v>0.2</v>
      </c>
      <c r="G28" s="2" t="s">
        <v>27</v>
      </c>
      <c r="H28" s="2">
        <f t="shared" si="0"/>
        <v>1</v>
      </c>
      <c r="I28" s="2">
        <f t="shared" si="1"/>
        <v>0</v>
      </c>
      <c r="J28" s="2">
        <f t="shared" si="2"/>
        <v>0</v>
      </c>
      <c r="K28" s="5"/>
      <c r="L28" s="5"/>
      <c r="M28" s="5"/>
      <c r="N28" s="5"/>
      <c r="O28" s="5"/>
      <c r="P28" s="5"/>
      <c r="Q28" s="5"/>
    </row>
    <row r="29" spans="2:30" x14ac:dyDescent="0.3">
      <c r="B29" s="2">
        <v>26</v>
      </c>
      <c r="C29" s="2">
        <v>5</v>
      </c>
      <c r="D29" s="2">
        <v>3</v>
      </c>
      <c r="E29" s="2">
        <v>1.6</v>
      </c>
      <c r="F29" s="2">
        <v>0.2</v>
      </c>
      <c r="G29" s="2" t="s">
        <v>27</v>
      </c>
      <c r="H29" s="2">
        <f t="shared" si="0"/>
        <v>1</v>
      </c>
      <c r="I29" s="2">
        <f t="shared" si="1"/>
        <v>0</v>
      </c>
      <c r="J29" s="2">
        <f t="shared" si="2"/>
        <v>0</v>
      </c>
      <c r="K29" s="5"/>
      <c r="L29" s="5"/>
      <c r="M29" s="5"/>
      <c r="N29" s="5"/>
      <c r="O29" s="5"/>
      <c r="P29" s="5"/>
      <c r="Q29" s="5"/>
    </row>
    <row r="30" spans="2:30" x14ac:dyDescent="0.3">
      <c r="B30" s="2">
        <v>27</v>
      </c>
      <c r="C30" s="2">
        <v>5</v>
      </c>
      <c r="D30" s="2">
        <v>3.4</v>
      </c>
      <c r="E30" s="2">
        <v>1.6</v>
      </c>
      <c r="F30" s="2">
        <v>0.4</v>
      </c>
      <c r="G30" s="2" t="s">
        <v>27</v>
      </c>
      <c r="H30" s="2">
        <f t="shared" si="0"/>
        <v>1</v>
      </c>
      <c r="I30" s="2">
        <f t="shared" si="1"/>
        <v>0</v>
      </c>
      <c r="J30" s="2">
        <f t="shared" si="2"/>
        <v>0</v>
      </c>
      <c r="K30" s="5"/>
      <c r="L30" s="5"/>
      <c r="M30" s="5"/>
      <c r="N30" s="5"/>
      <c r="O30" s="5"/>
      <c r="P30" s="5"/>
      <c r="Q30" s="5"/>
    </row>
    <row r="31" spans="2:30" x14ac:dyDescent="0.3">
      <c r="B31" s="2">
        <v>28</v>
      </c>
      <c r="C31" s="2">
        <v>5.2</v>
      </c>
      <c r="D31" s="2">
        <v>3.5</v>
      </c>
      <c r="E31" s="2">
        <v>1.5</v>
      </c>
      <c r="F31" s="2">
        <v>0.2</v>
      </c>
      <c r="G31" s="2" t="s">
        <v>27</v>
      </c>
      <c r="H31" s="2">
        <f t="shared" si="0"/>
        <v>1</v>
      </c>
      <c r="I31" s="2">
        <f t="shared" si="1"/>
        <v>0</v>
      </c>
      <c r="J31" s="2">
        <f t="shared" si="2"/>
        <v>0</v>
      </c>
      <c r="K31" s="5"/>
      <c r="L31" s="5"/>
      <c r="M31" s="5"/>
      <c r="N31" s="5"/>
      <c r="O31" s="5"/>
      <c r="P31" s="5"/>
      <c r="Q31" s="5"/>
    </row>
    <row r="32" spans="2:30" x14ac:dyDescent="0.3">
      <c r="B32" s="2">
        <v>29</v>
      </c>
      <c r="C32" s="2">
        <v>5.2</v>
      </c>
      <c r="D32" s="2">
        <v>3.4</v>
      </c>
      <c r="E32" s="2">
        <v>1.4</v>
      </c>
      <c r="F32" s="2">
        <v>0.2</v>
      </c>
      <c r="G32" s="2" t="s">
        <v>27</v>
      </c>
      <c r="H32" s="2">
        <f t="shared" si="0"/>
        <v>1</v>
      </c>
      <c r="I32" s="2">
        <f t="shared" si="1"/>
        <v>0</v>
      </c>
      <c r="J32" s="2">
        <f t="shared" si="2"/>
        <v>0</v>
      </c>
      <c r="K32" s="5"/>
      <c r="L32" s="5"/>
      <c r="M32" s="5"/>
      <c r="N32" s="5"/>
      <c r="O32" s="5"/>
      <c r="P32" s="5"/>
      <c r="Q32" s="5"/>
    </row>
    <row r="33" spans="2:17" x14ac:dyDescent="0.3">
      <c r="B33" s="2">
        <v>30</v>
      </c>
      <c r="C33" s="2">
        <v>4.7</v>
      </c>
      <c r="D33" s="2">
        <v>3.2</v>
      </c>
      <c r="E33" s="2">
        <v>1.6</v>
      </c>
      <c r="F33" s="2">
        <v>0.2</v>
      </c>
      <c r="G33" s="2" t="s">
        <v>27</v>
      </c>
      <c r="H33" s="2">
        <f t="shared" si="0"/>
        <v>1</v>
      </c>
      <c r="I33" s="2">
        <f t="shared" si="1"/>
        <v>0</v>
      </c>
      <c r="J33" s="2">
        <f t="shared" si="2"/>
        <v>0</v>
      </c>
      <c r="K33" s="5"/>
      <c r="L33" s="5"/>
      <c r="M33" s="5"/>
      <c r="N33" s="5"/>
      <c r="O33" s="5"/>
      <c r="P33" s="5"/>
      <c r="Q33" s="5"/>
    </row>
    <row r="34" spans="2:17" x14ac:dyDescent="0.3">
      <c r="B34" s="2">
        <v>31</v>
      </c>
      <c r="C34" s="2">
        <v>4.8</v>
      </c>
      <c r="D34" s="2">
        <v>3.1</v>
      </c>
      <c r="E34" s="2">
        <v>1.6</v>
      </c>
      <c r="F34" s="2">
        <v>0.2</v>
      </c>
      <c r="G34" s="2" t="s">
        <v>27</v>
      </c>
      <c r="H34" s="2">
        <f t="shared" si="0"/>
        <v>1</v>
      </c>
      <c r="I34" s="2">
        <f t="shared" si="1"/>
        <v>0</v>
      </c>
      <c r="J34" s="2">
        <f t="shared" si="2"/>
        <v>0</v>
      </c>
      <c r="K34" s="5"/>
      <c r="L34" s="5"/>
      <c r="M34" s="5"/>
      <c r="N34" s="5"/>
      <c r="O34" s="5"/>
      <c r="P34" s="5"/>
      <c r="Q34" s="5"/>
    </row>
    <row r="35" spans="2:17" x14ac:dyDescent="0.3">
      <c r="B35" s="2">
        <v>32</v>
      </c>
      <c r="C35" s="2">
        <v>5.4</v>
      </c>
      <c r="D35" s="2">
        <v>3.4</v>
      </c>
      <c r="E35" s="2">
        <v>1.5</v>
      </c>
      <c r="F35" s="2">
        <v>0.4</v>
      </c>
      <c r="G35" s="2" t="s">
        <v>27</v>
      </c>
      <c r="H35" s="2">
        <f t="shared" si="0"/>
        <v>1</v>
      </c>
      <c r="I35" s="2">
        <f t="shared" si="1"/>
        <v>0</v>
      </c>
      <c r="J35" s="2">
        <f t="shared" si="2"/>
        <v>0</v>
      </c>
      <c r="K35" s="5"/>
      <c r="L35" s="5"/>
      <c r="M35" s="5"/>
      <c r="N35" s="5"/>
      <c r="O35" s="5"/>
      <c r="P35" s="5"/>
      <c r="Q35" s="5"/>
    </row>
    <row r="36" spans="2:17" x14ac:dyDescent="0.3">
      <c r="B36" s="2">
        <v>33</v>
      </c>
      <c r="C36" s="2">
        <v>5.2</v>
      </c>
      <c r="D36" s="2">
        <v>4.0999999999999996</v>
      </c>
      <c r="E36" s="2">
        <v>1.5</v>
      </c>
      <c r="F36" s="2">
        <v>0.1</v>
      </c>
      <c r="G36" s="2" t="s">
        <v>27</v>
      </c>
      <c r="H36" s="2">
        <f t="shared" si="0"/>
        <v>1</v>
      </c>
      <c r="I36" s="2">
        <f t="shared" si="1"/>
        <v>0</v>
      </c>
      <c r="J36" s="2">
        <f t="shared" si="2"/>
        <v>0</v>
      </c>
      <c r="K36" s="5"/>
      <c r="L36" s="5"/>
      <c r="M36" s="5"/>
      <c r="N36" s="5"/>
      <c r="O36" s="5"/>
      <c r="P36" s="5"/>
      <c r="Q36" s="5"/>
    </row>
    <row r="37" spans="2:17" x14ac:dyDescent="0.3">
      <c r="B37" s="2">
        <v>34</v>
      </c>
      <c r="C37" s="2">
        <v>5.5</v>
      </c>
      <c r="D37" s="2">
        <v>4.2</v>
      </c>
      <c r="E37" s="2">
        <v>1.4</v>
      </c>
      <c r="F37" s="2">
        <v>0.2</v>
      </c>
      <c r="G37" s="2" t="s">
        <v>27</v>
      </c>
      <c r="H37" s="2">
        <f t="shared" si="0"/>
        <v>1</v>
      </c>
      <c r="I37" s="2">
        <f t="shared" si="1"/>
        <v>0</v>
      </c>
      <c r="J37" s="2">
        <f t="shared" si="2"/>
        <v>0</v>
      </c>
      <c r="K37" s="5"/>
      <c r="L37" s="5"/>
      <c r="M37" s="5"/>
      <c r="N37" s="5"/>
      <c r="O37" s="5"/>
      <c r="P37" s="5"/>
      <c r="Q37" s="5"/>
    </row>
    <row r="38" spans="2:17" x14ac:dyDescent="0.3">
      <c r="B38" s="2">
        <v>35</v>
      </c>
      <c r="C38" s="2">
        <v>4.9000000000000004</v>
      </c>
      <c r="D38" s="2">
        <v>3.1</v>
      </c>
      <c r="E38" s="2">
        <v>1.5</v>
      </c>
      <c r="F38" s="2">
        <v>0.1</v>
      </c>
      <c r="G38" s="2" t="s">
        <v>27</v>
      </c>
      <c r="H38" s="2">
        <f t="shared" si="0"/>
        <v>1</v>
      </c>
      <c r="I38" s="2">
        <f t="shared" si="1"/>
        <v>0</v>
      </c>
      <c r="J38" s="2">
        <f t="shared" si="2"/>
        <v>0</v>
      </c>
      <c r="K38" s="5"/>
      <c r="L38" s="5"/>
      <c r="M38" s="5"/>
      <c r="N38" s="5"/>
      <c r="O38" s="5"/>
      <c r="P38" s="5"/>
      <c r="Q38" s="5"/>
    </row>
    <row r="39" spans="2:17" x14ac:dyDescent="0.3">
      <c r="B39" s="2">
        <v>36</v>
      </c>
      <c r="C39" s="2">
        <v>5</v>
      </c>
      <c r="D39" s="2">
        <v>3.2</v>
      </c>
      <c r="E39" s="2">
        <v>1.2</v>
      </c>
      <c r="F39" s="2">
        <v>0.2</v>
      </c>
      <c r="G39" s="2" t="s">
        <v>27</v>
      </c>
      <c r="H39" s="2">
        <f t="shared" si="0"/>
        <v>1</v>
      </c>
      <c r="I39" s="2">
        <f t="shared" si="1"/>
        <v>0</v>
      </c>
      <c r="J39" s="2">
        <f t="shared" si="2"/>
        <v>0</v>
      </c>
      <c r="K39" s="5"/>
      <c r="L39" s="5"/>
      <c r="M39" s="5"/>
      <c r="N39" s="5"/>
      <c r="O39" s="5"/>
      <c r="P39" s="5"/>
      <c r="Q39" s="5"/>
    </row>
    <row r="40" spans="2:17" x14ac:dyDescent="0.3">
      <c r="B40" s="2">
        <v>37</v>
      </c>
      <c r="C40" s="2">
        <v>5.5</v>
      </c>
      <c r="D40" s="2">
        <v>3.5</v>
      </c>
      <c r="E40" s="2">
        <v>1.3</v>
      </c>
      <c r="F40" s="2">
        <v>0.2</v>
      </c>
      <c r="G40" s="2" t="s">
        <v>27</v>
      </c>
      <c r="H40" s="2">
        <f t="shared" si="0"/>
        <v>1</v>
      </c>
      <c r="I40" s="2">
        <f t="shared" si="1"/>
        <v>0</v>
      </c>
      <c r="J40" s="2">
        <f t="shared" si="2"/>
        <v>0</v>
      </c>
      <c r="K40" s="5"/>
      <c r="L40" s="5"/>
      <c r="M40" s="5"/>
      <c r="N40" s="5"/>
      <c r="O40" s="5"/>
      <c r="P40" s="5"/>
      <c r="Q40" s="5"/>
    </row>
    <row r="41" spans="2:17" x14ac:dyDescent="0.3">
      <c r="B41" s="2">
        <v>38</v>
      </c>
      <c r="C41" s="2">
        <v>4.9000000000000004</v>
      </c>
      <c r="D41" s="2">
        <v>3.1</v>
      </c>
      <c r="E41" s="2">
        <v>1.5</v>
      </c>
      <c r="F41" s="2">
        <v>0.1</v>
      </c>
      <c r="G41" s="2" t="s">
        <v>27</v>
      </c>
      <c r="H41" s="2">
        <f t="shared" si="0"/>
        <v>1</v>
      </c>
      <c r="I41" s="2">
        <f t="shared" si="1"/>
        <v>0</v>
      </c>
      <c r="J41" s="2">
        <f t="shared" si="2"/>
        <v>0</v>
      </c>
      <c r="K41" s="5"/>
      <c r="L41" s="5"/>
      <c r="M41" s="5"/>
      <c r="N41" s="5"/>
      <c r="O41" s="5"/>
      <c r="P41" s="5"/>
      <c r="Q41" s="5"/>
    </row>
    <row r="42" spans="2:17" x14ac:dyDescent="0.3">
      <c r="B42" s="2">
        <v>39</v>
      </c>
      <c r="C42" s="2">
        <v>4.4000000000000004</v>
      </c>
      <c r="D42" s="2">
        <v>3</v>
      </c>
      <c r="E42" s="2">
        <v>1.3</v>
      </c>
      <c r="F42" s="2">
        <v>0.2</v>
      </c>
      <c r="G42" s="2" t="s">
        <v>27</v>
      </c>
      <c r="H42" s="2">
        <f t="shared" si="0"/>
        <v>1</v>
      </c>
      <c r="I42" s="2">
        <f t="shared" si="1"/>
        <v>0</v>
      </c>
      <c r="J42" s="2">
        <f t="shared" si="2"/>
        <v>0</v>
      </c>
      <c r="K42" s="5"/>
      <c r="L42" s="5"/>
      <c r="M42" s="5"/>
      <c r="N42" s="5"/>
      <c r="O42" s="5"/>
      <c r="P42" s="5"/>
      <c r="Q42" s="5"/>
    </row>
    <row r="43" spans="2:17" x14ac:dyDescent="0.3">
      <c r="B43" s="2">
        <v>40</v>
      </c>
      <c r="C43" s="2">
        <v>5.0999999999999996</v>
      </c>
      <c r="D43" s="2">
        <v>3.4</v>
      </c>
      <c r="E43" s="2">
        <v>1.5</v>
      </c>
      <c r="F43" s="2">
        <v>0.2</v>
      </c>
      <c r="G43" s="2" t="s">
        <v>27</v>
      </c>
      <c r="H43" s="2">
        <f t="shared" si="0"/>
        <v>1</v>
      </c>
      <c r="I43" s="2">
        <f t="shared" si="1"/>
        <v>0</v>
      </c>
      <c r="J43" s="2">
        <f t="shared" si="2"/>
        <v>0</v>
      </c>
      <c r="K43" s="5"/>
      <c r="L43" s="5"/>
      <c r="M43" s="5"/>
      <c r="N43" s="5"/>
      <c r="O43" s="5"/>
      <c r="P43" s="5"/>
      <c r="Q43" s="5"/>
    </row>
    <row r="44" spans="2:17" x14ac:dyDescent="0.3">
      <c r="B44" s="2">
        <v>41</v>
      </c>
      <c r="C44" s="2">
        <v>5</v>
      </c>
      <c r="D44" s="2">
        <v>3.5</v>
      </c>
      <c r="E44" s="2">
        <v>1.3</v>
      </c>
      <c r="F44" s="2">
        <v>0.3</v>
      </c>
      <c r="G44" s="2" t="s">
        <v>27</v>
      </c>
      <c r="H44" s="2">
        <f t="shared" si="0"/>
        <v>1</v>
      </c>
      <c r="I44" s="2">
        <f t="shared" si="1"/>
        <v>0</v>
      </c>
      <c r="J44" s="2">
        <f t="shared" si="2"/>
        <v>0</v>
      </c>
      <c r="K44" s="5"/>
      <c r="L44" s="5"/>
      <c r="M44" s="5"/>
      <c r="N44" s="5"/>
      <c r="O44" s="5"/>
      <c r="P44" s="5"/>
      <c r="Q44" s="5"/>
    </row>
    <row r="45" spans="2:17" x14ac:dyDescent="0.3">
      <c r="B45" s="2">
        <v>42</v>
      </c>
      <c r="C45" s="2">
        <v>4.5</v>
      </c>
      <c r="D45" s="2">
        <v>2.2999999999999998</v>
      </c>
      <c r="E45" s="2">
        <v>1.3</v>
      </c>
      <c r="F45" s="2">
        <v>0.3</v>
      </c>
      <c r="G45" s="2" t="s">
        <v>27</v>
      </c>
      <c r="H45" s="2">
        <f t="shared" si="0"/>
        <v>1</v>
      </c>
      <c r="I45" s="2">
        <f t="shared" si="1"/>
        <v>0</v>
      </c>
      <c r="J45" s="2">
        <f t="shared" si="2"/>
        <v>0</v>
      </c>
      <c r="K45" s="5"/>
      <c r="L45" s="5"/>
      <c r="M45" s="5"/>
      <c r="N45" s="5"/>
      <c r="O45" s="5"/>
      <c r="P45" s="5"/>
      <c r="Q45" s="5"/>
    </row>
    <row r="46" spans="2:17" x14ac:dyDescent="0.3">
      <c r="B46" s="2">
        <v>43</v>
      </c>
      <c r="C46" s="2">
        <v>4.4000000000000004</v>
      </c>
      <c r="D46" s="2">
        <v>3.2</v>
      </c>
      <c r="E46" s="2">
        <v>1.3</v>
      </c>
      <c r="F46" s="2">
        <v>0.2</v>
      </c>
      <c r="G46" s="2" t="s">
        <v>27</v>
      </c>
      <c r="H46" s="2">
        <f t="shared" si="0"/>
        <v>1</v>
      </c>
      <c r="I46" s="2">
        <f t="shared" si="1"/>
        <v>0</v>
      </c>
      <c r="J46" s="2">
        <f t="shared" si="2"/>
        <v>0</v>
      </c>
      <c r="K46" s="5"/>
      <c r="L46" s="5"/>
      <c r="M46" s="5"/>
      <c r="N46" s="5"/>
      <c r="O46" s="5"/>
      <c r="P46" s="5"/>
      <c r="Q46" s="5"/>
    </row>
    <row r="47" spans="2:17" x14ac:dyDescent="0.3">
      <c r="B47" s="2">
        <v>44</v>
      </c>
      <c r="C47" s="2">
        <v>5</v>
      </c>
      <c r="D47" s="2">
        <v>3.5</v>
      </c>
      <c r="E47" s="2">
        <v>1.6</v>
      </c>
      <c r="F47" s="2">
        <v>0.6</v>
      </c>
      <c r="G47" s="2" t="s">
        <v>27</v>
      </c>
      <c r="H47" s="2">
        <f t="shared" si="0"/>
        <v>1</v>
      </c>
      <c r="I47" s="2">
        <f t="shared" si="1"/>
        <v>0</v>
      </c>
      <c r="J47" s="2">
        <f t="shared" si="2"/>
        <v>0</v>
      </c>
      <c r="K47" s="5"/>
      <c r="L47" s="5"/>
      <c r="M47" s="5"/>
      <c r="N47" s="5"/>
      <c r="O47" s="5"/>
      <c r="P47" s="5"/>
      <c r="Q47" s="5"/>
    </row>
    <row r="48" spans="2:17" x14ac:dyDescent="0.3">
      <c r="B48" s="2">
        <v>45</v>
      </c>
      <c r="C48" s="2">
        <v>5.0999999999999996</v>
      </c>
      <c r="D48" s="2">
        <v>3.8</v>
      </c>
      <c r="E48" s="2">
        <v>1.9</v>
      </c>
      <c r="F48" s="2">
        <v>0.4</v>
      </c>
      <c r="G48" s="2" t="s">
        <v>27</v>
      </c>
      <c r="H48" s="2">
        <f t="shared" si="0"/>
        <v>1</v>
      </c>
      <c r="I48" s="2">
        <f t="shared" si="1"/>
        <v>0</v>
      </c>
      <c r="J48" s="2">
        <f t="shared" si="2"/>
        <v>0</v>
      </c>
      <c r="K48" s="5"/>
      <c r="L48" s="5"/>
      <c r="M48" s="5"/>
      <c r="N48" s="5"/>
      <c r="O48" s="5"/>
      <c r="P48" s="5"/>
      <c r="Q48" s="5"/>
    </row>
    <row r="49" spans="2:17" x14ac:dyDescent="0.3">
      <c r="B49" s="2">
        <v>46</v>
      </c>
      <c r="C49" s="2">
        <v>4.8</v>
      </c>
      <c r="D49" s="2">
        <v>3</v>
      </c>
      <c r="E49" s="2">
        <v>1.4</v>
      </c>
      <c r="F49" s="2">
        <v>0.3</v>
      </c>
      <c r="G49" s="2" t="s">
        <v>27</v>
      </c>
      <c r="H49" s="2">
        <f t="shared" si="0"/>
        <v>1</v>
      </c>
      <c r="I49" s="2">
        <f t="shared" si="1"/>
        <v>0</v>
      </c>
      <c r="J49" s="2">
        <f t="shared" si="2"/>
        <v>0</v>
      </c>
      <c r="K49" s="5"/>
      <c r="L49" s="5"/>
      <c r="M49" s="5"/>
      <c r="N49" s="5"/>
      <c r="O49" s="5"/>
      <c r="P49" s="5"/>
      <c r="Q49" s="5"/>
    </row>
    <row r="50" spans="2:17" x14ac:dyDescent="0.3">
      <c r="B50" s="2">
        <v>47</v>
      </c>
      <c r="C50" s="2">
        <v>5.0999999999999996</v>
      </c>
      <c r="D50" s="2">
        <v>3.8</v>
      </c>
      <c r="E50" s="2">
        <v>1.6</v>
      </c>
      <c r="F50" s="2">
        <v>0.2</v>
      </c>
      <c r="G50" s="2" t="s">
        <v>27</v>
      </c>
      <c r="H50" s="2">
        <f t="shared" si="0"/>
        <v>1</v>
      </c>
      <c r="I50" s="2">
        <f t="shared" si="1"/>
        <v>0</v>
      </c>
      <c r="J50" s="2">
        <f t="shared" si="2"/>
        <v>0</v>
      </c>
      <c r="K50" s="5"/>
      <c r="L50" s="5"/>
      <c r="M50" s="5"/>
      <c r="N50" s="5"/>
      <c r="O50" s="5"/>
      <c r="P50" s="5"/>
      <c r="Q50" s="5"/>
    </row>
    <row r="51" spans="2:17" x14ac:dyDescent="0.3">
      <c r="B51" s="2">
        <v>48</v>
      </c>
      <c r="C51" s="2">
        <v>4.5999999999999996</v>
      </c>
      <c r="D51" s="2">
        <v>3.2</v>
      </c>
      <c r="E51" s="2">
        <v>1.4</v>
      </c>
      <c r="F51" s="2">
        <v>0.2</v>
      </c>
      <c r="G51" s="2" t="s">
        <v>27</v>
      </c>
      <c r="H51" s="2">
        <f t="shared" si="0"/>
        <v>1</v>
      </c>
      <c r="I51" s="2">
        <f t="shared" si="1"/>
        <v>0</v>
      </c>
      <c r="J51" s="2">
        <f t="shared" si="2"/>
        <v>0</v>
      </c>
      <c r="K51" s="5"/>
      <c r="L51" s="5"/>
      <c r="M51" s="5"/>
      <c r="N51" s="5"/>
      <c r="O51" s="5"/>
      <c r="P51" s="5"/>
      <c r="Q51" s="5"/>
    </row>
    <row r="52" spans="2:17" x14ac:dyDescent="0.3">
      <c r="B52" s="2">
        <v>49</v>
      </c>
      <c r="C52" s="2">
        <v>5.3</v>
      </c>
      <c r="D52" s="2">
        <v>3.7</v>
      </c>
      <c r="E52" s="2">
        <v>1.5</v>
      </c>
      <c r="F52" s="2">
        <v>0.2</v>
      </c>
      <c r="G52" s="2" t="s">
        <v>27</v>
      </c>
      <c r="H52" s="2">
        <f t="shared" si="0"/>
        <v>1</v>
      </c>
      <c r="I52" s="2">
        <f t="shared" si="1"/>
        <v>0</v>
      </c>
      <c r="J52" s="2">
        <f t="shared" si="2"/>
        <v>0</v>
      </c>
      <c r="K52" s="5"/>
      <c r="L52" s="5"/>
      <c r="M52" s="5"/>
      <c r="N52" s="5"/>
      <c r="O52" s="5"/>
      <c r="P52" s="5"/>
      <c r="Q52" s="5"/>
    </row>
    <row r="53" spans="2:17" x14ac:dyDescent="0.3">
      <c r="B53" s="2">
        <v>50</v>
      </c>
      <c r="C53" s="2">
        <v>5</v>
      </c>
      <c r="D53" s="2">
        <v>3.3</v>
      </c>
      <c r="E53" s="2">
        <v>1.4</v>
      </c>
      <c r="F53" s="2">
        <v>0.2</v>
      </c>
      <c r="G53" s="2" t="s">
        <v>27</v>
      </c>
      <c r="H53" s="2">
        <f t="shared" si="0"/>
        <v>1</v>
      </c>
      <c r="I53" s="2">
        <f t="shared" si="1"/>
        <v>0</v>
      </c>
      <c r="J53" s="2">
        <f t="shared" si="2"/>
        <v>0</v>
      </c>
      <c r="K53" s="5"/>
      <c r="L53" s="5"/>
      <c r="M53" s="5"/>
      <c r="N53" s="5"/>
      <c r="O53" s="5"/>
      <c r="P53" s="5"/>
      <c r="Q53" s="5"/>
    </row>
    <row r="54" spans="2:17" x14ac:dyDescent="0.3">
      <c r="B54" s="2">
        <v>51</v>
      </c>
      <c r="C54" s="2">
        <v>7</v>
      </c>
      <c r="D54" s="2">
        <v>3.2</v>
      </c>
      <c r="E54" s="2">
        <v>4.7</v>
      </c>
      <c r="F54" s="2">
        <v>1.4</v>
      </c>
      <c r="G54" s="2" t="s">
        <v>28</v>
      </c>
      <c r="H54" s="2">
        <f t="shared" si="0"/>
        <v>0</v>
      </c>
      <c r="I54" s="2">
        <f t="shared" si="1"/>
        <v>1</v>
      </c>
      <c r="J54" s="2">
        <f t="shared" si="2"/>
        <v>0</v>
      </c>
      <c r="K54" s="5"/>
      <c r="L54" s="5"/>
      <c r="M54" s="5"/>
      <c r="N54" s="5"/>
      <c r="O54" s="5"/>
      <c r="P54" s="5"/>
      <c r="Q54" s="5"/>
    </row>
    <row r="55" spans="2:17" x14ac:dyDescent="0.3">
      <c r="B55" s="2">
        <v>52</v>
      </c>
      <c r="C55" s="2">
        <v>6.4</v>
      </c>
      <c r="D55" s="2">
        <v>3.2</v>
      </c>
      <c r="E55" s="2">
        <v>4.5</v>
      </c>
      <c r="F55" s="2">
        <v>1.5</v>
      </c>
      <c r="G55" s="2" t="s">
        <v>28</v>
      </c>
      <c r="H55" s="2">
        <f t="shared" si="0"/>
        <v>0</v>
      </c>
      <c r="I55" s="2">
        <f t="shared" si="1"/>
        <v>1</v>
      </c>
      <c r="J55" s="2">
        <f t="shared" si="2"/>
        <v>0</v>
      </c>
      <c r="K55" s="5"/>
      <c r="L55" s="5"/>
      <c r="M55" s="5"/>
      <c r="N55" s="5"/>
      <c r="O55" s="5"/>
      <c r="P55" s="5"/>
      <c r="Q55" s="5"/>
    </row>
    <row r="56" spans="2:17" x14ac:dyDescent="0.3">
      <c r="B56" s="2">
        <v>53</v>
      </c>
      <c r="C56" s="2">
        <v>6.9</v>
      </c>
      <c r="D56" s="2">
        <v>3.1</v>
      </c>
      <c r="E56" s="2">
        <v>4.9000000000000004</v>
      </c>
      <c r="F56" s="2">
        <v>1.5</v>
      </c>
      <c r="G56" s="2" t="s">
        <v>28</v>
      </c>
      <c r="H56" s="2">
        <f t="shared" si="0"/>
        <v>0</v>
      </c>
      <c r="I56" s="2">
        <f t="shared" si="1"/>
        <v>1</v>
      </c>
      <c r="J56" s="2">
        <f t="shared" si="2"/>
        <v>0</v>
      </c>
      <c r="K56" s="5"/>
      <c r="L56" s="5"/>
      <c r="M56" s="5"/>
      <c r="N56" s="5"/>
      <c r="O56" s="5"/>
      <c r="P56" s="5"/>
      <c r="Q56" s="5"/>
    </row>
    <row r="57" spans="2:17" x14ac:dyDescent="0.3">
      <c r="B57" s="2">
        <v>54</v>
      </c>
      <c r="C57" s="2">
        <v>5.5</v>
      </c>
      <c r="D57" s="2">
        <v>2.2999999999999998</v>
      </c>
      <c r="E57" s="2">
        <v>4</v>
      </c>
      <c r="F57" s="2">
        <v>1.3</v>
      </c>
      <c r="G57" s="2" t="s">
        <v>28</v>
      </c>
      <c r="H57" s="2">
        <f t="shared" si="0"/>
        <v>0</v>
      </c>
      <c r="I57" s="2">
        <f t="shared" si="1"/>
        <v>1</v>
      </c>
      <c r="J57" s="2">
        <f t="shared" si="2"/>
        <v>0</v>
      </c>
      <c r="K57" s="5"/>
      <c r="L57" s="5"/>
      <c r="M57" s="5"/>
      <c r="N57" s="5"/>
      <c r="O57" s="5"/>
      <c r="P57" s="5"/>
      <c r="Q57" s="5"/>
    </row>
    <row r="58" spans="2:17" x14ac:dyDescent="0.3">
      <c r="B58" s="2">
        <v>55</v>
      </c>
      <c r="C58" s="2">
        <v>6.5</v>
      </c>
      <c r="D58" s="2">
        <v>2.8</v>
      </c>
      <c r="E58" s="2">
        <v>4.5999999999999996</v>
      </c>
      <c r="F58" s="2">
        <v>1.5</v>
      </c>
      <c r="G58" s="2" t="s">
        <v>28</v>
      </c>
      <c r="H58" s="2">
        <f t="shared" si="0"/>
        <v>0</v>
      </c>
      <c r="I58" s="2">
        <f t="shared" si="1"/>
        <v>1</v>
      </c>
      <c r="J58" s="2">
        <f t="shared" si="2"/>
        <v>0</v>
      </c>
      <c r="K58" s="5"/>
      <c r="L58" s="5"/>
      <c r="M58" s="5"/>
      <c r="N58" s="5"/>
      <c r="O58" s="5"/>
      <c r="P58" s="5"/>
      <c r="Q58" s="5"/>
    </row>
    <row r="59" spans="2:17" x14ac:dyDescent="0.3">
      <c r="B59" s="2">
        <v>56</v>
      </c>
      <c r="C59" s="2">
        <v>5.7</v>
      </c>
      <c r="D59" s="2">
        <v>2.8</v>
      </c>
      <c r="E59" s="2">
        <v>4.5</v>
      </c>
      <c r="F59" s="2">
        <v>1.3</v>
      </c>
      <c r="G59" s="2" t="s">
        <v>28</v>
      </c>
      <c r="H59" s="2">
        <f t="shared" si="0"/>
        <v>0</v>
      </c>
      <c r="I59" s="2">
        <f t="shared" si="1"/>
        <v>1</v>
      </c>
      <c r="J59" s="2">
        <f t="shared" si="2"/>
        <v>0</v>
      </c>
      <c r="K59" s="5"/>
      <c r="L59" s="5"/>
      <c r="M59" s="5"/>
      <c r="N59" s="5"/>
      <c r="O59" s="5"/>
      <c r="P59" s="5"/>
      <c r="Q59" s="5"/>
    </row>
    <row r="60" spans="2:17" x14ac:dyDescent="0.3">
      <c r="B60" s="2">
        <v>57</v>
      </c>
      <c r="C60" s="2">
        <v>6.3</v>
      </c>
      <c r="D60" s="2">
        <v>3.3</v>
      </c>
      <c r="E60" s="2">
        <v>4.7</v>
      </c>
      <c r="F60" s="2">
        <v>1.6</v>
      </c>
      <c r="G60" s="2" t="s">
        <v>28</v>
      </c>
      <c r="H60" s="2">
        <f t="shared" si="0"/>
        <v>0</v>
      </c>
      <c r="I60" s="2">
        <f t="shared" si="1"/>
        <v>1</v>
      </c>
      <c r="J60" s="2">
        <f t="shared" si="2"/>
        <v>0</v>
      </c>
      <c r="K60" s="5"/>
      <c r="L60" s="5"/>
      <c r="M60" s="5"/>
      <c r="N60" s="5"/>
      <c r="O60" s="5"/>
      <c r="P60" s="5"/>
      <c r="Q60" s="5"/>
    </row>
    <row r="61" spans="2:17" x14ac:dyDescent="0.3">
      <c r="B61" s="2">
        <v>58</v>
      </c>
      <c r="C61" s="2">
        <v>4.9000000000000004</v>
      </c>
      <c r="D61" s="2">
        <v>2.4</v>
      </c>
      <c r="E61" s="2">
        <v>3.3</v>
      </c>
      <c r="F61" s="2">
        <v>1</v>
      </c>
      <c r="G61" s="2" t="s">
        <v>28</v>
      </c>
      <c r="H61" s="2">
        <f t="shared" si="0"/>
        <v>0</v>
      </c>
      <c r="I61" s="2">
        <f t="shared" si="1"/>
        <v>1</v>
      </c>
      <c r="J61" s="2">
        <f t="shared" si="2"/>
        <v>0</v>
      </c>
      <c r="K61" s="5"/>
      <c r="L61" s="5"/>
      <c r="M61" s="5"/>
      <c r="N61" s="5"/>
      <c r="O61" s="5"/>
      <c r="P61" s="5"/>
      <c r="Q61" s="5"/>
    </row>
    <row r="62" spans="2:17" x14ac:dyDescent="0.3">
      <c r="B62" s="2">
        <v>59</v>
      </c>
      <c r="C62" s="2">
        <v>6.6</v>
      </c>
      <c r="D62" s="2">
        <v>2.9</v>
      </c>
      <c r="E62" s="2">
        <v>4.5999999999999996</v>
      </c>
      <c r="F62" s="2">
        <v>1.3</v>
      </c>
      <c r="G62" s="2" t="s">
        <v>28</v>
      </c>
      <c r="H62" s="2">
        <f t="shared" si="0"/>
        <v>0</v>
      </c>
      <c r="I62" s="2">
        <f t="shared" si="1"/>
        <v>1</v>
      </c>
      <c r="J62" s="2">
        <f t="shared" si="2"/>
        <v>0</v>
      </c>
      <c r="K62" s="5"/>
      <c r="L62" s="5"/>
      <c r="M62" s="5"/>
      <c r="N62" s="5"/>
      <c r="O62" s="5"/>
      <c r="P62" s="5"/>
      <c r="Q62" s="5"/>
    </row>
    <row r="63" spans="2:17" x14ac:dyDescent="0.3">
      <c r="B63" s="2">
        <v>60</v>
      </c>
      <c r="C63" s="2">
        <v>5.2</v>
      </c>
      <c r="D63" s="2">
        <v>2.7</v>
      </c>
      <c r="E63" s="2">
        <v>3.9</v>
      </c>
      <c r="F63" s="2">
        <v>1.4</v>
      </c>
      <c r="G63" s="2" t="s">
        <v>28</v>
      </c>
      <c r="H63" s="2">
        <f t="shared" si="0"/>
        <v>0</v>
      </c>
      <c r="I63" s="2">
        <f t="shared" si="1"/>
        <v>1</v>
      </c>
      <c r="J63" s="2">
        <f t="shared" si="2"/>
        <v>0</v>
      </c>
      <c r="K63" s="5"/>
      <c r="L63" s="5"/>
      <c r="M63" s="5"/>
      <c r="N63" s="5"/>
      <c r="O63" s="5"/>
      <c r="P63" s="5"/>
      <c r="Q63" s="5"/>
    </row>
    <row r="64" spans="2:17" x14ac:dyDescent="0.3">
      <c r="B64" s="2">
        <v>61</v>
      </c>
      <c r="C64" s="2">
        <v>5</v>
      </c>
      <c r="D64" s="2">
        <v>2</v>
      </c>
      <c r="E64" s="2">
        <v>3.5</v>
      </c>
      <c r="F64" s="2">
        <v>1</v>
      </c>
      <c r="G64" s="2" t="s">
        <v>28</v>
      </c>
      <c r="H64" s="2">
        <f t="shared" si="0"/>
        <v>0</v>
      </c>
      <c r="I64" s="2">
        <f t="shared" si="1"/>
        <v>1</v>
      </c>
      <c r="J64" s="2">
        <f t="shared" si="2"/>
        <v>0</v>
      </c>
      <c r="K64" s="5"/>
      <c r="L64" s="5"/>
      <c r="M64" s="5"/>
      <c r="N64" s="5"/>
      <c r="O64" s="5"/>
      <c r="P64" s="5"/>
      <c r="Q64" s="5"/>
    </row>
    <row r="65" spans="2:17" x14ac:dyDescent="0.3">
      <c r="B65" s="2">
        <v>62</v>
      </c>
      <c r="C65" s="2">
        <v>5.9</v>
      </c>
      <c r="D65" s="2">
        <v>3</v>
      </c>
      <c r="E65" s="2">
        <v>4.2</v>
      </c>
      <c r="F65" s="2">
        <v>1.5</v>
      </c>
      <c r="G65" s="2" t="s">
        <v>28</v>
      </c>
      <c r="H65" s="2">
        <f t="shared" si="0"/>
        <v>0</v>
      </c>
      <c r="I65" s="2">
        <f t="shared" si="1"/>
        <v>1</v>
      </c>
      <c r="J65" s="2">
        <f t="shared" si="2"/>
        <v>0</v>
      </c>
      <c r="K65" s="5"/>
      <c r="L65" s="5"/>
      <c r="M65" s="5"/>
      <c r="N65" s="5"/>
      <c r="O65" s="5"/>
      <c r="P65" s="5"/>
      <c r="Q65" s="5"/>
    </row>
    <row r="66" spans="2:17" x14ac:dyDescent="0.3">
      <c r="B66" s="2">
        <v>63</v>
      </c>
      <c r="C66" s="2">
        <v>6</v>
      </c>
      <c r="D66" s="2">
        <v>2.2000000000000002</v>
      </c>
      <c r="E66" s="2">
        <v>4</v>
      </c>
      <c r="F66" s="2">
        <v>1</v>
      </c>
      <c r="G66" s="2" t="s">
        <v>28</v>
      </c>
      <c r="H66" s="2">
        <f t="shared" si="0"/>
        <v>0</v>
      </c>
      <c r="I66" s="2">
        <f t="shared" si="1"/>
        <v>1</v>
      </c>
      <c r="J66" s="2">
        <f t="shared" si="2"/>
        <v>0</v>
      </c>
      <c r="K66" s="5"/>
      <c r="L66" s="5"/>
      <c r="M66" s="5"/>
      <c r="N66" s="5"/>
      <c r="O66" s="5"/>
      <c r="P66" s="5"/>
      <c r="Q66" s="5"/>
    </row>
    <row r="67" spans="2:17" x14ac:dyDescent="0.3">
      <c r="B67" s="2">
        <v>64</v>
      </c>
      <c r="C67" s="2">
        <v>6.1</v>
      </c>
      <c r="D67" s="2">
        <v>2.9</v>
      </c>
      <c r="E67" s="2">
        <v>4.7</v>
      </c>
      <c r="F67" s="2">
        <v>1.4</v>
      </c>
      <c r="G67" s="2" t="s">
        <v>28</v>
      </c>
      <c r="H67" s="2">
        <f t="shared" si="0"/>
        <v>0</v>
      </c>
      <c r="I67" s="2">
        <f t="shared" si="1"/>
        <v>1</v>
      </c>
      <c r="J67" s="2">
        <f t="shared" si="2"/>
        <v>0</v>
      </c>
      <c r="K67" s="5"/>
      <c r="L67" s="5"/>
      <c r="M67" s="5"/>
      <c r="N67" s="5"/>
      <c r="O67" s="5"/>
      <c r="P67" s="5"/>
      <c r="Q67" s="5"/>
    </row>
    <row r="68" spans="2:17" x14ac:dyDescent="0.3">
      <c r="B68" s="2">
        <v>65</v>
      </c>
      <c r="C68" s="2">
        <v>5.6</v>
      </c>
      <c r="D68" s="2">
        <v>2.9</v>
      </c>
      <c r="E68" s="2">
        <v>3.6</v>
      </c>
      <c r="F68" s="2">
        <v>1.3</v>
      </c>
      <c r="G68" s="2" t="s">
        <v>28</v>
      </c>
      <c r="H68" s="2">
        <f t="shared" si="0"/>
        <v>0</v>
      </c>
      <c r="I68" s="2">
        <f t="shared" si="1"/>
        <v>1</v>
      </c>
      <c r="J68" s="2">
        <f t="shared" si="2"/>
        <v>0</v>
      </c>
      <c r="K68" s="5"/>
      <c r="L68" s="5"/>
      <c r="M68" s="5"/>
      <c r="N68" s="5"/>
      <c r="O68" s="5"/>
      <c r="P68" s="5"/>
      <c r="Q68" s="5"/>
    </row>
    <row r="69" spans="2:17" x14ac:dyDescent="0.3">
      <c r="B69" s="2">
        <v>66</v>
      </c>
      <c r="C69" s="2">
        <v>6.7</v>
      </c>
      <c r="D69" s="2">
        <v>3.1</v>
      </c>
      <c r="E69" s="2">
        <v>4.4000000000000004</v>
      </c>
      <c r="F69" s="2">
        <v>1.4</v>
      </c>
      <c r="G69" s="2" t="s">
        <v>28</v>
      </c>
      <c r="H69" s="2">
        <f t="shared" ref="H69:H132" si="3">IF(G69="Iris-setosa",1,0)</f>
        <v>0</v>
      </c>
      <c r="I69" s="2">
        <f t="shared" ref="I69:I132" si="4">IF(G69="Iris-versicolor",1,0)</f>
        <v>1</v>
      </c>
      <c r="J69" s="2">
        <f t="shared" ref="J69:J132" si="5">IF(G69="Iris-virginica",1,0)</f>
        <v>0</v>
      </c>
      <c r="K69" s="5"/>
      <c r="L69" s="5"/>
      <c r="M69" s="5"/>
      <c r="N69" s="5"/>
      <c r="O69" s="5"/>
      <c r="P69" s="5"/>
      <c r="Q69" s="5"/>
    </row>
    <row r="70" spans="2:17" x14ac:dyDescent="0.3">
      <c r="B70" s="2">
        <v>67</v>
      </c>
      <c r="C70" s="2">
        <v>5.6</v>
      </c>
      <c r="D70" s="2">
        <v>3</v>
      </c>
      <c r="E70" s="2">
        <v>4.5</v>
      </c>
      <c r="F70" s="2">
        <v>1.5</v>
      </c>
      <c r="G70" s="2" t="s">
        <v>28</v>
      </c>
      <c r="H70" s="2">
        <f t="shared" si="3"/>
        <v>0</v>
      </c>
      <c r="I70" s="2">
        <f t="shared" si="4"/>
        <v>1</v>
      </c>
      <c r="J70" s="2">
        <f t="shared" si="5"/>
        <v>0</v>
      </c>
      <c r="K70" s="5"/>
      <c r="L70" s="5"/>
      <c r="M70" s="5"/>
      <c r="N70" s="5"/>
      <c r="O70" s="5"/>
      <c r="P70" s="5"/>
      <c r="Q70" s="5"/>
    </row>
    <row r="71" spans="2:17" x14ac:dyDescent="0.3">
      <c r="B71" s="2">
        <v>68</v>
      </c>
      <c r="C71" s="2">
        <v>5.8</v>
      </c>
      <c r="D71" s="2">
        <v>2.7</v>
      </c>
      <c r="E71" s="2">
        <v>4.0999999999999996</v>
      </c>
      <c r="F71" s="2">
        <v>1</v>
      </c>
      <c r="G71" s="2" t="s">
        <v>28</v>
      </c>
      <c r="H71" s="2">
        <f t="shared" si="3"/>
        <v>0</v>
      </c>
      <c r="I71" s="2">
        <f t="shared" si="4"/>
        <v>1</v>
      </c>
      <c r="J71" s="2">
        <f t="shared" si="5"/>
        <v>0</v>
      </c>
      <c r="K71" s="5"/>
      <c r="L71" s="5"/>
      <c r="M71" s="5"/>
      <c r="N71" s="5"/>
      <c r="O71" s="5"/>
      <c r="P71" s="5"/>
      <c r="Q71" s="5"/>
    </row>
    <row r="72" spans="2:17" x14ac:dyDescent="0.3">
      <c r="B72" s="2">
        <v>69</v>
      </c>
      <c r="C72" s="2">
        <v>6.2</v>
      </c>
      <c r="D72" s="2">
        <v>2.2000000000000002</v>
      </c>
      <c r="E72" s="2">
        <v>4.5</v>
      </c>
      <c r="F72" s="2">
        <v>1.5</v>
      </c>
      <c r="G72" s="2" t="s">
        <v>28</v>
      </c>
      <c r="H72" s="2">
        <f t="shared" si="3"/>
        <v>0</v>
      </c>
      <c r="I72" s="2">
        <f t="shared" si="4"/>
        <v>1</v>
      </c>
      <c r="J72" s="2">
        <f t="shared" si="5"/>
        <v>0</v>
      </c>
      <c r="K72" s="5"/>
      <c r="L72" s="5"/>
      <c r="M72" s="5"/>
      <c r="N72" s="5"/>
      <c r="O72" s="5"/>
      <c r="P72" s="5"/>
      <c r="Q72" s="5"/>
    </row>
    <row r="73" spans="2:17" x14ac:dyDescent="0.3">
      <c r="B73" s="2">
        <v>70</v>
      </c>
      <c r="C73" s="2">
        <v>5.6</v>
      </c>
      <c r="D73" s="2">
        <v>2.5</v>
      </c>
      <c r="E73" s="2">
        <v>3.9</v>
      </c>
      <c r="F73" s="2">
        <v>1.1000000000000001</v>
      </c>
      <c r="G73" s="2" t="s">
        <v>28</v>
      </c>
      <c r="H73" s="2">
        <f t="shared" si="3"/>
        <v>0</v>
      </c>
      <c r="I73" s="2">
        <f t="shared" si="4"/>
        <v>1</v>
      </c>
      <c r="J73" s="2">
        <f t="shared" si="5"/>
        <v>0</v>
      </c>
      <c r="K73" s="5"/>
      <c r="L73" s="5"/>
      <c r="M73" s="5"/>
      <c r="N73" s="5"/>
      <c r="O73" s="5"/>
      <c r="P73" s="5"/>
      <c r="Q73" s="5"/>
    </row>
    <row r="74" spans="2:17" x14ac:dyDescent="0.3">
      <c r="B74" s="2">
        <v>71</v>
      </c>
      <c r="C74" s="2">
        <v>5.9</v>
      </c>
      <c r="D74" s="2">
        <v>3.2</v>
      </c>
      <c r="E74" s="2">
        <v>4.8</v>
      </c>
      <c r="F74" s="2">
        <v>1.8</v>
      </c>
      <c r="G74" s="2" t="s">
        <v>28</v>
      </c>
      <c r="H74" s="2">
        <f t="shared" si="3"/>
        <v>0</v>
      </c>
      <c r="I74" s="2">
        <f t="shared" si="4"/>
        <v>1</v>
      </c>
      <c r="J74" s="2">
        <f t="shared" si="5"/>
        <v>0</v>
      </c>
      <c r="K74" s="5"/>
      <c r="L74" s="5"/>
      <c r="M74" s="5"/>
      <c r="N74" s="5"/>
      <c r="O74" s="5"/>
      <c r="P74" s="5"/>
      <c r="Q74" s="5"/>
    </row>
    <row r="75" spans="2:17" x14ac:dyDescent="0.3">
      <c r="B75" s="2">
        <v>72</v>
      </c>
      <c r="C75" s="2">
        <v>6.1</v>
      </c>
      <c r="D75" s="2">
        <v>2.8</v>
      </c>
      <c r="E75" s="2">
        <v>4</v>
      </c>
      <c r="F75" s="2">
        <v>1.3</v>
      </c>
      <c r="G75" s="2" t="s">
        <v>28</v>
      </c>
      <c r="H75" s="2">
        <f t="shared" si="3"/>
        <v>0</v>
      </c>
      <c r="I75" s="2">
        <f t="shared" si="4"/>
        <v>1</v>
      </c>
      <c r="J75" s="2">
        <f t="shared" si="5"/>
        <v>0</v>
      </c>
      <c r="K75" s="5"/>
      <c r="L75" s="5"/>
      <c r="M75" s="5"/>
      <c r="N75" s="5"/>
      <c r="O75" s="5"/>
      <c r="P75" s="5"/>
      <c r="Q75" s="5"/>
    </row>
    <row r="76" spans="2:17" x14ac:dyDescent="0.3">
      <c r="B76" s="2">
        <v>73</v>
      </c>
      <c r="C76" s="2">
        <v>6.3</v>
      </c>
      <c r="D76" s="2">
        <v>2.5</v>
      </c>
      <c r="E76" s="2">
        <v>4.9000000000000004</v>
      </c>
      <c r="F76" s="2">
        <v>1.5</v>
      </c>
      <c r="G76" s="2" t="s">
        <v>28</v>
      </c>
      <c r="H76" s="2">
        <f t="shared" si="3"/>
        <v>0</v>
      </c>
      <c r="I76" s="2">
        <f t="shared" si="4"/>
        <v>1</v>
      </c>
      <c r="J76" s="2">
        <f t="shared" si="5"/>
        <v>0</v>
      </c>
      <c r="K76" s="5"/>
      <c r="L76" s="5"/>
      <c r="M76" s="5"/>
      <c r="N76" s="5"/>
      <c r="O76" s="5"/>
      <c r="P76" s="5"/>
      <c r="Q76" s="5"/>
    </row>
    <row r="77" spans="2:17" x14ac:dyDescent="0.3">
      <c r="B77" s="2">
        <v>74</v>
      </c>
      <c r="C77" s="2">
        <v>6.1</v>
      </c>
      <c r="D77" s="2">
        <v>2.8</v>
      </c>
      <c r="E77" s="2">
        <v>4.7</v>
      </c>
      <c r="F77" s="2">
        <v>1.2</v>
      </c>
      <c r="G77" s="2" t="s">
        <v>28</v>
      </c>
      <c r="H77" s="2">
        <f t="shared" si="3"/>
        <v>0</v>
      </c>
      <c r="I77" s="2">
        <f t="shared" si="4"/>
        <v>1</v>
      </c>
      <c r="J77" s="2">
        <f t="shared" si="5"/>
        <v>0</v>
      </c>
      <c r="K77" s="5"/>
      <c r="L77" s="5"/>
      <c r="M77" s="5"/>
      <c r="N77" s="5"/>
      <c r="O77" s="5"/>
      <c r="P77" s="5"/>
      <c r="Q77" s="5"/>
    </row>
    <row r="78" spans="2:17" x14ac:dyDescent="0.3">
      <c r="B78" s="2">
        <v>75</v>
      </c>
      <c r="C78" s="2">
        <v>6.4</v>
      </c>
      <c r="D78" s="2">
        <v>2.9</v>
      </c>
      <c r="E78" s="2">
        <v>4.3</v>
      </c>
      <c r="F78" s="2">
        <v>1.3</v>
      </c>
      <c r="G78" s="2" t="s">
        <v>28</v>
      </c>
      <c r="H78" s="2">
        <f t="shared" si="3"/>
        <v>0</v>
      </c>
      <c r="I78" s="2">
        <f t="shared" si="4"/>
        <v>1</v>
      </c>
      <c r="J78" s="2">
        <f t="shared" si="5"/>
        <v>0</v>
      </c>
      <c r="K78" s="5"/>
      <c r="L78" s="5"/>
      <c r="M78" s="5"/>
      <c r="N78" s="5"/>
      <c r="O78" s="5"/>
      <c r="P78" s="5"/>
      <c r="Q78" s="5"/>
    </row>
    <row r="79" spans="2:17" x14ac:dyDescent="0.3">
      <c r="B79" s="2">
        <v>76</v>
      </c>
      <c r="C79" s="2">
        <v>6.6</v>
      </c>
      <c r="D79" s="2">
        <v>3</v>
      </c>
      <c r="E79" s="2">
        <v>4.4000000000000004</v>
      </c>
      <c r="F79" s="2">
        <v>1.4</v>
      </c>
      <c r="G79" s="2" t="s">
        <v>28</v>
      </c>
      <c r="H79" s="2">
        <f t="shared" si="3"/>
        <v>0</v>
      </c>
      <c r="I79" s="2">
        <f t="shared" si="4"/>
        <v>1</v>
      </c>
      <c r="J79" s="2">
        <f t="shared" si="5"/>
        <v>0</v>
      </c>
      <c r="K79" s="5"/>
      <c r="L79" s="5"/>
      <c r="M79" s="5"/>
      <c r="N79" s="5"/>
      <c r="O79" s="5"/>
      <c r="P79" s="5"/>
      <c r="Q79" s="5"/>
    </row>
    <row r="80" spans="2:17" x14ac:dyDescent="0.3">
      <c r="B80" s="2">
        <v>77</v>
      </c>
      <c r="C80" s="2">
        <v>6.8</v>
      </c>
      <c r="D80" s="2">
        <v>2.8</v>
      </c>
      <c r="E80" s="2">
        <v>4.8</v>
      </c>
      <c r="F80" s="2">
        <v>1.4</v>
      </c>
      <c r="G80" s="2" t="s">
        <v>28</v>
      </c>
      <c r="H80" s="2">
        <f t="shared" si="3"/>
        <v>0</v>
      </c>
      <c r="I80" s="2">
        <f t="shared" si="4"/>
        <v>1</v>
      </c>
      <c r="J80" s="2">
        <f t="shared" si="5"/>
        <v>0</v>
      </c>
      <c r="K80" s="5"/>
      <c r="L80" s="5"/>
      <c r="M80" s="5"/>
      <c r="N80" s="5"/>
      <c r="O80" s="5"/>
      <c r="P80" s="5"/>
      <c r="Q80" s="5"/>
    </row>
    <row r="81" spans="2:17" x14ac:dyDescent="0.3">
      <c r="B81" s="2">
        <v>78</v>
      </c>
      <c r="C81" s="2">
        <v>6.7</v>
      </c>
      <c r="D81" s="2">
        <v>3</v>
      </c>
      <c r="E81" s="2">
        <v>5</v>
      </c>
      <c r="F81" s="2">
        <v>1.7</v>
      </c>
      <c r="G81" s="2" t="s">
        <v>28</v>
      </c>
      <c r="H81" s="2">
        <f t="shared" si="3"/>
        <v>0</v>
      </c>
      <c r="I81" s="2">
        <f t="shared" si="4"/>
        <v>1</v>
      </c>
      <c r="J81" s="2">
        <f t="shared" si="5"/>
        <v>0</v>
      </c>
      <c r="K81" s="5"/>
      <c r="L81" s="5"/>
      <c r="M81" s="5"/>
      <c r="N81" s="5"/>
      <c r="O81" s="5"/>
      <c r="P81" s="5"/>
      <c r="Q81" s="5"/>
    </row>
    <row r="82" spans="2:17" x14ac:dyDescent="0.3">
      <c r="B82" s="2">
        <v>79</v>
      </c>
      <c r="C82" s="2">
        <v>6</v>
      </c>
      <c r="D82" s="2">
        <v>2.9</v>
      </c>
      <c r="E82" s="2">
        <v>4.5</v>
      </c>
      <c r="F82" s="2">
        <v>1.5</v>
      </c>
      <c r="G82" s="2" t="s">
        <v>28</v>
      </c>
      <c r="H82" s="2">
        <f t="shared" si="3"/>
        <v>0</v>
      </c>
      <c r="I82" s="2">
        <f t="shared" si="4"/>
        <v>1</v>
      </c>
      <c r="J82" s="2">
        <f t="shared" si="5"/>
        <v>0</v>
      </c>
      <c r="K82" s="5"/>
      <c r="L82" s="5"/>
      <c r="M82" s="5"/>
      <c r="N82" s="5"/>
      <c r="O82" s="5"/>
      <c r="P82" s="5"/>
      <c r="Q82" s="5"/>
    </row>
    <row r="83" spans="2:17" x14ac:dyDescent="0.3">
      <c r="B83" s="2">
        <v>80</v>
      </c>
      <c r="C83" s="2">
        <v>5.7</v>
      </c>
      <c r="D83" s="2">
        <v>2.6</v>
      </c>
      <c r="E83" s="2">
        <v>3.5</v>
      </c>
      <c r="F83" s="2">
        <v>1</v>
      </c>
      <c r="G83" s="2" t="s">
        <v>28</v>
      </c>
      <c r="H83" s="2">
        <f t="shared" si="3"/>
        <v>0</v>
      </c>
      <c r="I83" s="2">
        <f t="shared" si="4"/>
        <v>1</v>
      </c>
      <c r="J83" s="2">
        <f t="shared" si="5"/>
        <v>0</v>
      </c>
      <c r="K83" s="5"/>
      <c r="L83" s="5"/>
      <c r="M83" s="5"/>
      <c r="N83" s="5"/>
      <c r="O83" s="5"/>
      <c r="P83" s="5"/>
      <c r="Q83" s="5"/>
    </row>
    <row r="84" spans="2:17" x14ac:dyDescent="0.3">
      <c r="B84" s="2">
        <v>81</v>
      </c>
      <c r="C84" s="2">
        <v>5.5</v>
      </c>
      <c r="D84" s="2">
        <v>2.4</v>
      </c>
      <c r="E84" s="2">
        <v>3.8</v>
      </c>
      <c r="F84" s="2">
        <v>1.1000000000000001</v>
      </c>
      <c r="G84" s="2" t="s">
        <v>28</v>
      </c>
      <c r="H84" s="2">
        <f t="shared" si="3"/>
        <v>0</v>
      </c>
      <c r="I84" s="2">
        <f t="shared" si="4"/>
        <v>1</v>
      </c>
      <c r="J84" s="2">
        <f t="shared" si="5"/>
        <v>0</v>
      </c>
      <c r="K84" s="5"/>
      <c r="L84" s="5"/>
      <c r="M84" s="5"/>
      <c r="N84" s="5"/>
      <c r="O84" s="5"/>
      <c r="P84" s="5"/>
      <c r="Q84" s="5"/>
    </row>
    <row r="85" spans="2:17" x14ac:dyDescent="0.3">
      <c r="B85" s="2">
        <v>82</v>
      </c>
      <c r="C85" s="2">
        <v>5.5</v>
      </c>
      <c r="D85" s="2">
        <v>2.4</v>
      </c>
      <c r="E85" s="2">
        <v>3.7</v>
      </c>
      <c r="F85" s="2">
        <v>1</v>
      </c>
      <c r="G85" s="2" t="s">
        <v>28</v>
      </c>
      <c r="H85" s="2">
        <f t="shared" si="3"/>
        <v>0</v>
      </c>
      <c r="I85" s="2">
        <f t="shared" si="4"/>
        <v>1</v>
      </c>
      <c r="J85" s="2">
        <f t="shared" si="5"/>
        <v>0</v>
      </c>
      <c r="K85" s="5"/>
      <c r="L85" s="5"/>
      <c r="M85" s="5"/>
      <c r="N85" s="5"/>
      <c r="O85" s="5"/>
      <c r="P85" s="5"/>
      <c r="Q85" s="5"/>
    </row>
    <row r="86" spans="2:17" x14ac:dyDescent="0.3">
      <c r="B86" s="2">
        <v>83</v>
      </c>
      <c r="C86" s="2">
        <v>5.8</v>
      </c>
      <c r="D86" s="2">
        <v>2.7</v>
      </c>
      <c r="E86" s="2">
        <v>3.9</v>
      </c>
      <c r="F86" s="2">
        <v>1.2</v>
      </c>
      <c r="G86" s="2" t="s">
        <v>28</v>
      </c>
      <c r="H86" s="2">
        <f t="shared" si="3"/>
        <v>0</v>
      </c>
      <c r="I86" s="2">
        <f t="shared" si="4"/>
        <v>1</v>
      </c>
      <c r="J86" s="2">
        <f t="shared" si="5"/>
        <v>0</v>
      </c>
      <c r="K86" s="5"/>
      <c r="L86" s="5"/>
      <c r="M86" s="5"/>
      <c r="N86" s="5"/>
      <c r="O86" s="5"/>
      <c r="P86" s="5"/>
      <c r="Q86" s="5"/>
    </row>
    <row r="87" spans="2:17" x14ac:dyDescent="0.3">
      <c r="B87" s="2">
        <v>84</v>
      </c>
      <c r="C87" s="2">
        <v>6</v>
      </c>
      <c r="D87" s="2">
        <v>2.7</v>
      </c>
      <c r="E87" s="2">
        <v>5.0999999999999996</v>
      </c>
      <c r="F87" s="2">
        <v>1.6</v>
      </c>
      <c r="G87" s="2" t="s">
        <v>28</v>
      </c>
      <c r="H87" s="2">
        <f t="shared" si="3"/>
        <v>0</v>
      </c>
      <c r="I87" s="2">
        <f t="shared" si="4"/>
        <v>1</v>
      </c>
      <c r="J87" s="2">
        <f t="shared" si="5"/>
        <v>0</v>
      </c>
      <c r="K87" s="5"/>
      <c r="L87" s="5"/>
      <c r="M87" s="5"/>
      <c r="N87" s="5"/>
      <c r="O87" s="5"/>
      <c r="P87" s="5"/>
      <c r="Q87" s="5"/>
    </row>
    <row r="88" spans="2:17" x14ac:dyDescent="0.3">
      <c r="B88" s="2">
        <v>85</v>
      </c>
      <c r="C88" s="2">
        <v>5.4</v>
      </c>
      <c r="D88" s="2">
        <v>3</v>
      </c>
      <c r="E88" s="2">
        <v>4.5</v>
      </c>
      <c r="F88" s="2">
        <v>1.5</v>
      </c>
      <c r="G88" s="2" t="s">
        <v>28</v>
      </c>
      <c r="H88" s="2">
        <f t="shared" si="3"/>
        <v>0</v>
      </c>
      <c r="I88" s="2">
        <f t="shared" si="4"/>
        <v>1</v>
      </c>
      <c r="J88" s="2">
        <f t="shared" si="5"/>
        <v>0</v>
      </c>
      <c r="K88" s="5"/>
      <c r="L88" s="5"/>
      <c r="M88" s="5"/>
      <c r="N88" s="5"/>
      <c r="O88" s="5"/>
      <c r="P88" s="5"/>
      <c r="Q88" s="5"/>
    </row>
    <row r="89" spans="2:17" x14ac:dyDescent="0.3">
      <c r="B89" s="2">
        <v>86</v>
      </c>
      <c r="C89" s="2">
        <v>6</v>
      </c>
      <c r="D89" s="2">
        <v>3.4</v>
      </c>
      <c r="E89" s="2">
        <v>4.5</v>
      </c>
      <c r="F89" s="2">
        <v>1.6</v>
      </c>
      <c r="G89" s="2" t="s">
        <v>28</v>
      </c>
      <c r="H89" s="2">
        <f t="shared" si="3"/>
        <v>0</v>
      </c>
      <c r="I89" s="2">
        <f t="shared" si="4"/>
        <v>1</v>
      </c>
      <c r="J89" s="2">
        <f t="shared" si="5"/>
        <v>0</v>
      </c>
      <c r="K89" s="5"/>
      <c r="L89" s="5"/>
      <c r="M89" s="5"/>
      <c r="N89" s="5"/>
      <c r="O89" s="5"/>
      <c r="P89" s="5"/>
      <c r="Q89" s="5"/>
    </row>
    <row r="90" spans="2:17" x14ac:dyDescent="0.3">
      <c r="B90" s="2">
        <v>87</v>
      </c>
      <c r="C90" s="2">
        <v>6.7</v>
      </c>
      <c r="D90" s="2">
        <v>3.1</v>
      </c>
      <c r="E90" s="2">
        <v>4.7</v>
      </c>
      <c r="F90" s="2">
        <v>1.5</v>
      </c>
      <c r="G90" s="2" t="s">
        <v>28</v>
      </c>
      <c r="H90" s="2">
        <f t="shared" si="3"/>
        <v>0</v>
      </c>
      <c r="I90" s="2">
        <f t="shared" si="4"/>
        <v>1</v>
      </c>
      <c r="J90" s="2">
        <f t="shared" si="5"/>
        <v>0</v>
      </c>
      <c r="K90" s="5"/>
      <c r="L90" s="5"/>
      <c r="M90" s="5"/>
      <c r="N90" s="5"/>
      <c r="O90" s="5"/>
      <c r="P90" s="5"/>
      <c r="Q90" s="5"/>
    </row>
    <row r="91" spans="2:17" x14ac:dyDescent="0.3">
      <c r="B91" s="2">
        <v>88</v>
      </c>
      <c r="C91" s="2">
        <v>6.3</v>
      </c>
      <c r="D91" s="2">
        <v>2.2999999999999998</v>
      </c>
      <c r="E91" s="2">
        <v>4.4000000000000004</v>
      </c>
      <c r="F91" s="2">
        <v>1.3</v>
      </c>
      <c r="G91" s="2" t="s">
        <v>28</v>
      </c>
      <c r="H91" s="2">
        <f t="shared" si="3"/>
        <v>0</v>
      </c>
      <c r="I91" s="2">
        <f t="shared" si="4"/>
        <v>1</v>
      </c>
      <c r="J91" s="2">
        <f t="shared" si="5"/>
        <v>0</v>
      </c>
      <c r="K91" s="5"/>
      <c r="L91" s="5"/>
      <c r="M91" s="5"/>
      <c r="N91" s="5"/>
      <c r="O91" s="5"/>
      <c r="P91" s="5"/>
      <c r="Q91" s="5"/>
    </row>
    <row r="92" spans="2:17" x14ac:dyDescent="0.3">
      <c r="B92" s="2">
        <v>89</v>
      </c>
      <c r="C92" s="2">
        <v>5.6</v>
      </c>
      <c r="D92" s="2">
        <v>3</v>
      </c>
      <c r="E92" s="2">
        <v>4.0999999999999996</v>
      </c>
      <c r="F92" s="2">
        <v>1.3</v>
      </c>
      <c r="G92" s="2" t="s">
        <v>28</v>
      </c>
      <c r="H92" s="2">
        <f t="shared" si="3"/>
        <v>0</v>
      </c>
      <c r="I92" s="2">
        <f t="shared" si="4"/>
        <v>1</v>
      </c>
      <c r="J92" s="2">
        <f t="shared" si="5"/>
        <v>0</v>
      </c>
      <c r="K92" s="5"/>
      <c r="L92" s="5"/>
      <c r="M92" s="5"/>
      <c r="N92" s="5"/>
      <c r="O92" s="5"/>
      <c r="P92" s="5"/>
      <c r="Q92" s="5"/>
    </row>
    <row r="93" spans="2:17" x14ac:dyDescent="0.3">
      <c r="B93" s="2">
        <v>90</v>
      </c>
      <c r="C93" s="2">
        <v>5.5</v>
      </c>
      <c r="D93" s="2">
        <v>2.5</v>
      </c>
      <c r="E93" s="2">
        <v>4</v>
      </c>
      <c r="F93" s="2">
        <v>1.3</v>
      </c>
      <c r="G93" s="2" t="s">
        <v>28</v>
      </c>
      <c r="H93" s="2">
        <f t="shared" si="3"/>
        <v>0</v>
      </c>
      <c r="I93" s="2">
        <f t="shared" si="4"/>
        <v>1</v>
      </c>
      <c r="J93" s="2">
        <f t="shared" si="5"/>
        <v>0</v>
      </c>
      <c r="K93" s="5"/>
      <c r="L93" s="5"/>
      <c r="M93" s="5"/>
      <c r="N93" s="5"/>
      <c r="O93" s="5"/>
      <c r="P93" s="5"/>
      <c r="Q93" s="5"/>
    </row>
    <row r="94" spans="2:17" x14ac:dyDescent="0.3">
      <c r="B94" s="2">
        <v>91</v>
      </c>
      <c r="C94" s="2">
        <v>5.5</v>
      </c>
      <c r="D94" s="2">
        <v>2.6</v>
      </c>
      <c r="E94" s="2">
        <v>4.4000000000000004</v>
      </c>
      <c r="F94" s="2">
        <v>1.2</v>
      </c>
      <c r="G94" s="2" t="s">
        <v>28</v>
      </c>
      <c r="H94" s="2">
        <f t="shared" si="3"/>
        <v>0</v>
      </c>
      <c r="I94" s="2">
        <f t="shared" si="4"/>
        <v>1</v>
      </c>
      <c r="J94" s="2">
        <f t="shared" si="5"/>
        <v>0</v>
      </c>
      <c r="K94" s="5"/>
      <c r="L94" s="5"/>
      <c r="M94" s="5"/>
      <c r="N94" s="5"/>
      <c r="O94" s="5"/>
      <c r="P94" s="5"/>
      <c r="Q94" s="5"/>
    </row>
    <row r="95" spans="2:17" x14ac:dyDescent="0.3">
      <c r="B95" s="2">
        <v>92</v>
      </c>
      <c r="C95" s="2">
        <v>6.1</v>
      </c>
      <c r="D95" s="2">
        <v>3</v>
      </c>
      <c r="E95" s="2">
        <v>4.5999999999999996</v>
      </c>
      <c r="F95" s="2">
        <v>1.4</v>
      </c>
      <c r="G95" s="2" t="s">
        <v>28</v>
      </c>
      <c r="H95" s="2">
        <f t="shared" si="3"/>
        <v>0</v>
      </c>
      <c r="I95" s="2">
        <f t="shared" si="4"/>
        <v>1</v>
      </c>
      <c r="J95" s="2">
        <f t="shared" si="5"/>
        <v>0</v>
      </c>
      <c r="K95" s="5"/>
      <c r="L95" s="5"/>
      <c r="M95" s="5"/>
      <c r="N95" s="5"/>
      <c r="O95" s="5"/>
      <c r="P95" s="5"/>
      <c r="Q95" s="5"/>
    </row>
    <row r="96" spans="2:17" x14ac:dyDescent="0.3">
      <c r="B96" s="2">
        <v>93</v>
      </c>
      <c r="C96" s="2">
        <v>5.8</v>
      </c>
      <c r="D96" s="2">
        <v>2.6</v>
      </c>
      <c r="E96" s="2">
        <v>4</v>
      </c>
      <c r="F96" s="2">
        <v>1.2</v>
      </c>
      <c r="G96" s="2" t="s">
        <v>28</v>
      </c>
      <c r="H96" s="2">
        <f t="shared" si="3"/>
        <v>0</v>
      </c>
      <c r="I96" s="2">
        <f t="shared" si="4"/>
        <v>1</v>
      </c>
      <c r="J96" s="2">
        <f t="shared" si="5"/>
        <v>0</v>
      </c>
      <c r="K96" s="5"/>
      <c r="L96" s="5"/>
      <c r="M96" s="5"/>
      <c r="N96" s="5"/>
      <c r="O96" s="5"/>
      <c r="P96" s="5"/>
      <c r="Q96" s="5"/>
    </row>
    <row r="97" spans="2:17" x14ac:dyDescent="0.3">
      <c r="B97" s="2">
        <v>94</v>
      </c>
      <c r="C97" s="2">
        <v>5</v>
      </c>
      <c r="D97" s="2">
        <v>2.2999999999999998</v>
      </c>
      <c r="E97" s="2">
        <v>3.3</v>
      </c>
      <c r="F97" s="2">
        <v>1</v>
      </c>
      <c r="G97" s="2" t="s">
        <v>28</v>
      </c>
      <c r="H97" s="2">
        <f t="shared" si="3"/>
        <v>0</v>
      </c>
      <c r="I97" s="2">
        <f t="shared" si="4"/>
        <v>1</v>
      </c>
      <c r="J97" s="2">
        <f t="shared" si="5"/>
        <v>0</v>
      </c>
      <c r="K97" s="5"/>
      <c r="L97" s="5"/>
      <c r="M97" s="5"/>
      <c r="N97" s="5"/>
      <c r="O97" s="5"/>
      <c r="P97" s="5"/>
      <c r="Q97" s="5"/>
    </row>
    <row r="98" spans="2:17" x14ac:dyDescent="0.3">
      <c r="B98" s="2">
        <v>95</v>
      </c>
      <c r="C98" s="2">
        <v>5.6</v>
      </c>
      <c r="D98" s="2">
        <v>2.7</v>
      </c>
      <c r="E98" s="2">
        <v>4.2</v>
      </c>
      <c r="F98" s="2">
        <v>1.3</v>
      </c>
      <c r="G98" s="2" t="s">
        <v>28</v>
      </c>
      <c r="H98" s="2">
        <f t="shared" si="3"/>
        <v>0</v>
      </c>
      <c r="I98" s="2">
        <f t="shared" si="4"/>
        <v>1</v>
      </c>
      <c r="J98" s="2">
        <f t="shared" si="5"/>
        <v>0</v>
      </c>
      <c r="K98" s="5"/>
      <c r="L98" s="5"/>
      <c r="M98" s="5"/>
      <c r="N98" s="5"/>
      <c r="O98" s="5"/>
      <c r="P98" s="5"/>
      <c r="Q98" s="5"/>
    </row>
    <row r="99" spans="2:17" x14ac:dyDescent="0.3">
      <c r="B99" s="2">
        <v>96</v>
      </c>
      <c r="C99" s="2">
        <v>5.7</v>
      </c>
      <c r="D99" s="2">
        <v>3</v>
      </c>
      <c r="E99" s="2">
        <v>4.2</v>
      </c>
      <c r="F99" s="2">
        <v>1.2</v>
      </c>
      <c r="G99" s="2" t="s">
        <v>28</v>
      </c>
      <c r="H99" s="2">
        <f t="shared" si="3"/>
        <v>0</v>
      </c>
      <c r="I99" s="2">
        <f t="shared" si="4"/>
        <v>1</v>
      </c>
      <c r="J99" s="2">
        <f t="shared" si="5"/>
        <v>0</v>
      </c>
      <c r="K99" s="5"/>
      <c r="L99" s="5"/>
      <c r="M99" s="5"/>
      <c r="N99" s="5"/>
      <c r="O99" s="5"/>
      <c r="P99" s="5"/>
      <c r="Q99" s="5"/>
    </row>
    <row r="100" spans="2:17" x14ac:dyDescent="0.3">
      <c r="B100" s="2">
        <v>97</v>
      </c>
      <c r="C100" s="2">
        <v>5.7</v>
      </c>
      <c r="D100" s="2">
        <v>2.9</v>
      </c>
      <c r="E100" s="2">
        <v>4.2</v>
      </c>
      <c r="F100" s="2">
        <v>1.3</v>
      </c>
      <c r="G100" s="2" t="s">
        <v>28</v>
      </c>
      <c r="H100" s="2">
        <f t="shared" si="3"/>
        <v>0</v>
      </c>
      <c r="I100" s="2">
        <f t="shared" si="4"/>
        <v>1</v>
      </c>
      <c r="J100" s="2">
        <f t="shared" si="5"/>
        <v>0</v>
      </c>
      <c r="K100" s="5"/>
      <c r="L100" s="5"/>
      <c r="M100" s="5"/>
      <c r="N100" s="5"/>
      <c r="O100" s="5"/>
      <c r="P100" s="5"/>
      <c r="Q100" s="5"/>
    </row>
    <row r="101" spans="2:17" x14ac:dyDescent="0.3">
      <c r="B101" s="2">
        <v>98</v>
      </c>
      <c r="C101" s="2">
        <v>6.2</v>
      </c>
      <c r="D101" s="2">
        <v>2.9</v>
      </c>
      <c r="E101" s="2">
        <v>4.3</v>
      </c>
      <c r="F101" s="2">
        <v>1.3</v>
      </c>
      <c r="G101" s="2" t="s">
        <v>28</v>
      </c>
      <c r="H101" s="2">
        <f t="shared" si="3"/>
        <v>0</v>
      </c>
      <c r="I101" s="2">
        <f t="shared" si="4"/>
        <v>1</v>
      </c>
      <c r="J101" s="2">
        <f t="shared" si="5"/>
        <v>0</v>
      </c>
      <c r="K101" s="5"/>
      <c r="L101" s="5"/>
      <c r="M101" s="5"/>
      <c r="N101" s="5"/>
      <c r="O101" s="5"/>
      <c r="P101" s="5"/>
      <c r="Q101" s="5"/>
    </row>
    <row r="102" spans="2:17" x14ac:dyDescent="0.3">
      <c r="B102" s="2">
        <v>99</v>
      </c>
      <c r="C102" s="2">
        <v>5.0999999999999996</v>
      </c>
      <c r="D102" s="2">
        <v>2.5</v>
      </c>
      <c r="E102" s="2">
        <v>3</v>
      </c>
      <c r="F102" s="2">
        <v>1.1000000000000001</v>
      </c>
      <c r="G102" s="2" t="s">
        <v>28</v>
      </c>
      <c r="H102" s="2">
        <f t="shared" si="3"/>
        <v>0</v>
      </c>
      <c r="I102" s="2">
        <f t="shared" si="4"/>
        <v>1</v>
      </c>
      <c r="J102" s="2">
        <f t="shared" si="5"/>
        <v>0</v>
      </c>
      <c r="K102" s="5"/>
      <c r="L102" s="5"/>
      <c r="M102" s="5"/>
      <c r="N102" s="5"/>
      <c r="O102" s="5"/>
      <c r="P102" s="5"/>
      <c r="Q102" s="5"/>
    </row>
    <row r="103" spans="2:17" x14ac:dyDescent="0.3">
      <c r="B103" s="2">
        <v>100</v>
      </c>
      <c r="C103" s="2">
        <v>5.7</v>
      </c>
      <c r="D103" s="2">
        <v>2.8</v>
      </c>
      <c r="E103" s="2">
        <v>4.0999999999999996</v>
      </c>
      <c r="F103" s="2">
        <v>1.3</v>
      </c>
      <c r="G103" s="2" t="s">
        <v>28</v>
      </c>
      <c r="H103" s="2">
        <f t="shared" si="3"/>
        <v>0</v>
      </c>
      <c r="I103" s="2">
        <f t="shared" si="4"/>
        <v>1</v>
      </c>
      <c r="J103" s="2">
        <f t="shared" si="5"/>
        <v>0</v>
      </c>
      <c r="K103" s="5"/>
      <c r="L103" s="5"/>
      <c r="M103" s="5"/>
      <c r="N103" s="5"/>
      <c r="O103" s="5"/>
      <c r="P103" s="5"/>
      <c r="Q103" s="5"/>
    </row>
    <row r="104" spans="2:17" x14ac:dyDescent="0.3">
      <c r="B104" s="2">
        <v>101</v>
      </c>
      <c r="C104" s="2">
        <v>6.3</v>
      </c>
      <c r="D104" s="2">
        <v>3.3</v>
      </c>
      <c r="E104" s="2">
        <v>6</v>
      </c>
      <c r="F104" s="2">
        <v>2.5</v>
      </c>
      <c r="G104" s="2" t="s">
        <v>29</v>
      </c>
      <c r="H104" s="2">
        <f t="shared" si="3"/>
        <v>0</v>
      </c>
      <c r="I104" s="2">
        <f t="shared" si="4"/>
        <v>0</v>
      </c>
      <c r="J104" s="2">
        <f t="shared" si="5"/>
        <v>1</v>
      </c>
      <c r="K104" s="5"/>
      <c r="L104" s="5"/>
      <c r="M104" s="5"/>
      <c r="N104" s="5"/>
      <c r="O104" s="5"/>
      <c r="P104" s="5"/>
      <c r="Q104" s="5"/>
    </row>
    <row r="105" spans="2:17" x14ac:dyDescent="0.3">
      <c r="B105" s="2">
        <v>102</v>
      </c>
      <c r="C105" s="2">
        <v>5.8</v>
      </c>
      <c r="D105" s="2">
        <v>2.7</v>
      </c>
      <c r="E105" s="2">
        <v>5.0999999999999996</v>
      </c>
      <c r="F105" s="2">
        <v>1.9</v>
      </c>
      <c r="G105" s="2" t="s">
        <v>29</v>
      </c>
      <c r="H105" s="2">
        <f t="shared" si="3"/>
        <v>0</v>
      </c>
      <c r="I105" s="2">
        <f t="shared" si="4"/>
        <v>0</v>
      </c>
      <c r="J105" s="2">
        <f t="shared" si="5"/>
        <v>1</v>
      </c>
      <c r="K105" s="5"/>
      <c r="L105" s="5"/>
      <c r="M105" s="5"/>
      <c r="N105" s="5"/>
      <c r="O105" s="5"/>
      <c r="P105" s="5"/>
      <c r="Q105" s="5"/>
    </row>
    <row r="106" spans="2:17" x14ac:dyDescent="0.3">
      <c r="B106" s="2">
        <v>103</v>
      </c>
      <c r="C106" s="2">
        <v>7.1</v>
      </c>
      <c r="D106" s="2">
        <v>3</v>
      </c>
      <c r="E106" s="2">
        <v>5.9</v>
      </c>
      <c r="F106" s="2">
        <v>2.1</v>
      </c>
      <c r="G106" s="2" t="s">
        <v>29</v>
      </c>
      <c r="H106" s="2">
        <f t="shared" si="3"/>
        <v>0</v>
      </c>
      <c r="I106" s="2">
        <f t="shared" si="4"/>
        <v>0</v>
      </c>
      <c r="J106" s="2">
        <f t="shared" si="5"/>
        <v>1</v>
      </c>
      <c r="K106" s="5"/>
      <c r="L106" s="5"/>
      <c r="M106" s="5"/>
      <c r="N106" s="5"/>
      <c r="O106" s="5"/>
      <c r="P106" s="5"/>
      <c r="Q106" s="5"/>
    </row>
    <row r="107" spans="2:17" x14ac:dyDescent="0.3">
      <c r="B107" s="2">
        <v>104</v>
      </c>
      <c r="C107" s="2">
        <v>6.3</v>
      </c>
      <c r="D107" s="2">
        <v>2.9</v>
      </c>
      <c r="E107" s="2">
        <v>5.6</v>
      </c>
      <c r="F107" s="2">
        <v>1.8</v>
      </c>
      <c r="G107" s="2" t="s">
        <v>29</v>
      </c>
      <c r="H107" s="2">
        <f t="shared" si="3"/>
        <v>0</v>
      </c>
      <c r="I107" s="2">
        <f t="shared" si="4"/>
        <v>0</v>
      </c>
      <c r="J107" s="2">
        <f t="shared" si="5"/>
        <v>1</v>
      </c>
      <c r="K107" s="5"/>
      <c r="L107" s="5"/>
      <c r="M107" s="5"/>
      <c r="N107" s="5"/>
      <c r="O107" s="5"/>
      <c r="P107" s="5"/>
      <c r="Q107" s="5"/>
    </row>
    <row r="108" spans="2:17" x14ac:dyDescent="0.3">
      <c r="B108" s="2">
        <v>105</v>
      </c>
      <c r="C108" s="2">
        <v>6.5</v>
      </c>
      <c r="D108" s="2">
        <v>3</v>
      </c>
      <c r="E108" s="2">
        <v>5.8</v>
      </c>
      <c r="F108" s="2">
        <v>2.2000000000000002</v>
      </c>
      <c r="G108" s="2" t="s">
        <v>29</v>
      </c>
      <c r="H108" s="2">
        <f t="shared" si="3"/>
        <v>0</v>
      </c>
      <c r="I108" s="2">
        <f t="shared" si="4"/>
        <v>0</v>
      </c>
      <c r="J108" s="2">
        <f t="shared" si="5"/>
        <v>1</v>
      </c>
      <c r="K108" s="5"/>
      <c r="L108" s="5"/>
      <c r="M108" s="5"/>
      <c r="N108" s="5"/>
      <c r="O108" s="5"/>
      <c r="P108" s="5"/>
      <c r="Q108" s="5"/>
    </row>
    <row r="109" spans="2:17" x14ac:dyDescent="0.3">
      <c r="B109" s="2">
        <v>106</v>
      </c>
      <c r="C109" s="2">
        <v>7.6</v>
      </c>
      <c r="D109" s="2">
        <v>3</v>
      </c>
      <c r="E109" s="2">
        <v>6.6</v>
      </c>
      <c r="F109" s="2">
        <v>2.1</v>
      </c>
      <c r="G109" s="2" t="s">
        <v>29</v>
      </c>
      <c r="H109" s="2">
        <f t="shared" si="3"/>
        <v>0</v>
      </c>
      <c r="I109" s="2">
        <f t="shared" si="4"/>
        <v>0</v>
      </c>
      <c r="J109" s="2">
        <f t="shared" si="5"/>
        <v>1</v>
      </c>
      <c r="K109" s="5"/>
      <c r="L109" s="5"/>
      <c r="M109" s="5"/>
      <c r="N109" s="5"/>
      <c r="O109" s="5"/>
      <c r="P109" s="5"/>
      <c r="Q109" s="5"/>
    </row>
    <row r="110" spans="2:17" x14ac:dyDescent="0.3">
      <c r="B110" s="2">
        <v>107</v>
      </c>
      <c r="C110" s="2">
        <v>4.9000000000000004</v>
      </c>
      <c r="D110" s="2">
        <v>2.5</v>
      </c>
      <c r="E110" s="2">
        <v>4.5</v>
      </c>
      <c r="F110" s="2">
        <v>1.7</v>
      </c>
      <c r="G110" s="2" t="s">
        <v>29</v>
      </c>
      <c r="H110" s="2">
        <f t="shared" si="3"/>
        <v>0</v>
      </c>
      <c r="I110" s="2">
        <f t="shared" si="4"/>
        <v>0</v>
      </c>
      <c r="J110" s="2">
        <f t="shared" si="5"/>
        <v>1</v>
      </c>
      <c r="K110" s="5"/>
      <c r="L110" s="5"/>
      <c r="M110" s="5"/>
      <c r="N110" s="5"/>
      <c r="O110" s="5"/>
      <c r="P110" s="5"/>
      <c r="Q110" s="5"/>
    </row>
    <row r="111" spans="2:17" x14ac:dyDescent="0.3">
      <c r="B111" s="2">
        <v>108</v>
      </c>
      <c r="C111" s="2">
        <v>7.3</v>
      </c>
      <c r="D111" s="2">
        <v>2.9</v>
      </c>
      <c r="E111" s="2">
        <v>6.3</v>
      </c>
      <c r="F111" s="2">
        <v>1.8</v>
      </c>
      <c r="G111" s="2" t="s">
        <v>29</v>
      </c>
      <c r="H111" s="2">
        <f t="shared" si="3"/>
        <v>0</v>
      </c>
      <c r="I111" s="2">
        <f t="shared" si="4"/>
        <v>0</v>
      </c>
      <c r="J111" s="2">
        <f t="shared" si="5"/>
        <v>1</v>
      </c>
      <c r="K111" s="5"/>
      <c r="L111" s="5"/>
      <c r="M111" s="5"/>
      <c r="N111" s="5"/>
      <c r="O111" s="5"/>
      <c r="P111" s="5"/>
      <c r="Q111" s="5"/>
    </row>
    <row r="112" spans="2:17" x14ac:dyDescent="0.3">
      <c r="B112" s="2">
        <v>109</v>
      </c>
      <c r="C112" s="2">
        <v>6.7</v>
      </c>
      <c r="D112" s="2">
        <v>2.5</v>
      </c>
      <c r="E112" s="2">
        <v>5.8</v>
      </c>
      <c r="F112" s="2">
        <v>1.8</v>
      </c>
      <c r="G112" s="2" t="s">
        <v>29</v>
      </c>
      <c r="H112" s="2">
        <f t="shared" si="3"/>
        <v>0</v>
      </c>
      <c r="I112" s="2">
        <f t="shared" si="4"/>
        <v>0</v>
      </c>
      <c r="J112" s="2">
        <f t="shared" si="5"/>
        <v>1</v>
      </c>
      <c r="K112" s="5"/>
      <c r="L112" s="5"/>
      <c r="M112" s="5"/>
      <c r="N112" s="5"/>
      <c r="O112" s="5"/>
      <c r="P112" s="5"/>
      <c r="Q112" s="5"/>
    </row>
    <row r="113" spans="2:17" x14ac:dyDescent="0.3">
      <c r="B113" s="2">
        <v>110</v>
      </c>
      <c r="C113" s="2">
        <v>7.2</v>
      </c>
      <c r="D113" s="2">
        <v>3.6</v>
      </c>
      <c r="E113" s="2">
        <v>6.1</v>
      </c>
      <c r="F113" s="2">
        <v>2.5</v>
      </c>
      <c r="G113" s="2" t="s">
        <v>29</v>
      </c>
      <c r="H113" s="2">
        <f t="shared" si="3"/>
        <v>0</v>
      </c>
      <c r="I113" s="2">
        <f t="shared" si="4"/>
        <v>0</v>
      </c>
      <c r="J113" s="2">
        <f t="shared" si="5"/>
        <v>1</v>
      </c>
      <c r="K113" s="5"/>
      <c r="L113" s="5"/>
      <c r="M113" s="5"/>
      <c r="N113" s="5"/>
      <c r="O113" s="5"/>
      <c r="P113" s="5"/>
      <c r="Q113" s="5"/>
    </row>
    <row r="114" spans="2:17" x14ac:dyDescent="0.3">
      <c r="B114" s="2">
        <v>111</v>
      </c>
      <c r="C114" s="2">
        <v>6.5</v>
      </c>
      <c r="D114" s="2">
        <v>3.2</v>
      </c>
      <c r="E114" s="2">
        <v>5.0999999999999996</v>
      </c>
      <c r="F114" s="2">
        <v>2</v>
      </c>
      <c r="G114" s="2" t="s">
        <v>29</v>
      </c>
      <c r="H114" s="2">
        <f t="shared" si="3"/>
        <v>0</v>
      </c>
      <c r="I114" s="2">
        <f t="shared" si="4"/>
        <v>0</v>
      </c>
      <c r="J114" s="2">
        <f t="shared" si="5"/>
        <v>1</v>
      </c>
      <c r="K114" s="5"/>
      <c r="L114" s="5"/>
      <c r="M114" s="5"/>
      <c r="N114" s="5"/>
      <c r="O114" s="5"/>
      <c r="P114" s="5"/>
      <c r="Q114" s="5"/>
    </row>
    <row r="115" spans="2:17" x14ac:dyDescent="0.3">
      <c r="B115" s="2">
        <v>112</v>
      </c>
      <c r="C115" s="2">
        <v>6.4</v>
      </c>
      <c r="D115" s="2">
        <v>2.7</v>
      </c>
      <c r="E115" s="2">
        <v>5.3</v>
      </c>
      <c r="F115" s="2">
        <v>1.9</v>
      </c>
      <c r="G115" s="2" t="s">
        <v>29</v>
      </c>
      <c r="H115" s="2">
        <f t="shared" si="3"/>
        <v>0</v>
      </c>
      <c r="I115" s="2">
        <f t="shared" si="4"/>
        <v>0</v>
      </c>
      <c r="J115" s="2">
        <f t="shared" si="5"/>
        <v>1</v>
      </c>
      <c r="K115" s="5"/>
      <c r="L115" s="5"/>
      <c r="M115" s="5"/>
      <c r="N115" s="5"/>
      <c r="O115" s="5"/>
      <c r="P115" s="5"/>
      <c r="Q115" s="5"/>
    </row>
    <row r="116" spans="2:17" x14ac:dyDescent="0.3">
      <c r="B116" s="2">
        <v>113</v>
      </c>
      <c r="C116" s="2">
        <v>6.8</v>
      </c>
      <c r="D116" s="2">
        <v>3</v>
      </c>
      <c r="E116" s="2">
        <v>5.5</v>
      </c>
      <c r="F116" s="2">
        <v>2.1</v>
      </c>
      <c r="G116" s="2" t="s">
        <v>29</v>
      </c>
      <c r="H116" s="2">
        <f t="shared" si="3"/>
        <v>0</v>
      </c>
      <c r="I116" s="2">
        <f t="shared" si="4"/>
        <v>0</v>
      </c>
      <c r="J116" s="2">
        <f t="shared" si="5"/>
        <v>1</v>
      </c>
      <c r="K116" s="5"/>
      <c r="L116" s="5"/>
      <c r="M116" s="5"/>
      <c r="N116" s="5"/>
      <c r="O116" s="5"/>
      <c r="P116" s="5"/>
      <c r="Q116" s="5"/>
    </row>
    <row r="117" spans="2:17" x14ac:dyDescent="0.3">
      <c r="B117" s="2">
        <v>114</v>
      </c>
      <c r="C117" s="2">
        <v>5.7</v>
      </c>
      <c r="D117" s="2">
        <v>2.5</v>
      </c>
      <c r="E117" s="2">
        <v>5</v>
      </c>
      <c r="F117" s="2">
        <v>2</v>
      </c>
      <c r="G117" s="2" t="s">
        <v>29</v>
      </c>
      <c r="H117" s="2">
        <f t="shared" si="3"/>
        <v>0</v>
      </c>
      <c r="I117" s="2">
        <f t="shared" si="4"/>
        <v>0</v>
      </c>
      <c r="J117" s="2">
        <f t="shared" si="5"/>
        <v>1</v>
      </c>
      <c r="K117" s="5"/>
      <c r="L117" s="5"/>
      <c r="M117" s="5"/>
      <c r="N117" s="5"/>
      <c r="O117" s="5"/>
      <c r="P117" s="5"/>
      <c r="Q117" s="5"/>
    </row>
    <row r="118" spans="2:17" x14ac:dyDescent="0.3">
      <c r="B118" s="2">
        <v>115</v>
      </c>
      <c r="C118" s="2">
        <v>5.8</v>
      </c>
      <c r="D118" s="2">
        <v>2.8</v>
      </c>
      <c r="E118" s="2">
        <v>5.0999999999999996</v>
      </c>
      <c r="F118" s="2">
        <v>2.4</v>
      </c>
      <c r="G118" s="2" t="s">
        <v>29</v>
      </c>
      <c r="H118" s="2">
        <f t="shared" si="3"/>
        <v>0</v>
      </c>
      <c r="I118" s="2">
        <f t="shared" si="4"/>
        <v>0</v>
      </c>
      <c r="J118" s="2">
        <f t="shared" si="5"/>
        <v>1</v>
      </c>
      <c r="K118" s="5"/>
      <c r="L118" s="5"/>
      <c r="M118" s="5"/>
      <c r="N118" s="5"/>
      <c r="O118" s="5"/>
      <c r="P118" s="5"/>
      <c r="Q118" s="5"/>
    </row>
    <row r="119" spans="2:17" x14ac:dyDescent="0.3">
      <c r="B119" s="2">
        <v>116</v>
      </c>
      <c r="C119" s="2">
        <v>6.4</v>
      </c>
      <c r="D119" s="2">
        <v>3.2</v>
      </c>
      <c r="E119" s="2">
        <v>5.3</v>
      </c>
      <c r="F119" s="2">
        <v>2.2999999999999998</v>
      </c>
      <c r="G119" s="2" t="s">
        <v>29</v>
      </c>
      <c r="H119" s="2">
        <f t="shared" si="3"/>
        <v>0</v>
      </c>
      <c r="I119" s="2">
        <f t="shared" si="4"/>
        <v>0</v>
      </c>
      <c r="J119" s="2">
        <f t="shared" si="5"/>
        <v>1</v>
      </c>
      <c r="K119" s="5"/>
      <c r="L119" s="5"/>
      <c r="M119" s="5"/>
      <c r="N119" s="5"/>
      <c r="O119" s="5"/>
      <c r="P119" s="5"/>
      <c r="Q119" s="5"/>
    </row>
    <row r="120" spans="2:17" x14ac:dyDescent="0.3">
      <c r="B120" s="2">
        <v>117</v>
      </c>
      <c r="C120" s="2">
        <v>6.5</v>
      </c>
      <c r="D120" s="2">
        <v>3</v>
      </c>
      <c r="E120" s="2">
        <v>5.5</v>
      </c>
      <c r="F120" s="2">
        <v>1.8</v>
      </c>
      <c r="G120" s="2" t="s">
        <v>29</v>
      </c>
      <c r="H120" s="2">
        <f t="shared" si="3"/>
        <v>0</v>
      </c>
      <c r="I120" s="2">
        <f t="shared" si="4"/>
        <v>0</v>
      </c>
      <c r="J120" s="2">
        <f t="shared" si="5"/>
        <v>1</v>
      </c>
      <c r="K120" s="5"/>
      <c r="L120" s="5"/>
      <c r="M120" s="5"/>
      <c r="N120" s="5"/>
      <c r="O120" s="5"/>
      <c r="P120" s="5"/>
      <c r="Q120" s="5"/>
    </row>
    <row r="121" spans="2:17" x14ac:dyDescent="0.3">
      <c r="B121" s="2">
        <v>118</v>
      </c>
      <c r="C121" s="2">
        <v>7.7</v>
      </c>
      <c r="D121" s="2">
        <v>3.8</v>
      </c>
      <c r="E121" s="2">
        <v>6.7</v>
      </c>
      <c r="F121" s="2">
        <v>2.2000000000000002</v>
      </c>
      <c r="G121" s="2" t="s">
        <v>29</v>
      </c>
      <c r="H121" s="2">
        <f t="shared" si="3"/>
        <v>0</v>
      </c>
      <c r="I121" s="2">
        <f t="shared" si="4"/>
        <v>0</v>
      </c>
      <c r="J121" s="2">
        <f t="shared" si="5"/>
        <v>1</v>
      </c>
      <c r="K121" s="5"/>
      <c r="L121" s="5"/>
      <c r="M121" s="5"/>
      <c r="N121" s="5"/>
      <c r="O121" s="5"/>
      <c r="P121" s="5"/>
      <c r="Q121" s="5"/>
    </row>
    <row r="122" spans="2:17" x14ac:dyDescent="0.3">
      <c r="B122" s="2">
        <v>119</v>
      </c>
      <c r="C122" s="2">
        <v>7.7</v>
      </c>
      <c r="D122" s="2">
        <v>2.6</v>
      </c>
      <c r="E122" s="2">
        <v>6.9</v>
      </c>
      <c r="F122" s="2">
        <v>2.2999999999999998</v>
      </c>
      <c r="G122" s="2" t="s">
        <v>29</v>
      </c>
      <c r="H122" s="2">
        <f t="shared" si="3"/>
        <v>0</v>
      </c>
      <c r="I122" s="2">
        <f t="shared" si="4"/>
        <v>0</v>
      </c>
      <c r="J122" s="2">
        <f t="shared" si="5"/>
        <v>1</v>
      </c>
      <c r="K122" s="5"/>
      <c r="L122" s="5"/>
      <c r="M122" s="5"/>
      <c r="N122" s="5"/>
      <c r="O122" s="5"/>
      <c r="P122" s="5"/>
      <c r="Q122" s="5"/>
    </row>
    <row r="123" spans="2:17" x14ac:dyDescent="0.3">
      <c r="B123" s="2">
        <v>120</v>
      </c>
      <c r="C123" s="2">
        <v>6</v>
      </c>
      <c r="D123" s="2">
        <v>2.2000000000000002</v>
      </c>
      <c r="E123" s="2">
        <v>5</v>
      </c>
      <c r="F123" s="2">
        <v>1.5</v>
      </c>
      <c r="G123" s="2" t="s">
        <v>29</v>
      </c>
      <c r="H123" s="2">
        <f t="shared" si="3"/>
        <v>0</v>
      </c>
      <c r="I123" s="2">
        <f t="shared" si="4"/>
        <v>0</v>
      </c>
      <c r="J123" s="2">
        <f t="shared" si="5"/>
        <v>1</v>
      </c>
      <c r="K123" s="5"/>
      <c r="L123" s="5"/>
      <c r="M123" s="5"/>
      <c r="N123" s="5"/>
      <c r="O123" s="5"/>
      <c r="P123" s="5"/>
      <c r="Q123" s="5"/>
    </row>
    <row r="124" spans="2:17" x14ac:dyDescent="0.3">
      <c r="B124" s="2">
        <v>121</v>
      </c>
      <c r="C124" s="2">
        <v>6.9</v>
      </c>
      <c r="D124" s="2">
        <v>3.2</v>
      </c>
      <c r="E124" s="2">
        <v>5.7</v>
      </c>
      <c r="F124" s="2">
        <v>2.2999999999999998</v>
      </c>
      <c r="G124" s="2" t="s">
        <v>29</v>
      </c>
      <c r="H124" s="2">
        <f t="shared" si="3"/>
        <v>0</v>
      </c>
      <c r="I124" s="2">
        <f t="shared" si="4"/>
        <v>0</v>
      </c>
      <c r="J124" s="2">
        <f t="shared" si="5"/>
        <v>1</v>
      </c>
      <c r="K124" s="5"/>
      <c r="L124" s="5"/>
      <c r="M124" s="5"/>
      <c r="N124" s="5"/>
      <c r="O124" s="5"/>
      <c r="P124" s="5"/>
      <c r="Q124" s="5"/>
    </row>
    <row r="125" spans="2:17" x14ac:dyDescent="0.3">
      <c r="B125" s="2">
        <v>122</v>
      </c>
      <c r="C125" s="2">
        <v>5.6</v>
      </c>
      <c r="D125" s="2">
        <v>2.8</v>
      </c>
      <c r="E125" s="2">
        <v>4.9000000000000004</v>
      </c>
      <c r="F125" s="2">
        <v>2</v>
      </c>
      <c r="G125" s="2" t="s">
        <v>29</v>
      </c>
      <c r="H125" s="2">
        <f t="shared" si="3"/>
        <v>0</v>
      </c>
      <c r="I125" s="2">
        <f t="shared" si="4"/>
        <v>0</v>
      </c>
      <c r="J125" s="2">
        <f t="shared" si="5"/>
        <v>1</v>
      </c>
      <c r="K125" s="5"/>
      <c r="L125" s="5"/>
      <c r="M125" s="5"/>
      <c r="N125" s="5"/>
      <c r="O125" s="5"/>
      <c r="P125" s="5"/>
      <c r="Q125" s="5"/>
    </row>
    <row r="126" spans="2:17" x14ac:dyDescent="0.3">
      <c r="B126" s="2">
        <v>123</v>
      </c>
      <c r="C126" s="2">
        <v>7.7</v>
      </c>
      <c r="D126" s="2">
        <v>2.8</v>
      </c>
      <c r="E126" s="2">
        <v>6.7</v>
      </c>
      <c r="F126" s="2">
        <v>2</v>
      </c>
      <c r="G126" s="2" t="s">
        <v>29</v>
      </c>
      <c r="H126" s="2">
        <f t="shared" si="3"/>
        <v>0</v>
      </c>
      <c r="I126" s="2">
        <f t="shared" si="4"/>
        <v>0</v>
      </c>
      <c r="J126" s="2">
        <f t="shared" si="5"/>
        <v>1</v>
      </c>
      <c r="K126" s="5"/>
      <c r="L126" s="5"/>
      <c r="M126" s="5"/>
      <c r="N126" s="5"/>
      <c r="O126" s="5"/>
      <c r="P126" s="5"/>
      <c r="Q126" s="5"/>
    </row>
    <row r="127" spans="2:17" x14ac:dyDescent="0.3">
      <c r="B127" s="2">
        <v>124</v>
      </c>
      <c r="C127" s="2">
        <v>6.3</v>
      </c>
      <c r="D127" s="2">
        <v>2.7</v>
      </c>
      <c r="E127" s="2">
        <v>4.9000000000000004</v>
      </c>
      <c r="F127" s="2">
        <v>1.8</v>
      </c>
      <c r="G127" s="2" t="s">
        <v>29</v>
      </c>
      <c r="H127" s="2">
        <f t="shared" si="3"/>
        <v>0</v>
      </c>
      <c r="I127" s="2">
        <f t="shared" si="4"/>
        <v>0</v>
      </c>
      <c r="J127" s="2">
        <f t="shared" si="5"/>
        <v>1</v>
      </c>
      <c r="K127" s="5"/>
      <c r="L127" s="5"/>
      <c r="M127" s="5"/>
      <c r="N127" s="5"/>
      <c r="O127" s="5"/>
      <c r="P127" s="5"/>
      <c r="Q127" s="5"/>
    </row>
    <row r="128" spans="2:17" x14ac:dyDescent="0.3">
      <c r="B128" s="2">
        <v>125</v>
      </c>
      <c r="C128" s="2">
        <v>6.7</v>
      </c>
      <c r="D128" s="2">
        <v>3.3</v>
      </c>
      <c r="E128" s="2">
        <v>5.7</v>
      </c>
      <c r="F128" s="2">
        <v>2.1</v>
      </c>
      <c r="G128" s="2" t="s">
        <v>29</v>
      </c>
      <c r="H128" s="2">
        <f t="shared" si="3"/>
        <v>0</v>
      </c>
      <c r="I128" s="2">
        <f t="shared" si="4"/>
        <v>0</v>
      </c>
      <c r="J128" s="2">
        <f t="shared" si="5"/>
        <v>1</v>
      </c>
      <c r="K128" s="5"/>
      <c r="L128" s="5"/>
      <c r="M128" s="5"/>
      <c r="N128" s="5"/>
      <c r="O128" s="5"/>
      <c r="P128" s="5"/>
      <c r="Q128" s="5"/>
    </row>
    <row r="129" spans="2:17" x14ac:dyDescent="0.3">
      <c r="B129" s="2">
        <v>126</v>
      </c>
      <c r="C129" s="2">
        <v>7.2</v>
      </c>
      <c r="D129" s="2">
        <v>3.2</v>
      </c>
      <c r="E129" s="2">
        <v>6</v>
      </c>
      <c r="F129" s="2">
        <v>1.8</v>
      </c>
      <c r="G129" s="2" t="s">
        <v>29</v>
      </c>
      <c r="H129" s="2">
        <f t="shared" si="3"/>
        <v>0</v>
      </c>
      <c r="I129" s="2">
        <f t="shared" si="4"/>
        <v>0</v>
      </c>
      <c r="J129" s="2">
        <f t="shared" si="5"/>
        <v>1</v>
      </c>
      <c r="K129" s="5"/>
      <c r="L129" s="5"/>
      <c r="M129" s="5"/>
      <c r="N129" s="5"/>
      <c r="O129" s="5"/>
      <c r="P129" s="5"/>
      <c r="Q129" s="5"/>
    </row>
    <row r="130" spans="2:17" x14ac:dyDescent="0.3">
      <c r="B130" s="2">
        <v>127</v>
      </c>
      <c r="C130" s="2">
        <v>6.2</v>
      </c>
      <c r="D130" s="2">
        <v>2.8</v>
      </c>
      <c r="E130" s="2">
        <v>4.8</v>
      </c>
      <c r="F130" s="2">
        <v>1.8</v>
      </c>
      <c r="G130" s="2" t="s">
        <v>29</v>
      </c>
      <c r="H130" s="2">
        <f t="shared" si="3"/>
        <v>0</v>
      </c>
      <c r="I130" s="2">
        <f t="shared" si="4"/>
        <v>0</v>
      </c>
      <c r="J130" s="2">
        <f t="shared" si="5"/>
        <v>1</v>
      </c>
      <c r="K130" s="5"/>
      <c r="L130" s="5"/>
      <c r="M130" s="5"/>
      <c r="N130" s="5"/>
      <c r="O130" s="5"/>
      <c r="P130" s="5"/>
      <c r="Q130" s="5"/>
    </row>
    <row r="131" spans="2:17" x14ac:dyDescent="0.3">
      <c r="B131" s="2">
        <v>128</v>
      </c>
      <c r="C131" s="2">
        <v>6.1</v>
      </c>
      <c r="D131" s="2">
        <v>3</v>
      </c>
      <c r="E131" s="2">
        <v>4.9000000000000004</v>
      </c>
      <c r="F131" s="2">
        <v>1.8</v>
      </c>
      <c r="G131" s="2" t="s">
        <v>29</v>
      </c>
      <c r="H131" s="2">
        <f t="shared" si="3"/>
        <v>0</v>
      </c>
      <c r="I131" s="2">
        <f t="shared" si="4"/>
        <v>0</v>
      </c>
      <c r="J131" s="2">
        <f t="shared" si="5"/>
        <v>1</v>
      </c>
      <c r="K131" s="5"/>
      <c r="L131" s="5"/>
      <c r="M131" s="5"/>
      <c r="N131" s="5"/>
      <c r="O131" s="5"/>
      <c r="P131" s="5"/>
      <c r="Q131" s="5"/>
    </row>
    <row r="132" spans="2:17" x14ac:dyDescent="0.3">
      <c r="B132" s="2">
        <v>129</v>
      </c>
      <c r="C132" s="2">
        <v>6.4</v>
      </c>
      <c r="D132" s="2">
        <v>2.8</v>
      </c>
      <c r="E132" s="2">
        <v>5.6</v>
      </c>
      <c r="F132" s="2">
        <v>2.1</v>
      </c>
      <c r="G132" s="2" t="s">
        <v>29</v>
      </c>
      <c r="H132" s="2">
        <f t="shared" si="3"/>
        <v>0</v>
      </c>
      <c r="I132" s="2">
        <f t="shared" si="4"/>
        <v>0</v>
      </c>
      <c r="J132" s="2">
        <f t="shared" si="5"/>
        <v>1</v>
      </c>
      <c r="K132" s="5"/>
      <c r="L132" s="5"/>
      <c r="M132" s="5"/>
      <c r="N132" s="5"/>
      <c r="O132" s="5"/>
      <c r="P132" s="5"/>
      <c r="Q132" s="5"/>
    </row>
    <row r="133" spans="2:17" x14ac:dyDescent="0.3">
      <c r="B133" s="2">
        <v>130</v>
      </c>
      <c r="C133" s="2">
        <v>7.2</v>
      </c>
      <c r="D133" s="2">
        <v>3</v>
      </c>
      <c r="E133" s="2">
        <v>5.8</v>
      </c>
      <c r="F133" s="2">
        <v>1.6</v>
      </c>
      <c r="G133" s="2" t="s">
        <v>29</v>
      </c>
      <c r="H133" s="2">
        <f t="shared" ref="H133:H153" si="6">IF(G133="Iris-setosa",1,0)</f>
        <v>0</v>
      </c>
      <c r="I133" s="2">
        <f t="shared" ref="I133:I153" si="7">IF(G133="Iris-versicolor",1,0)</f>
        <v>0</v>
      </c>
      <c r="J133" s="2">
        <f t="shared" ref="J133:J153" si="8">IF(G133="Iris-virginica",1,0)</f>
        <v>1</v>
      </c>
      <c r="K133" s="5"/>
      <c r="L133" s="5"/>
      <c r="M133" s="5"/>
      <c r="N133" s="5"/>
      <c r="O133" s="5"/>
      <c r="P133" s="5"/>
      <c r="Q133" s="5"/>
    </row>
    <row r="134" spans="2:17" x14ac:dyDescent="0.3">
      <c r="B134" s="2">
        <v>131</v>
      </c>
      <c r="C134" s="2">
        <v>7.4</v>
      </c>
      <c r="D134" s="2">
        <v>2.8</v>
      </c>
      <c r="E134" s="2">
        <v>6.1</v>
      </c>
      <c r="F134" s="2">
        <v>1.9</v>
      </c>
      <c r="G134" s="2" t="s">
        <v>29</v>
      </c>
      <c r="H134" s="2">
        <f t="shared" si="6"/>
        <v>0</v>
      </c>
      <c r="I134" s="2">
        <f t="shared" si="7"/>
        <v>0</v>
      </c>
      <c r="J134" s="2">
        <f t="shared" si="8"/>
        <v>1</v>
      </c>
      <c r="K134" s="5"/>
      <c r="L134" s="5"/>
      <c r="M134" s="5"/>
      <c r="N134" s="5"/>
      <c r="O134" s="5"/>
      <c r="P134" s="5"/>
      <c r="Q134" s="5"/>
    </row>
    <row r="135" spans="2:17" x14ac:dyDescent="0.3">
      <c r="B135" s="2">
        <v>132</v>
      </c>
      <c r="C135" s="2">
        <v>7.9</v>
      </c>
      <c r="D135" s="2">
        <v>3.8</v>
      </c>
      <c r="E135" s="2">
        <v>6.4</v>
      </c>
      <c r="F135" s="2">
        <v>2</v>
      </c>
      <c r="G135" s="2" t="s">
        <v>29</v>
      </c>
      <c r="H135" s="2">
        <f t="shared" si="6"/>
        <v>0</v>
      </c>
      <c r="I135" s="2">
        <f t="shared" si="7"/>
        <v>0</v>
      </c>
      <c r="J135" s="2">
        <f t="shared" si="8"/>
        <v>1</v>
      </c>
      <c r="K135" s="5"/>
      <c r="L135" s="5"/>
      <c r="M135" s="5"/>
      <c r="N135" s="5"/>
      <c r="O135" s="5"/>
      <c r="P135" s="5"/>
      <c r="Q135" s="5"/>
    </row>
    <row r="136" spans="2:17" x14ac:dyDescent="0.3">
      <c r="B136" s="2">
        <v>133</v>
      </c>
      <c r="C136" s="2">
        <v>6.4</v>
      </c>
      <c r="D136" s="2">
        <v>2.8</v>
      </c>
      <c r="E136" s="2">
        <v>5.6</v>
      </c>
      <c r="F136" s="2">
        <v>2.2000000000000002</v>
      </c>
      <c r="G136" s="2" t="s">
        <v>29</v>
      </c>
      <c r="H136" s="2">
        <f t="shared" si="6"/>
        <v>0</v>
      </c>
      <c r="I136" s="2">
        <f t="shared" si="7"/>
        <v>0</v>
      </c>
      <c r="J136" s="2">
        <f t="shared" si="8"/>
        <v>1</v>
      </c>
      <c r="K136" s="5"/>
      <c r="L136" s="5"/>
      <c r="M136" s="5"/>
      <c r="N136" s="5"/>
      <c r="O136" s="5"/>
      <c r="P136" s="5"/>
      <c r="Q136" s="5"/>
    </row>
    <row r="137" spans="2:17" x14ac:dyDescent="0.3">
      <c r="B137" s="2">
        <v>134</v>
      </c>
      <c r="C137" s="2">
        <v>6.3</v>
      </c>
      <c r="D137" s="2">
        <v>2.8</v>
      </c>
      <c r="E137" s="2">
        <v>5.0999999999999996</v>
      </c>
      <c r="F137" s="2">
        <v>1.5</v>
      </c>
      <c r="G137" s="2" t="s">
        <v>29</v>
      </c>
      <c r="H137" s="2">
        <f t="shared" si="6"/>
        <v>0</v>
      </c>
      <c r="I137" s="2">
        <f t="shared" si="7"/>
        <v>0</v>
      </c>
      <c r="J137" s="2">
        <f t="shared" si="8"/>
        <v>1</v>
      </c>
      <c r="K137" s="5"/>
      <c r="L137" s="5"/>
      <c r="M137" s="5"/>
      <c r="N137" s="5"/>
      <c r="O137" s="5"/>
      <c r="P137" s="5"/>
      <c r="Q137" s="5"/>
    </row>
    <row r="138" spans="2:17" x14ac:dyDescent="0.3">
      <c r="B138" s="2">
        <v>135</v>
      </c>
      <c r="C138" s="2">
        <v>6.1</v>
      </c>
      <c r="D138" s="2">
        <v>2.6</v>
      </c>
      <c r="E138" s="2">
        <v>5.6</v>
      </c>
      <c r="F138" s="2">
        <v>1.4</v>
      </c>
      <c r="G138" s="2" t="s">
        <v>29</v>
      </c>
      <c r="H138" s="2">
        <f t="shared" si="6"/>
        <v>0</v>
      </c>
      <c r="I138" s="2">
        <f t="shared" si="7"/>
        <v>0</v>
      </c>
      <c r="J138" s="2">
        <f t="shared" si="8"/>
        <v>1</v>
      </c>
      <c r="K138" s="5"/>
      <c r="L138" s="5"/>
      <c r="M138" s="5"/>
      <c r="N138" s="5"/>
      <c r="O138" s="5"/>
      <c r="P138" s="5"/>
      <c r="Q138" s="5"/>
    </row>
    <row r="139" spans="2:17" x14ac:dyDescent="0.3">
      <c r="B139" s="2">
        <v>136</v>
      </c>
      <c r="C139" s="2">
        <v>7.7</v>
      </c>
      <c r="D139" s="2">
        <v>3</v>
      </c>
      <c r="E139" s="2">
        <v>6.1</v>
      </c>
      <c r="F139" s="2">
        <v>2.2999999999999998</v>
      </c>
      <c r="G139" s="2" t="s">
        <v>29</v>
      </c>
      <c r="H139" s="2">
        <f t="shared" si="6"/>
        <v>0</v>
      </c>
      <c r="I139" s="2">
        <f t="shared" si="7"/>
        <v>0</v>
      </c>
      <c r="J139" s="2">
        <f t="shared" si="8"/>
        <v>1</v>
      </c>
      <c r="K139" s="5"/>
      <c r="L139" s="5"/>
      <c r="M139" s="5"/>
      <c r="N139" s="5"/>
      <c r="O139" s="5"/>
      <c r="P139" s="5"/>
      <c r="Q139" s="5"/>
    </row>
    <row r="140" spans="2:17" x14ac:dyDescent="0.3">
      <c r="B140" s="2">
        <v>137</v>
      </c>
      <c r="C140" s="2">
        <v>6.3</v>
      </c>
      <c r="D140" s="2">
        <v>3.4</v>
      </c>
      <c r="E140" s="2">
        <v>5.6</v>
      </c>
      <c r="F140" s="2">
        <v>2.4</v>
      </c>
      <c r="G140" s="2" t="s">
        <v>29</v>
      </c>
      <c r="H140" s="2">
        <f t="shared" si="6"/>
        <v>0</v>
      </c>
      <c r="I140" s="2">
        <f t="shared" si="7"/>
        <v>0</v>
      </c>
      <c r="J140" s="2">
        <f t="shared" si="8"/>
        <v>1</v>
      </c>
      <c r="K140" s="5"/>
      <c r="L140" s="5"/>
      <c r="M140" s="5"/>
      <c r="N140" s="5"/>
      <c r="O140" s="5"/>
      <c r="P140" s="5"/>
      <c r="Q140" s="5"/>
    </row>
    <row r="141" spans="2:17" x14ac:dyDescent="0.3">
      <c r="B141" s="2">
        <v>138</v>
      </c>
      <c r="C141" s="2">
        <v>6.4</v>
      </c>
      <c r="D141" s="2">
        <v>3.1</v>
      </c>
      <c r="E141" s="2">
        <v>5.5</v>
      </c>
      <c r="F141" s="2">
        <v>1.8</v>
      </c>
      <c r="G141" s="2" t="s">
        <v>29</v>
      </c>
      <c r="H141" s="2">
        <f t="shared" si="6"/>
        <v>0</v>
      </c>
      <c r="I141" s="2">
        <f t="shared" si="7"/>
        <v>0</v>
      </c>
      <c r="J141" s="2">
        <f t="shared" si="8"/>
        <v>1</v>
      </c>
      <c r="K141" s="5"/>
      <c r="L141" s="5"/>
      <c r="M141" s="5"/>
      <c r="N141" s="5"/>
      <c r="O141" s="5"/>
      <c r="P141" s="5"/>
      <c r="Q141" s="5"/>
    </row>
    <row r="142" spans="2:17" x14ac:dyDescent="0.3">
      <c r="B142" s="2">
        <v>139</v>
      </c>
      <c r="C142" s="2">
        <v>6</v>
      </c>
      <c r="D142" s="2">
        <v>3</v>
      </c>
      <c r="E142" s="2">
        <v>4.8</v>
      </c>
      <c r="F142" s="2">
        <v>1.8</v>
      </c>
      <c r="G142" s="2" t="s">
        <v>29</v>
      </c>
      <c r="H142" s="2">
        <f t="shared" si="6"/>
        <v>0</v>
      </c>
      <c r="I142" s="2">
        <f t="shared" si="7"/>
        <v>0</v>
      </c>
      <c r="J142" s="2">
        <f t="shared" si="8"/>
        <v>1</v>
      </c>
      <c r="K142" s="5"/>
      <c r="L142" s="5"/>
      <c r="M142" s="5"/>
      <c r="N142" s="5"/>
      <c r="O142" s="5"/>
      <c r="P142" s="5"/>
      <c r="Q142" s="5"/>
    </row>
    <row r="143" spans="2:17" x14ac:dyDescent="0.3">
      <c r="B143" s="2">
        <v>140</v>
      </c>
      <c r="C143" s="2">
        <v>6.9</v>
      </c>
      <c r="D143" s="2">
        <v>3.1</v>
      </c>
      <c r="E143" s="2">
        <v>5.4</v>
      </c>
      <c r="F143" s="2">
        <v>2.1</v>
      </c>
      <c r="G143" s="2" t="s">
        <v>29</v>
      </c>
      <c r="H143" s="2">
        <f t="shared" si="6"/>
        <v>0</v>
      </c>
      <c r="I143" s="2">
        <f t="shared" si="7"/>
        <v>0</v>
      </c>
      <c r="J143" s="2">
        <f t="shared" si="8"/>
        <v>1</v>
      </c>
      <c r="K143" s="5"/>
      <c r="L143" s="5"/>
      <c r="M143" s="5"/>
      <c r="N143" s="5"/>
      <c r="O143" s="5"/>
      <c r="P143" s="5"/>
      <c r="Q143" s="5"/>
    </row>
    <row r="144" spans="2:17" x14ac:dyDescent="0.3">
      <c r="B144" s="2">
        <v>141</v>
      </c>
      <c r="C144" s="2">
        <v>6.7</v>
      </c>
      <c r="D144" s="2">
        <v>3.1</v>
      </c>
      <c r="E144" s="2">
        <v>5.6</v>
      </c>
      <c r="F144" s="2">
        <v>2.4</v>
      </c>
      <c r="G144" s="2" t="s">
        <v>29</v>
      </c>
      <c r="H144" s="2">
        <f t="shared" si="6"/>
        <v>0</v>
      </c>
      <c r="I144" s="2">
        <f t="shared" si="7"/>
        <v>0</v>
      </c>
      <c r="J144" s="2">
        <f t="shared" si="8"/>
        <v>1</v>
      </c>
      <c r="K144" s="5"/>
      <c r="L144" s="5"/>
      <c r="M144" s="5"/>
      <c r="N144" s="5"/>
      <c r="O144" s="5"/>
      <c r="P144" s="5"/>
      <c r="Q144" s="5"/>
    </row>
    <row r="145" spans="2:17" x14ac:dyDescent="0.3">
      <c r="B145" s="2">
        <v>142</v>
      </c>
      <c r="C145" s="2">
        <v>6.9</v>
      </c>
      <c r="D145" s="2">
        <v>3.1</v>
      </c>
      <c r="E145" s="2">
        <v>5.0999999999999996</v>
      </c>
      <c r="F145" s="2">
        <v>2.2999999999999998</v>
      </c>
      <c r="G145" s="2" t="s">
        <v>29</v>
      </c>
      <c r="H145" s="2">
        <f t="shared" si="6"/>
        <v>0</v>
      </c>
      <c r="I145" s="2">
        <f t="shared" si="7"/>
        <v>0</v>
      </c>
      <c r="J145" s="2">
        <f t="shared" si="8"/>
        <v>1</v>
      </c>
      <c r="K145" s="5"/>
      <c r="L145" s="5"/>
      <c r="M145" s="5"/>
      <c r="N145" s="5"/>
      <c r="O145" s="5"/>
      <c r="P145" s="5"/>
      <c r="Q145" s="5"/>
    </row>
    <row r="146" spans="2:17" x14ac:dyDescent="0.3">
      <c r="B146" s="2">
        <v>143</v>
      </c>
      <c r="C146" s="2">
        <v>5.8</v>
      </c>
      <c r="D146" s="2">
        <v>2.7</v>
      </c>
      <c r="E146" s="2">
        <v>5.0999999999999996</v>
      </c>
      <c r="F146" s="2">
        <v>1.9</v>
      </c>
      <c r="G146" s="2" t="s">
        <v>29</v>
      </c>
      <c r="H146" s="2">
        <f t="shared" si="6"/>
        <v>0</v>
      </c>
      <c r="I146" s="2">
        <f t="shared" si="7"/>
        <v>0</v>
      </c>
      <c r="J146" s="2">
        <f t="shared" si="8"/>
        <v>1</v>
      </c>
      <c r="K146" s="5"/>
      <c r="L146" s="5"/>
      <c r="M146" s="5"/>
      <c r="N146" s="5"/>
      <c r="O146" s="5"/>
      <c r="P146" s="5"/>
      <c r="Q146" s="5"/>
    </row>
    <row r="147" spans="2:17" x14ac:dyDescent="0.3">
      <c r="B147" s="2">
        <v>144</v>
      </c>
      <c r="C147" s="2">
        <v>6.8</v>
      </c>
      <c r="D147" s="2">
        <v>3.2</v>
      </c>
      <c r="E147" s="2">
        <v>5.9</v>
      </c>
      <c r="F147" s="2">
        <v>2.2999999999999998</v>
      </c>
      <c r="G147" s="2" t="s">
        <v>29</v>
      </c>
      <c r="H147" s="2">
        <f t="shared" si="6"/>
        <v>0</v>
      </c>
      <c r="I147" s="2">
        <f t="shared" si="7"/>
        <v>0</v>
      </c>
      <c r="J147" s="2">
        <f t="shared" si="8"/>
        <v>1</v>
      </c>
      <c r="K147" s="5"/>
      <c r="L147" s="5"/>
      <c r="M147" s="5"/>
      <c r="N147" s="5"/>
      <c r="O147" s="5"/>
      <c r="P147" s="5"/>
      <c r="Q147" s="5"/>
    </row>
    <row r="148" spans="2:17" x14ac:dyDescent="0.3">
      <c r="B148" s="2">
        <v>145</v>
      </c>
      <c r="C148" s="2">
        <v>6.7</v>
      </c>
      <c r="D148" s="2">
        <v>3.3</v>
      </c>
      <c r="E148" s="2">
        <v>5.7</v>
      </c>
      <c r="F148" s="2">
        <v>2.5</v>
      </c>
      <c r="G148" s="2" t="s">
        <v>29</v>
      </c>
      <c r="H148" s="2">
        <f t="shared" si="6"/>
        <v>0</v>
      </c>
      <c r="I148" s="2">
        <f t="shared" si="7"/>
        <v>0</v>
      </c>
      <c r="J148" s="2">
        <f t="shared" si="8"/>
        <v>1</v>
      </c>
      <c r="K148" s="5"/>
      <c r="L148" s="5"/>
      <c r="M148" s="5"/>
      <c r="N148" s="5"/>
      <c r="O148" s="5"/>
      <c r="P148" s="5"/>
      <c r="Q148" s="5"/>
    </row>
    <row r="149" spans="2:17" x14ac:dyDescent="0.3">
      <c r="B149" s="2">
        <v>146</v>
      </c>
      <c r="C149" s="2">
        <v>6.7</v>
      </c>
      <c r="D149" s="2">
        <v>3</v>
      </c>
      <c r="E149" s="2">
        <v>5.2</v>
      </c>
      <c r="F149" s="2">
        <v>2.2999999999999998</v>
      </c>
      <c r="G149" s="2" t="s">
        <v>29</v>
      </c>
      <c r="H149" s="2">
        <f t="shared" si="6"/>
        <v>0</v>
      </c>
      <c r="I149" s="2">
        <f t="shared" si="7"/>
        <v>0</v>
      </c>
      <c r="J149" s="2">
        <f t="shared" si="8"/>
        <v>1</v>
      </c>
      <c r="K149" s="5"/>
      <c r="L149" s="5"/>
      <c r="M149" s="5"/>
      <c r="N149" s="5"/>
      <c r="O149" s="5"/>
      <c r="P149" s="5"/>
      <c r="Q149" s="5"/>
    </row>
    <row r="150" spans="2:17" x14ac:dyDescent="0.3">
      <c r="B150" s="2">
        <v>147</v>
      </c>
      <c r="C150" s="2">
        <v>6.3</v>
      </c>
      <c r="D150" s="2">
        <v>2.5</v>
      </c>
      <c r="E150" s="2">
        <v>5</v>
      </c>
      <c r="F150" s="2">
        <v>1.9</v>
      </c>
      <c r="G150" s="2" t="s">
        <v>29</v>
      </c>
      <c r="H150" s="2">
        <f t="shared" si="6"/>
        <v>0</v>
      </c>
      <c r="I150" s="2">
        <f t="shared" si="7"/>
        <v>0</v>
      </c>
      <c r="J150" s="2">
        <f t="shared" si="8"/>
        <v>1</v>
      </c>
      <c r="K150" s="5"/>
      <c r="L150" s="5"/>
      <c r="M150" s="5"/>
      <c r="N150" s="5"/>
      <c r="O150" s="5"/>
      <c r="P150" s="5"/>
      <c r="Q150" s="5"/>
    </row>
    <row r="151" spans="2:17" x14ac:dyDescent="0.3">
      <c r="B151" s="2">
        <v>148</v>
      </c>
      <c r="C151" s="2">
        <v>6.5</v>
      </c>
      <c r="D151" s="2">
        <v>3</v>
      </c>
      <c r="E151" s="2">
        <v>5.2</v>
      </c>
      <c r="F151" s="2">
        <v>2</v>
      </c>
      <c r="G151" s="2" t="s">
        <v>29</v>
      </c>
      <c r="H151" s="2">
        <f t="shared" si="6"/>
        <v>0</v>
      </c>
      <c r="I151" s="2">
        <f t="shared" si="7"/>
        <v>0</v>
      </c>
      <c r="J151" s="2">
        <f t="shared" si="8"/>
        <v>1</v>
      </c>
      <c r="K151" s="5"/>
      <c r="L151" s="5"/>
      <c r="M151" s="5"/>
      <c r="N151" s="5"/>
      <c r="O151" s="5"/>
      <c r="P151" s="5"/>
      <c r="Q151" s="5"/>
    </row>
    <row r="152" spans="2:17" x14ac:dyDescent="0.3">
      <c r="B152" s="2">
        <v>149</v>
      </c>
      <c r="C152" s="2">
        <v>6.2</v>
      </c>
      <c r="D152" s="2">
        <v>3.4</v>
      </c>
      <c r="E152" s="2">
        <v>5.4</v>
      </c>
      <c r="F152" s="2">
        <v>2.2999999999999998</v>
      </c>
      <c r="G152" s="2" t="s">
        <v>29</v>
      </c>
      <c r="H152" s="2">
        <f t="shared" si="6"/>
        <v>0</v>
      </c>
      <c r="I152" s="2">
        <f t="shared" si="7"/>
        <v>0</v>
      </c>
      <c r="J152" s="2">
        <f t="shared" si="8"/>
        <v>1</v>
      </c>
      <c r="K152" s="5"/>
      <c r="L152" s="5"/>
      <c r="M152" s="5"/>
      <c r="N152" s="5"/>
      <c r="O152" s="5"/>
      <c r="P152" s="5"/>
      <c r="Q152" s="5"/>
    </row>
    <row r="153" spans="2:17" x14ac:dyDescent="0.3">
      <c r="B153" s="2">
        <v>150</v>
      </c>
      <c r="C153" s="2">
        <v>5.9</v>
      </c>
      <c r="D153" s="2">
        <v>3</v>
      </c>
      <c r="E153" s="2">
        <v>5.0999999999999996</v>
      </c>
      <c r="F153" s="2">
        <v>1.8</v>
      </c>
      <c r="G153" s="2" t="s">
        <v>29</v>
      </c>
      <c r="H153" s="2">
        <f t="shared" si="6"/>
        <v>0</v>
      </c>
      <c r="I153" s="2">
        <f t="shared" si="7"/>
        <v>0</v>
      </c>
      <c r="J153" s="2">
        <f t="shared" si="8"/>
        <v>1</v>
      </c>
      <c r="K153" s="5"/>
      <c r="L153" s="5"/>
      <c r="M153" s="5"/>
      <c r="N153" s="5"/>
      <c r="O153" s="5"/>
      <c r="P153" s="5"/>
      <c r="Q153" s="5"/>
    </row>
  </sheetData>
  <mergeCells count="19">
    <mergeCell ref="U18:U19"/>
    <mergeCell ref="V18:V19"/>
    <mergeCell ref="W18:W19"/>
    <mergeCell ref="X18:X19"/>
    <mergeCell ref="AB18:AD18"/>
    <mergeCell ref="Y18:AA18"/>
    <mergeCell ref="B2:B3"/>
    <mergeCell ref="C2:C3"/>
    <mergeCell ref="D2:D3"/>
    <mergeCell ref="E2:E3"/>
    <mergeCell ref="F2:F3"/>
    <mergeCell ref="G2:G3"/>
    <mergeCell ref="U3:U4"/>
    <mergeCell ref="V3:V4"/>
    <mergeCell ref="W3:Z3"/>
    <mergeCell ref="H2:J2"/>
    <mergeCell ref="K2:M2"/>
    <mergeCell ref="N2:P2"/>
    <mergeCell ref="Q2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Binomial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STANLEY NATHANAEL WIJAYA</cp:lastModifiedBy>
  <dcterms:created xsi:type="dcterms:W3CDTF">2024-07-14T10:56:22Z</dcterms:created>
  <dcterms:modified xsi:type="dcterms:W3CDTF">2024-08-26T06:02:53Z</dcterms:modified>
</cp:coreProperties>
</file>